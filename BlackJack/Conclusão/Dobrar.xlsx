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244" documentId="11_1CA6E1E193703E0E62355476585DCE3A77CE21C2" xr6:coauthVersionLast="47" xr6:coauthVersionMax="47" xr10:uidLastSave="{AA0C1432-D0B6-425D-A1D8-D24F4462EB2E}"/>
  <bookViews>
    <workbookView xWindow="0" yWindow="0" windowWidth="0" windowHeight="0" xr2:uid="{00000000-000D-0000-FFFF-FFFF00000000}"/>
  </bookViews>
  <sheets>
    <sheet name="Dobro ou nad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 l="1"/>
  <c r="D65" i="1"/>
  <c r="E65" i="1"/>
  <c r="F65" i="1"/>
  <c r="G65" i="1"/>
  <c r="H65" i="1"/>
  <c r="I65" i="1"/>
  <c r="J65" i="1"/>
  <c r="K65" i="1"/>
  <c r="L65" i="1"/>
  <c r="C66" i="1"/>
  <c r="D66" i="1"/>
  <c r="E66" i="1"/>
  <c r="F66" i="1"/>
  <c r="G66" i="1"/>
  <c r="H66" i="1"/>
  <c r="I66" i="1"/>
  <c r="J66" i="1"/>
  <c r="K66" i="1"/>
  <c r="L66" i="1"/>
  <c r="C67" i="1"/>
  <c r="D67" i="1"/>
  <c r="E67" i="1"/>
  <c r="F67" i="1"/>
  <c r="G67" i="1"/>
  <c r="H67" i="1"/>
  <c r="I67" i="1"/>
  <c r="J67" i="1"/>
  <c r="K67" i="1"/>
  <c r="L67" i="1"/>
  <c r="C68" i="1"/>
  <c r="D68" i="1"/>
  <c r="E68" i="1"/>
  <c r="F68" i="1"/>
  <c r="G68" i="1"/>
  <c r="H68" i="1"/>
  <c r="I68" i="1"/>
  <c r="J68" i="1"/>
  <c r="K68" i="1"/>
  <c r="L68" i="1"/>
  <c r="C69" i="1"/>
  <c r="D69" i="1"/>
  <c r="E69" i="1"/>
  <c r="F69" i="1"/>
  <c r="G69" i="1"/>
  <c r="H69" i="1"/>
  <c r="I69" i="1"/>
  <c r="J69" i="1"/>
  <c r="K69" i="1"/>
  <c r="L69" i="1"/>
  <c r="C70" i="1"/>
  <c r="D70" i="1"/>
  <c r="E70" i="1"/>
  <c r="F70" i="1"/>
  <c r="G70" i="1"/>
  <c r="H70" i="1"/>
  <c r="I70" i="1"/>
  <c r="J70" i="1"/>
  <c r="K70" i="1"/>
  <c r="L70" i="1"/>
  <c r="C71" i="1"/>
  <c r="D71" i="1"/>
  <c r="E71" i="1"/>
  <c r="F71" i="1"/>
  <c r="G71" i="1"/>
  <c r="H71" i="1"/>
  <c r="I71" i="1"/>
  <c r="J71" i="1"/>
  <c r="K71" i="1"/>
  <c r="L71" i="1"/>
  <c r="C72" i="1"/>
  <c r="D72" i="1"/>
  <c r="E72" i="1"/>
  <c r="F72" i="1"/>
  <c r="G72" i="1"/>
  <c r="H72" i="1"/>
  <c r="I72" i="1"/>
  <c r="J72" i="1"/>
  <c r="K72" i="1"/>
  <c r="L72" i="1"/>
  <c r="C73" i="1"/>
  <c r="D73" i="1"/>
  <c r="E73" i="1"/>
  <c r="F73" i="1"/>
  <c r="G73" i="1"/>
  <c r="H73" i="1"/>
  <c r="I73" i="1"/>
  <c r="J73" i="1"/>
  <c r="K73" i="1"/>
  <c r="L73" i="1"/>
  <c r="C74" i="1"/>
  <c r="D74" i="1"/>
  <c r="E74" i="1"/>
  <c r="F74" i="1"/>
  <c r="G74" i="1"/>
  <c r="H74" i="1"/>
  <c r="I74" i="1"/>
  <c r="J74" i="1"/>
  <c r="K74" i="1"/>
  <c r="L74" i="1"/>
  <c r="C75" i="1"/>
  <c r="D75" i="1"/>
  <c r="E75" i="1"/>
  <c r="F75" i="1"/>
  <c r="G75" i="1"/>
  <c r="H75" i="1"/>
  <c r="I75" i="1"/>
  <c r="J75" i="1"/>
  <c r="K75" i="1"/>
  <c r="L75" i="1"/>
  <c r="C76" i="1"/>
  <c r="D76" i="1"/>
  <c r="E76" i="1"/>
  <c r="F76" i="1"/>
  <c r="G76" i="1"/>
  <c r="H76" i="1"/>
  <c r="I76" i="1"/>
  <c r="J76" i="1"/>
  <c r="K76" i="1"/>
  <c r="L76" i="1"/>
  <c r="C77" i="1"/>
  <c r="D77" i="1"/>
  <c r="E77" i="1"/>
  <c r="F77" i="1"/>
  <c r="G77" i="1"/>
  <c r="H77" i="1"/>
  <c r="I77" i="1"/>
  <c r="J77" i="1"/>
  <c r="K77" i="1"/>
  <c r="L77" i="1"/>
  <c r="C78" i="1"/>
  <c r="D78" i="1"/>
  <c r="E78" i="1"/>
  <c r="F78" i="1"/>
  <c r="G78" i="1"/>
  <c r="H78" i="1"/>
  <c r="I78" i="1"/>
  <c r="J78" i="1"/>
  <c r="K78" i="1"/>
  <c r="L78" i="1"/>
  <c r="C79" i="1"/>
  <c r="D79" i="1"/>
  <c r="E79" i="1"/>
  <c r="F79" i="1"/>
  <c r="G79" i="1"/>
  <c r="H79" i="1"/>
  <c r="I79" i="1"/>
  <c r="J79" i="1"/>
  <c r="K79" i="1"/>
  <c r="L79" i="1"/>
  <c r="C80" i="1"/>
  <c r="D80" i="1"/>
  <c r="E80" i="1"/>
  <c r="F80" i="1"/>
  <c r="G80" i="1"/>
  <c r="H80" i="1"/>
  <c r="I80" i="1"/>
  <c r="J80" i="1"/>
  <c r="K80" i="1"/>
  <c r="L80" i="1"/>
  <c r="C81" i="1"/>
  <c r="D81" i="1"/>
  <c r="E81" i="1"/>
  <c r="F81" i="1"/>
  <c r="G81" i="1"/>
  <c r="H81" i="1"/>
  <c r="I81" i="1"/>
  <c r="J81" i="1"/>
  <c r="K81" i="1"/>
  <c r="L81" i="1"/>
  <c r="C82" i="1"/>
  <c r="D82" i="1"/>
  <c r="E82" i="1"/>
  <c r="F82" i="1"/>
  <c r="G82" i="1"/>
  <c r="H82" i="1"/>
  <c r="I82" i="1"/>
  <c r="J82" i="1"/>
  <c r="K82" i="1"/>
  <c r="L82" i="1"/>
  <c r="C83" i="1"/>
  <c r="D83" i="1"/>
  <c r="E83" i="1"/>
  <c r="F83" i="1"/>
  <c r="G83" i="1"/>
  <c r="H83" i="1"/>
  <c r="I83" i="1"/>
  <c r="J83" i="1"/>
  <c r="K83" i="1"/>
  <c r="L83" i="1"/>
  <c r="C84" i="1"/>
  <c r="D84" i="1"/>
  <c r="E84" i="1"/>
  <c r="F84" i="1"/>
  <c r="G84" i="1"/>
  <c r="H84" i="1"/>
  <c r="I84" i="1"/>
  <c r="J84" i="1"/>
  <c r="K84" i="1"/>
  <c r="L84" i="1"/>
  <c r="C85" i="1"/>
  <c r="D85" i="1"/>
  <c r="E85" i="1"/>
  <c r="F85" i="1"/>
  <c r="G85" i="1"/>
  <c r="H85" i="1"/>
  <c r="I85" i="1"/>
  <c r="J85" i="1"/>
  <c r="K85" i="1"/>
  <c r="L85" i="1"/>
  <c r="C86" i="1"/>
  <c r="D86" i="1"/>
  <c r="E86" i="1"/>
  <c r="F86" i="1"/>
  <c r="G86" i="1"/>
  <c r="H86" i="1"/>
  <c r="I86" i="1"/>
  <c r="J86" i="1"/>
  <c r="K86" i="1"/>
  <c r="L86" i="1"/>
  <c r="C87" i="1"/>
  <c r="D87" i="1"/>
  <c r="E87" i="1"/>
  <c r="F87" i="1"/>
  <c r="G87" i="1"/>
  <c r="H87" i="1"/>
  <c r="I87" i="1"/>
  <c r="J87" i="1"/>
  <c r="K87" i="1"/>
  <c r="L87" i="1"/>
  <c r="C88" i="1"/>
  <c r="D88" i="1"/>
  <c r="E88" i="1"/>
  <c r="F88" i="1"/>
  <c r="G88" i="1"/>
  <c r="H88" i="1"/>
  <c r="I88" i="1"/>
  <c r="J88" i="1"/>
  <c r="K88" i="1"/>
  <c r="L88" i="1"/>
  <c r="C89" i="1"/>
  <c r="D89" i="1"/>
  <c r="E89" i="1"/>
  <c r="F89" i="1"/>
  <c r="G89" i="1"/>
  <c r="H89" i="1"/>
  <c r="I89" i="1"/>
  <c r="J89" i="1"/>
  <c r="K89" i="1"/>
  <c r="L89" i="1"/>
  <c r="C90" i="1"/>
  <c r="D90" i="1"/>
  <c r="E90" i="1"/>
  <c r="F90" i="1"/>
  <c r="G90" i="1"/>
  <c r="H90" i="1"/>
  <c r="I90" i="1"/>
  <c r="J90" i="1"/>
  <c r="K90" i="1"/>
  <c r="L90" i="1"/>
  <c r="D64" i="1"/>
  <c r="E64" i="1"/>
  <c r="F64" i="1"/>
  <c r="G64" i="1"/>
  <c r="H64" i="1"/>
  <c r="I64" i="1"/>
  <c r="J64" i="1"/>
  <c r="K64" i="1"/>
  <c r="L64" i="1"/>
  <c r="C64" i="1"/>
  <c r="AA35" i="1"/>
  <c r="AB35" i="1"/>
  <c r="AC35" i="1"/>
  <c r="AD35" i="1"/>
  <c r="AE35" i="1"/>
  <c r="AF35" i="1"/>
  <c r="AG35" i="1"/>
  <c r="AH35" i="1"/>
  <c r="AI35" i="1"/>
  <c r="AJ35" i="1"/>
  <c r="AA36" i="1"/>
  <c r="AB36" i="1"/>
  <c r="AC36" i="1"/>
  <c r="AD36" i="1"/>
  <c r="AE36" i="1"/>
  <c r="AF36" i="1"/>
  <c r="AG36" i="1"/>
  <c r="AH36" i="1"/>
  <c r="AI36" i="1"/>
  <c r="AJ36" i="1"/>
  <c r="AA37" i="1"/>
  <c r="AB37" i="1"/>
  <c r="AC37" i="1"/>
  <c r="AD37" i="1"/>
  <c r="AE37" i="1"/>
  <c r="AF37" i="1"/>
  <c r="AG37" i="1"/>
  <c r="AH37" i="1"/>
  <c r="AI37" i="1"/>
  <c r="AJ37" i="1"/>
  <c r="AA38" i="1"/>
  <c r="AB38" i="1"/>
  <c r="AC38" i="1"/>
  <c r="AD38" i="1"/>
  <c r="AE38" i="1"/>
  <c r="AF38" i="1"/>
  <c r="AG38" i="1"/>
  <c r="AH38" i="1"/>
  <c r="AI38" i="1"/>
  <c r="AJ38" i="1"/>
  <c r="AA39" i="1"/>
  <c r="AB39" i="1"/>
  <c r="AC39" i="1"/>
  <c r="AD39" i="1"/>
  <c r="AE39" i="1"/>
  <c r="AF39" i="1"/>
  <c r="AG39" i="1"/>
  <c r="AH39" i="1"/>
  <c r="AI39" i="1"/>
  <c r="AJ39" i="1"/>
  <c r="AA40" i="1"/>
  <c r="AB40" i="1"/>
  <c r="AC40" i="1"/>
  <c r="AD40" i="1"/>
  <c r="AE40" i="1"/>
  <c r="AF40" i="1"/>
  <c r="AG40" i="1"/>
  <c r="AH40" i="1"/>
  <c r="AI40" i="1"/>
  <c r="AJ40" i="1"/>
  <c r="AA41" i="1"/>
  <c r="AB41" i="1"/>
  <c r="AC41" i="1"/>
  <c r="AD41" i="1"/>
  <c r="AE41" i="1"/>
  <c r="AF41" i="1"/>
  <c r="AG41" i="1"/>
  <c r="AH41" i="1"/>
  <c r="AI41" i="1"/>
  <c r="AJ41" i="1"/>
  <c r="AA42" i="1"/>
  <c r="AB42" i="1"/>
  <c r="AC42" i="1"/>
  <c r="AD42" i="1"/>
  <c r="AE42" i="1"/>
  <c r="AF42" i="1"/>
  <c r="AG42" i="1"/>
  <c r="AH42" i="1"/>
  <c r="AI42" i="1"/>
  <c r="AJ42" i="1"/>
  <c r="AA43" i="1"/>
  <c r="AB43" i="1"/>
  <c r="AC43" i="1"/>
  <c r="AD43" i="1"/>
  <c r="AE43" i="1"/>
  <c r="AF43" i="1"/>
  <c r="AG43" i="1"/>
  <c r="AH43" i="1"/>
  <c r="AI43" i="1"/>
  <c r="AJ43" i="1"/>
  <c r="AA44" i="1"/>
  <c r="AB44" i="1"/>
  <c r="AC44" i="1"/>
  <c r="AD44" i="1"/>
  <c r="AE44" i="1"/>
  <c r="AF44" i="1"/>
  <c r="AG44" i="1"/>
  <c r="AH44" i="1"/>
  <c r="AI44" i="1"/>
  <c r="AJ44" i="1"/>
  <c r="AA45" i="1"/>
  <c r="AB45" i="1"/>
  <c r="AC45" i="1"/>
  <c r="AD45" i="1"/>
  <c r="AE45" i="1"/>
  <c r="AF45" i="1"/>
  <c r="AG45" i="1"/>
  <c r="AH45" i="1"/>
  <c r="AI45" i="1"/>
  <c r="AJ45" i="1"/>
  <c r="AA46" i="1"/>
  <c r="AB46" i="1"/>
  <c r="AC46" i="1"/>
  <c r="AD46" i="1"/>
  <c r="AE46" i="1"/>
  <c r="AF46" i="1"/>
  <c r="AG46" i="1"/>
  <c r="AH46" i="1"/>
  <c r="AI46" i="1"/>
  <c r="AJ46" i="1"/>
  <c r="AA47" i="1"/>
  <c r="AB47" i="1"/>
  <c r="AC47" i="1"/>
  <c r="AD47" i="1"/>
  <c r="AE47" i="1"/>
  <c r="AF47" i="1"/>
  <c r="AG47" i="1"/>
  <c r="AH47" i="1"/>
  <c r="AI47" i="1"/>
  <c r="AJ47" i="1"/>
  <c r="AA48" i="1"/>
  <c r="AB48" i="1"/>
  <c r="AC48" i="1"/>
  <c r="AD48" i="1"/>
  <c r="AE48" i="1"/>
  <c r="AF48" i="1"/>
  <c r="AG48" i="1"/>
  <c r="AH48" i="1"/>
  <c r="AI48" i="1"/>
  <c r="AJ48" i="1"/>
  <c r="AA49" i="1"/>
  <c r="AB49" i="1"/>
  <c r="AC49" i="1"/>
  <c r="AD49" i="1"/>
  <c r="AE49" i="1"/>
  <c r="AF49" i="1"/>
  <c r="AG49" i="1"/>
  <c r="AH49" i="1"/>
  <c r="AI49" i="1"/>
  <c r="AJ49" i="1"/>
  <c r="AA50" i="1"/>
  <c r="AB50" i="1"/>
  <c r="AC50" i="1"/>
  <c r="AD50" i="1"/>
  <c r="AE50" i="1"/>
  <c r="AF50" i="1"/>
  <c r="AG50" i="1"/>
  <c r="AH50" i="1"/>
  <c r="AI50" i="1"/>
  <c r="AJ50" i="1"/>
  <c r="AA51" i="1"/>
  <c r="AB51" i="1"/>
  <c r="AC51" i="1"/>
  <c r="AD51" i="1"/>
  <c r="AE51" i="1"/>
  <c r="AF51" i="1"/>
  <c r="AG51" i="1"/>
  <c r="AH51" i="1"/>
  <c r="AI51" i="1"/>
  <c r="AJ51" i="1"/>
  <c r="AA52" i="1"/>
  <c r="AB52" i="1"/>
  <c r="AC52" i="1"/>
  <c r="AD52" i="1"/>
  <c r="AE52" i="1"/>
  <c r="AF52" i="1"/>
  <c r="AG52" i="1"/>
  <c r="AH52" i="1"/>
  <c r="AI52" i="1"/>
  <c r="AJ52" i="1"/>
  <c r="AA53" i="1"/>
  <c r="AB53" i="1"/>
  <c r="AC53" i="1"/>
  <c r="AD53" i="1"/>
  <c r="AE53" i="1"/>
  <c r="AF53" i="1"/>
  <c r="AG53" i="1"/>
  <c r="AH53" i="1"/>
  <c r="AI53" i="1"/>
  <c r="AJ53" i="1"/>
  <c r="AA54" i="1"/>
  <c r="AB54" i="1"/>
  <c r="AC54" i="1"/>
  <c r="AD54" i="1"/>
  <c r="AE54" i="1"/>
  <c r="AF54" i="1"/>
  <c r="AG54" i="1"/>
  <c r="AH54" i="1"/>
  <c r="AI54" i="1"/>
  <c r="AJ54" i="1"/>
  <c r="AA55" i="1"/>
  <c r="AB55" i="1"/>
  <c r="AC55" i="1"/>
  <c r="AD55" i="1"/>
  <c r="AE55" i="1"/>
  <c r="AF55" i="1"/>
  <c r="AG55" i="1"/>
  <c r="AH55" i="1"/>
  <c r="AI55" i="1"/>
  <c r="AJ55" i="1"/>
  <c r="AA56" i="1"/>
  <c r="AB56" i="1"/>
  <c r="AC56" i="1"/>
  <c r="AD56" i="1"/>
  <c r="AE56" i="1"/>
  <c r="AF56" i="1"/>
  <c r="AG56" i="1"/>
  <c r="AH56" i="1"/>
  <c r="AI56" i="1"/>
  <c r="AJ56" i="1"/>
  <c r="AA57" i="1"/>
  <c r="AB57" i="1"/>
  <c r="AC57" i="1"/>
  <c r="AD57" i="1"/>
  <c r="AE57" i="1"/>
  <c r="AF57" i="1"/>
  <c r="AG57" i="1"/>
  <c r="AH57" i="1"/>
  <c r="AI57" i="1"/>
  <c r="AJ57" i="1"/>
  <c r="AA58" i="1"/>
  <c r="AB58" i="1"/>
  <c r="AC58" i="1"/>
  <c r="AD58" i="1"/>
  <c r="AE58" i="1"/>
  <c r="AF58" i="1"/>
  <c r="AG58" i="1"/>
  <c r="AH58" i="1"/>
  <c r="AI58" i="1"/>
  <c r="AJ58" i="1"/>
  <c r="AA59" i="1"/>
  <c r="AB59" i="1"/>
  <c r="AC59" i="1"/>
  <c r="AD59" i="1"/>
  <c r="AE59" i="1"/>
  <c r="AF59" i="1"/>
  <c r="AG59" i="1"/>
  <c r="AH59" i="1"/>
  <c r="AI59" i="1"/>
  <c r="AJ59" i="1"/>
  <c r="AA60" i="1"/>
  <c r="AB60" i="1"/>
  <c r="AC60" i="1"/>
  <c r="AD60" i="1"/>
  <c r="AE60" i="1"/>
  <c r="AF60" i="1"/>
  <c r="AG60" i="1"/>
  <c r="AH60" i="1"/>
  <c r="AI60" i="1"/>
  <c r="AJ60" i="1"/>
  <c r="AB34" i="1"/>
  <c r="AC34" i="1"/>
  <c r="AD34" i="1"/>
  <c r="AE34" i="1"/>
  <c r="AF34" i="1"/>
  <c r="AG34" i="1"/>
  <c r="AH34" i="1"/>
  <c r="AI34" i="1"/>
  <c r="AJ34" i="1"/>
  <c r="AA34" i="1"/>
  <c r="O34" i="1"/>
  <c r="O35" i="1"/>
  <c r="P35" i="1"/>
  <c r="Q35" i="1"/>
  <c r="R35" i="1"/>
  <c r="S35" i="1"/>
  <c r="T35" i="1"/>
  <c r="U35" i="1"/>
  <c r="V35" i="1"/>
  <c r="W35" i="1"/>
  <c r="X35" i="1"/>
  <c r="O36" i="1"/>
  <c r="P36" i="1"/>
  <c r="Q36" i="1"/>
  <c r="R36" i="1"/>
  <c r="S36" i="1"/>
  <c r="T36" i="1"/>
  <c r="U36" i="1"/>
  <c r="V36" i="1"/>
  <c r="W36" i="1"/>
  <c r="X36" i="1"/>
  <c r="O37" i="1"/>
  <c r="P37" i="1"/>
  <c r="Q37" i="1"/>
  <c r="R37" i="1"/>
  <c r="S37" i="1"/>
  <c r="T37" i="1"/>
  <c r="U37" i="1"/>
  <c r="V37" i="1"/>
  <c r="W37" i="1"/>
  <c r="X37" i="1"/>
  <c r="O38" i="1"/>
  <c r="P38" i="1"/>
  <c r="Q38" i="1"/>
  <c r="R38" i="1"/>
  <c r="S38" i="1"/>
  <c r="T38" i="1"/>
  <c r="U38" i="1"/>
  <c r="V38" i="1"/>
  <c r="W38" i="1"/>
  <c r="X38" i="1"/>
  <c r="O39" i="1"/>
  <c r="P39" i="1"/>
  <c r="Q39" i="1"/>
  <c r="R39" i="1"/>
  <c r="S39" i="1"/>
  <c r="T39" i="1"/>
  <c r="U39" i="1"/>
  <c r="V39" i="1"/>
  <c r="W39" i="1"/>
  <c r="X39" i="1"/>
  <c r="O40" i="1"/>
  <c r="P40" i="1"/>
  <c r="Q40" i="1"/>
  <c r="R40" i="1"/>
  <c r="S40" i="1"/>
  <c r="T40" i="1"/>
  <c r="U40" i="1"/>
  <c r="V40" i="1"/>
  <c r="W40" i="1"/>
  <c r="X40" i="1"/>
  <c r="O41" i="1"/>
  <c r="P41" i="1"/>
  <c r="Q41" i="1"/>
  <c r="R41" i="1"/>
  <c r="S41" i="1"/>
  <c r="T41" i="1"/>
  <c r="U41" i="1"/>
  <c r="V41" i="1"/>
  <c r="W41" i="1"/>
  <c r="X41" i="1"/>
  <c r="O42" i="1"/>
  <c r="P42" i="1"/>
  <c r="Q42" i="1"/>
  <c r="R42" i="1"/>
  <c r="S42" i="1"/>
  <c r="T42" i="1"/>
  <c r="U42" i="1"/>
  <c r="V42" i="1"/>
  <c r="W42" i="1"/>
  <c r="X42" i="1"/>
  <c r="O43" i="1"/>
  <c r="P43" i="1"/>
  <c r="Q43" i="1"/>
  <c r="R43" i="1"/>
  <c r="S43" i="1"/>
  <c r="T43" i="1"/>
  <c r="U43" i="1"/>
  <c r="V43" i="1"/>
  <c r="W43" i="1"/>
  <c r="X43" i="1"/>
  <c r="O44" i="1"/>
  <c r="P44" i="1"/>
  <c r="Q44" i="1"/>
  <c r="R44" i="1"/>
  <c r="S44" i="1"/>
  <c r="T44" i="1"/>
  <c r="U44" i="1"/>
  <c r="V44" i="1"/>
  <c r="W44" i="1"/>
  <c r="X44" i="1"/>
  <c r="O45" i="1"/>
  <c r="P45" i="1"/>
  <c r="Q45" i="1"/>
  <c r="R45" i="1"/>
  <c r="S45" i="1"/>
  <c r="T45" i="1"/>
  <c r="U45" i="1"/>
  <c r="V45" i="1"/>
  <c r="W45" i="1"/>
  <c r="X45" i="1"/>
  <c r="O46" i="1"/>
  <c r="P46" i="1"/>
  <c r="Q46" i="1"/>
  <c r="R46" i="1"/>
  <c r="S46" i="1"/>
  <c r="T46" i="1"/>
  <c r="U46" i="1"/>
  <c r="V46" i="1"/>
  <c r="W46" i="1"/>
  <c r="X46" i="1"/>
  <c r="O47" i="1"/>
  <c r="P47" i="1"/>
  <c r="Q47" i="1"/>
  <c r="R47" i="1"/>
  <c r="S47" i="1"/>
  <c r="T47" i="1"/>
  <c r="U47" i="1"/>
  <c r="V47" i="1"/>
  <c r="W47" i="1"/>
  <c r="X47" i="1"/>
  <c r="O48" i="1"/>
  <c r="P48" i="1"/>
  <c r="Q48" i="1"/>
  <c r="R48" i="1"/>
  <c r="S48" i="1"/>
  <c r="T48" i="1"/>
  <c r="U48" i="1"/>
  <c r="V48" i="1"/>
  <c r="W48" i="1"/>
  <c r="X48" i="1"/>
  <c r="O49" i="1"/>
  <c r="P49" i="1"/>
  <c r="Q49" i="1"/>
  <c r="R49" i="1"/>
  <c r="S49" i="1"/>
  <c r="T49" i="1"/>
  <c r="U49" i="1"/>
  <c r="V49" i="1"/>
  <c r="W49" i="1"/>
  <c r="X49" i="1"/>
  <c r="O50" i="1"/>
  <c r="P50" i="1"/>
  <c r="Q50" i="1"/>
  <c r="R50" i="1"/>
  <c r="S50" i="1"/>
  <c r="T50" i="1"/>
  <c r="U50" i="1"/>
  <c r="V50" i="1"/>
  <c r="W50" i="1"/>
  <c r="X50" i="1"/>
  <c r="O51" i="1"/>
  <c r="P51" i="1"/>
  <c r="Q51" i="1"/>
  <c r="R51" i="1"/>
  <c r="S51" i="1"/>
  <c r="T51" i="1"/>
  <c r="U51" i="1"/>
  <c r="V51" i="1"/>
  <c r="W51" i="1"/>
  <c r="X51" i="1"/>
  <c r="O52" i="1"/>
  <c r="P52" i="1"/>
  <c r="Q52" i="1"/>
  <c r="R52" i="1"/>
  <c r="S52" i="1"/>
  <c r="T52" i="1"/>
  <c r="U52" i="1"/>
  <c r="V52" i="1"/>
  <c r="W52" i="1"/>
  <c r="X52" i="1"/>
  <c r="O53" i="1"/>
  <c r="P53" i="1"/>
  <c r="Q53" i="1"/>
  <c r="R53" i="1"/>
  <c r="S53" i="1"/>
  <c r="T53" i="1"/>
  <c r="U53" i="1"/>
  <c r="V53" i="1"/>
  <c r="W53" i="1"/>
  <c r="X53" i="1"/>
  <c r="O54" i="1"/>
  <c r="P54" i="1"/>
  <c r="Q54" i="1"/>
  <c r="R54" i="1"/>
  <c r="S54" i="1"/>
  <c r="T54" i="1"/>
  <c r="U54" i="1"/>
  <c r="V54" i="1"/>
  <c r="W54" i="1"/>
  <c r="X54" i="1"/>
  <c r="O55" i="1"/>
  <c r="P55" i="1"/>
  <c r="Q55" i="1"/>
  <c r="R55" i="1"/>
  <c r="S55" i="1"/>
  <c r="T55" i="1"/>
  <c r="U55" i="1"/>
  <c r="V55" i="1"/>
  <c r="W55" i="1"/>
  <c r="X55" i="1"/>
  <c r="O56" i="1"/>
  <c r="P56" i="1"/>
  <c r="Q56" i="1"/>
  <c r="R56" i="1"/>
  <c r="S56" i="1"/>
  <c r="T56" i="1"/>
  <c r="U56" i="1"/>
  <c r="V56" i="1"/>
  <c r="W56" i="1"/>
  <c r="X56" i="1"/>
  <c r="O57" i="1"/>
  <c r="P57" i="1"/>
  <c r="Q57" i="1"/>
  <c r="R57" i="1"/>
  <c r="S57" i="1"/>
  <c r="T57" i="1"/>
  <c r="U57" i="1"/>
  <c r="V57" i="1"/>
  <c r="W57" i="1"/>
  <c r="X57" i="1"/>
  <c r="O58" i="1"/>
  <c r="P58" i="1"/>
  <c r="Q58" i="1"/>
  <c r="R58" i="1"/>
  <c r="S58" i="1"/>
  <c r="T58" i="1"/>
  <c r="U58" i="1"/>
  <c r="V58" i="1"/>
  <c r="W58" i="1"/>
  <c r="X58" i="1"/>
  <c r="O59" i="1"/>
  <c r="P59" i="1"/>
  <c r="Q59" i="1"/>
  <c r="R59" i="1"/>
  <c r="S59" i="1"/>
  <c r="T59" i="1"/>
  <c r="U59" i="1"/>
  <c r="V59" i="1"/>
  <c r="W59" i="1"/>
  <c r="X59" i="1"/>
  <c r="O60" i="1"/>
  <c r="P60" i="1"/>
  <c r="Q60" i="1"/>
  <c r="R60" i="1"/>
  <c r="S60" i="1"/>
  <c r="T60" i="1"/>
  <c r="U60" i="1"/>
  <c r="V60" i="1"/>
  <c r="W60" i="1"/>
  <c r="X60" i="1"/>
  <c r="P34" i="1"/>
  <c r="Q34" i="1"/>
  <c r="R34" i="1"/>
  <c r="S34" i="1"/>
  <c r="T34" i="1"/>
  <c r="U34" i="1"/>
  <c r="V34" i="1"/>
  <c r="W34" i="1"/>
  <c r="X34" i="1"/>
  <c r="C34" i="1"/>
  <c r="C94" i="1" s="1"/>
  <c r="C35" i="1"/>
  <c r="C95" i="1" s="1"/>
  <c r="D35" i="1"/>
  <c r="D95" i="1" s="1"/>
  <c r="E35" i="1"/>
  <c r="E95" i="1" s="1"/>
  <c r="F35" i="1"/>
  <c r="F95" i="1" s="1"/>
  <c r="G35" i="1"/>
  <c r="G95" i="1" s="1"/>
  <c r="H35" i="1"/>
  <c r="H95" i="1" s="1"/>
  <c r="I35" i="1"/>
  <c r="I95" i="1" s="1"/>
  <c r="J35" i="1"/>
  <c r="J95" i="1" s="1"/>
  <c r="K35" i="1"/>
  <c r="K95" i="1" s="1"/>
  <c r="L35" i="1"/>
  <c r="L95" i="1" s="1"/>
  <c r="C36" i="1"/>
  <c r="C96" i="1" s="1"/>
  <c r="D36" i="1"/>
  <c r="D96" i="1" s="1"/>
  <c r="E36" i="1"/>
  <c r="E96" i="1" s="1"/>
  <c r="F36" i="1"/>
  <c r="F96" i="1" s="1"/>
  <c r="G36" i="1"/>
  <c r="G96" i="1" s="1"/>
  <c r="H36" i="1"/>
  <c r="H96" i="1" s="1"/>
  <c r="I36" i="1"/>
  <c r="I96" i="1" s="1"/>
  <c r="J36" i="1"/>
  <c r="J96" i="1" s="1"/>
  <c r="K36" i="1"/>
  <c r="K96" i="1" s="1"/>
  <c r="L36" i="1"/>
  <c r="L96" i="1" s="1"/>
  <c r="C37" i="1"/>
  <c r="C97" i="1" s="1"/>
  <c r="D37" i="1"/>
  <c r="D97" i="1" s="1"/>
  <c r="E37" i="1"/>
  <c r="E97" i="1" s="1"/>
  <c r="F37" i="1"/>
  <c r="F97" i="1" s="1"/>
  <c r="G37" i="1"/>
  <c r="G97" i="1" s="1"/>
  <c r="H37" i="1"/>
  <c r="H97" i="1" s="1"/>
  <c r="I37" i="1"/>
  <c r="I97" i="1" s="1"/>
  <c r="J37" i="1"/>
  <c r="J97" i="1" s="1"/>
  <c r="K37" i="1"/>
  <c r="K97" i="1" s="1"/>
  <c r="L37" i="1"/>
  <c r="L97" i="1" s="1"/>
  <c r="C38" i="1"/>
  <c r="C98" i="1" s="1"/>
  <c r="D38" i="1"/>
  <c r="D98" i="1" s="1"/>
  <c r="E38" i="1"/>
  <c r="E98" i="1" s="1"/>
  <c r="F38" i="1"/>
  <c r="F98" i="1" s="1"/>
  <c r="G38" i="1"/>
  <c r="G98" i="1" s="1"/>
  <c r="H38" i="1"/>
  <c r="H98" i="1" s="1"/>
  <c r="I38" i="1"/>
  <c r="I98" i="1" s="1"/>
  <c r="J38" i="1"/>
  <c r="J98" i="1" s="1"/>
  <c r="K38" i="1"/>
  <c r="K98" i="1" s="1"/>
  <c r="L38" i="1"/>
  <c r="L98" i="1" s="1"/>
  <c r="C39" i="1"/>
  <c r="C99" i="1" s="1"/>
  <c r="D39" i="1"/>
  <c r="D99" i="1" s="1"/>
  <c r="E39" i="1"/>
  <c r="E99" i="1" s="1"/>
  <c r="F39" i="1"/>
  <c r="F99" i="1" s="1"/>
  <c r="G39" i="1"/>
  <c r="G99" i="1" s="1"/>
  <c r="H39" i="1"/>
  <c r="H99" i="1" s="1"/>
  <c r="I39" i="1"/>
  <c r="I99" i="1" s="1"/>
  <c r="J39" i="1"/>
  <c r="J99" i="1" s="1"/>
  <c r="K39" i="1"/>
  <c r="K99" i="1" s="1"/>
  <c r="L39" i="1"/>
  <c r="L99" i="1" s="1"/>
  <c r="C40" i="1"/>
  <c r="C100" i="1" s="1"/>
  <c r="D40" i="1"/>
  <c r="D100" i="1" s="1"/>
  <c r="E40" i="1"/>
  <c r="E100" i="1" s="1"/>
  <c r="F40" i="1"/>
  <c r="F100" i="1" s="1"/>
  <c r="G40" i="1"/>
  <c r="G100" i="1" s="1"/>
  <c r="H40" i="1"/>
  <c r="H100" i="1" s="1"/>
  <c r="I40" i="1"/>
  <c r="I100" i="1" s="1"/>
  <c r="J40" i="1"/>
  <c r="J100" i="1" s="1"/>
  <c r="K40" i="1"/>
  <c r="K100" i="1" s="1"/>
  <c r="L40" i="1"/>
  <c r="L100" i="1" s="1"/>
  <c r="C41" i="1"/>
  <c r="C101" i="1" s="1"/>
  <c r="D41" i="1"/>
  <c r="D101" i="1" s="1"/>
  <c r="E41" i="1"/>
  <c r="E101" i="1" s="1"/>
  <c r="F41" i="1"/>
  <c r="F101" i="1" s="1"/>
  <c r="G41" i="1"/>
  <c r="G101" i="1" s="1"/>
  <c r="H41" i="1"/>
  <c r="H101" i="1" s="1"/>
  <c r="I41" i="1"/>
  <c r="I101" i="1" s="1"/>
  <c r="J41" i="1"/>
  <c r="J101" i="1" s="1"/>
  <c r="K41" i="1"/>
  <c r="K101" i="1" s="1"/>
  <c r="L41" i="1"/>
  <c r="L101" i="1" s="1"/>
  <c r="C42" i="1"/>
  <c r="C102" i="1" s="1"/>
  <c r="D42" i="1"/>
  <c r="D102" i="1" s="1"/>
  <c r="E42" i="1"/>
  <c r="E102" i="1" s="1"/>
  <c r="F42" i="1"/>
  <c r="F102" i="1" s="1"/>
  <c r="G42" i="1"/>
  <c r="G102" i="1" s="1"/>
  <c r="H42" i="1"/>
  <c r="H102" i="1" s="1"/>
  <c r="I42" i="1"/>
  <c r="I102" i="1" s="1"/>
  <c r="J42" i="1"/>
  <c r="J102" i="1" s="1"/>
  <c r="K42" i="1"/>
  <c r="K102" i="1" s="1"/>
  <c r="L42" i="1"/>
  <c r="L102" i="1" s="1"/>
  <c r="C43" i="1"/>
  <c r="C103" i="1" s="1"/>
  <c r="D43" i="1"/>
  <c r="D103" i="1" s="1"/>
  <c r="E43" i="1"/>
  <c r="E103" i="1" s="1"/>
  <c r="F43" i="1"/>
  <c r="F103" i="1" s="1"/>
  <c r="G43" i="1"/>
  <c r="G103" i="1" s="1"/>
  <c r="H43" i="1"/>
  <c r="H103" i="1" s="1"/>
  <c r="I43" i="1"/>
  <c r="I103" i="1" s="1"/>
  <c r="J43" i="1"/>
  <c r="J103" i="1" s="1"/>
  <c r="K43" i="1"/>
  <c r="K103" i="1" s="1"/>
  <c r="L43" i="1"/>
  <c r="L103" i="1" s="1"/>
  <c r="C44" i="1"/>
  <c r="C104" i="1" s="1"/>
  <c r="D44" i="1"/>
  <c r="D104" i="1" s="1"/>
  <c r="E44" i="1"/>
  <c r="E104" i="1" s="1"/>
  <c r="F44" i="1"/>
  <c r="F104" i="1" s="1"/>
  <c r="G44" i="1"/>
  <c r="G104" i="1" s="1"/>
  <c r="H44" i="1"/>
  <c r="H104" i="1" s="1"/>
  <c r="I44" i="1"/>
  <c r="I104" i="1" s="1"/>
  <c r="J44" i="1"/>
  <c r="J104" i="1" s="1"/>
  <c r="K44" i="1"/>
  <c r="K104" i="1" s="1"/>
  <c r="L44" i="1"/>
  <c r="L104" i="1" s="1"/>
  <c r="C45" i="1"/>
  <c r="C105" i="1" s="1"/>
  <c r="D45" i="1"/>
  <c r="D105" i="1" s="1"/>
  <c r="E45" i="1"/>
  <c r="E105" i="1" s="1"/>
  <c r="F45" i="1"/>
  <c r="F105" i="1" s="1"/>
  <c r="G45" i="1"/>
  <c r="G105" i="1" s="1"/>
  <c r="H45" i="1"/>
  <c r="H105" i="1" s="1"/>
  <c r="I45" i="1"/>
  <c r="I105" i="1" s="1"/>
  <c r="J45" i="1"/>
  <c r="J105" i="1" s="1"/>
  <c r="K45" i="1"/>
  <c r="K105" i="1" s="1"/>
  <c r="L45" i="1"/>
  <c r="L105" i="1" s="1"/>
  <c r="C46" i="1"/>
  <c r="C106" i="1" s="1"/>
  <c r="D46" i="1"/>
  <c r="D106" i="1" s="1"/>
  <c r="E46" i="1"/>
  <c r="E106" i="1" s="1"/>
  <c r="F46" i="1"/>
  <c r="F106" i="1" s="1"/>
  <c r="G46" i="1"/>
  <c r="G106" i="1" s="1"/>
  <c r="H46" i="1"/>
  <c r="H106" i="1" s="1"/>
  <c r="I46" i="1"/>
  <c r="I106" i="1" s="1"/>
  <c r="J46" i="1"/>
  <c r="J106" i="1" s="1"/>
  <c r="K46" i="1"/>
  <c r="K106" i="1" s="1"/>
  <c r="L46" i="1"/>
  <c r="L106" i="1" s="1"/>
  <c r="C47" i="1"/>
  <c r="C107" i="1" s="1"/>
  <c r="D47" i="1"/>
  <c r="D107" i="1" s="1"/>
  <c r="E47" i="1"/>
  <c r="E107" i="1" s="1"/>
  <c r="F47" i="1"/>
  <c r="F107" i="1" s="1"/>
  <c r="G47" i="1"/>
  <c r="G107" i="1" s="1"/>
  <c r="H47" i="1"/>
  <c r="H107" i="1" s="1"/>
  <c r="I47" i="1"/>
  <c r="I107" i="1" s="1"/>
  <c r="J47" i="1"/>
  <c r="J107" i="1" s="1"/>
  <c r="K47" i="1"/>
  <c r="K107" i="1" s="1"/>
  <c r="L47" i="1"/>
  <c r="L107" i="1" s="1"/>
  <c r="C48" i="1"/>
  <c r="C108" i="1" s="1"/>
  <c r="D48" i="1"/>
  <c r="D108" i="1" s="1"/>
  <c r="E48" i="1"/>
  <c r="E108" i="1" s="1"/>
  <c r="F48" i="1"/>
  <c r="F108" i="1" s="1"/>
  <c r="G48" i="1"/>
  <c r="G108" i="1" s="1"/>
  <c r="H48" i="1"/>
  <c r="H108" i="1" s="1"/>
  <c r="I48" i="1"/>
  <c r="I108" i="1" s="1"/>
  <c r="J48" i="1"/>
  <c r="J108" i="1" s="1"/>
  <c r="K48" i="1"/>
  <c r="K108" i="1" s="1"/>
  <c r="L48" i="1"/>
  <c r="L108" i="1" s="1"/>
  <c r="C49" i="1"/>
  <c r="C109" i="1" s="1"/>
  <c r="D49" i="1"/>
  <c r="D109" i="1" s="1"/>
  <c r="E49" i="1"/>
  <c r="E109" i="1" s="1"/>
  <c r="F49" i="1"/>
  <c r="F109" i="1" s="1"/>
  <c r="G49" i="1"/>
  <c r="G109" i="1" s="1"/>
  <c r="H49" i="1"/>
  <c r="H109" i="1" s="1"/>
  <c r="I49" i="1"/>
  <c r="I109" i="1" s="1"/>
  <c r="J49" i="1"/>
  <c r="J109" i="1" s="1"/>
  <c r="K49" i="1"/>
  <c r="K109" i="1" s="1"/>
  <c r="L49" i="1"/>
  <c r="L109" i="1" s="1"/>
  <c r="C50" i="1"/>
  <c r="C110" i="1" s="1"/>
  <c r="D50" i="1"/>
  <c r="D110" i="1" s="1"/>
  <c r="E50" i="1"/>
  <c r="E110" i="1" s="1"/>
  <c r="F50" i="1"/>
  <c r="F110" i="1" s="1"/>
  <c r="G50" i="1"/>
  <c r="G110" i="1" s="1"/>
  <c r="H50" i="1"/>
  <c r="H110" i="1" s="1"/>
  <c r="I50" i="1"/>
  <c r="I110" i="1" s="1"/>
  <c r="J50" i="1"/>
  <c r="J110" i="1" s="1"/>
  <c r="K50" i="1"/>
  <c r="K110" i="1" s="1"/>
  <c r="L50" i="1"/>
  <c r="L110" i="1" s="1"/>
  <c r="C51" i="1"/>
  <c r="C111" i="1" s="1"/>
  <c r="D51" i="1"/>
  <c r="D111" i="1" s="1"/>
  <c r="E51" i="1"/>
  <c r="E111" i="1" s="1"/>
  <c r="F51" i="1"/>
  <c r="F111" i="1" s="1"/>
  <c r="G51" i="1"/>
  <c r="G111" i="1" s="1"/>
  <c r="H51" i="1"/>
  <c r="H111" i="1" s="1"/>
  <c r="I51" i="1"/>
  <c r="I111" i="1" s="1"/>
  <c r="J51" i="1"/>
  <c r="J111" i="1" s="1"/>
  <c r="K51" i="1"/>
  <c r="K111" i="1" s="1"/>
  <c r="L51" i="1"/>
  <c r="L111" i="1" s="1"/>
  <c r="C52" i="1"/>
  <c r="C112" i="1" s="1"/>
  <c r="D52" i="1"/>
  <c r="D112" i="1" s="1"/>
  <c r="E52" i="1"/>
  <c r="E112" i="1" s="1"/>
  <c r="F52" i="1"/>
  <c r="F112" i="1" s="1"/>
  <c r="G52" i="1"/>
  <c r="G112" i="1" s="1"/>
  <c r="H52" i="1"/>
  <c r="H112" i="1" s="1"/>
  <c r="I52" i="1"/>
  <c r="I112" i="1" s="1"/>
  <c r="J52" i="1"/>
  <c r="J112" i="1" s="1"/>
  <c r="K52" i="1"/>
  <c r="K112" i="1" s="1"/>
  <c r="L52" i="1"/>
  <c r="L112" i="1" s="1"/>
  <c r="C53" i="1"/>
  <c r="C113" i="1" s="1"/>
  <c r="D53" i="1"/>
  <c r="D113" i="1" s="1"/>
  <c r="E53" i="1"/>
  <c r="E113" i="1" s="1"/>
  <c r="F53" i="1"/>
  <c r="F113" i="1" s="1"/>
  <c r="G53" i="1"/>
  <c r="G113" i="1" s="1"/>
  <c r="H53" i="1"/>
  <c r="H113" i="1" s="1"/>
  <c r="I53" i="1"/>
  <c r="I113" i="1" s="1"/>
  <c r="J53" i="1"/>
  <c r="J113" i="1" s="1"/>
  <c r="K53" i="1"/>
  <c r="K113" i="1" s="1"/>
  <c r="L53" i="1"/>
  <c r="L113" i="1" s="1"/>
  <c r="C54" i="1"/>
  <c r="C114" i="1" s="1"/>
  <c r="D54" i="1"/>
  <c r="D114" i="1" s="1"/>
  <c r="E54" i="1"/>
  <c r="E114" i="1" s="1"/>
  <c r="F54" i="1"/>
  <c r="F114" i="1" s="1"/>
  <c r="G54" i="1"/>
  <c r="G114" i="1" s="1"/>
  <c r="H54" i="1"/>
  <c r="H114" i="1" s="1"/>
  <c r="I54" i="1"/>
  <c r="I114" i="1" s="1"/>
  <c r="J54" i="1"/>
  <c r="J114" i="1" s="1"/>
  <c r="K54" i="1"/>
  <c r="K114" i="1" s="1"/>
  <c r="L54" i="1"/>
  <c r="L114" i="1" s="1"/>
  <c r="C55" i="1"/>
  <c r="C115" i="1" s="1"/>
  <c r="D55" i="1"/>
  <c r="D115" i="1" s="1"/>
  <c r="E55" i="1"/>
  <c r="E115" i="1" s="1"/>
  <c r="F55" i="1"/>
  <c r="F115" i="1" s="1"/>
  <c r="G55" i="1"/>
  <c r="G115" i="1" s="1"/>
  <c r="H55" i="1"/>
  <c r="H115" i="1" s="1"/>
  <c r="I55" i="1"/>
  <c r="I115" i="1" s="1"/>
  <c r="J55" i="1"/>
  <c r="J115" i="1" s="1"/>
  <c r="K55" i="1"/>
  <c r="K115" i="1" s="1"/>
  <c r="L55" i="1"/>
  <c r="L115" i="1" s="1"/>
  <c r="C56" i="1"/>
  <c r="C116" i="1" s="1"/>
  <c r="D56" i="1"/>
  <c r="D116" i="1" s="1"/>
  <c r="E56" i="1"/>
  <c r="E116" i="1" s="1"/>
  <c r="F56" i="1"/>
  <c r="F116" i="1" s="1"/>
  <c r="G56" i="1"/>
  <c r="G116" i="1" s="1"/>
  <c r="H56" i="1"/>
  <c r="H116" i="1" s="1"/>
  <c r="I56" i="1"/>
  <c r="I116" i="1" s="1"/>
  <c r="J56" i="1"/>
  <c r="J116" i="1" s="1"/>
  <c r="K56" i="1"/>
  <c r="K116" i="1" s="1"/>
  <c r="L56" i="1"/>
  <c r="L116" i="1" s="1"/>
  <c r="C57" i="1"/>
  <c r="C117" i="1" s="1"/>
  <c r="D57" i="1"/>
  <c r="D117" i="1" s="1"/>
  <c r="E57" i="1"/>
  <c r="E117" i="1" s="1"/>
  <c r="F57" i="1"/>
  <c r="F117" i="1" s="1"/>
  <c r="G57" i="1"/>
  <c r="G117" i="1" s="1"/>
  <c r="H57" i="1"/>
  <c r="H117" i="1" s="1"/>
  <c r="I57" i="1"/>
  <c r="I117" i="1" s="1"/>
  <c r="J57" i="1"/>
  <c r="J117" i="1" s="1"/>
  <c r="K57" i="1"/>
  <c r="K117" i="1" s="1"/>
  <c r="L57" i="1"/>
  <c r="L117" i="1" s="1"/>
  <c r="C58" i="1"/>
  <c r="C118" i="1" s="1"/>
  <c r="D58" i="1"/>
  <c r="D118" i="1" s="1"/>
  <c r="E58" i="1"/>
  <c r="E118" i="1" s="1"/>
  <c r="F58" i="1"/>
  <c r="F118" i="1" s="1"/>
  <c r="G58" i="1"/>
  <c r="G118" i="1" s="1"/>
  <c r="H58" i="1"/>
  <c r="H118" i="1" s="1"/>
  <c r="I58" i="1"/>
  <c r="I118" i="1" s="1"/>
  <c r="J58" i="1"/>
  <c r="J118" i="1" s="1"/>
  <c r="K58" i="1"/>
  <c r="K118" i="1" s="1"/>
  <c r="L58" i="1"/>
  <c r="L118" i="1" s="1"/>
  <c r="C59" i="1"/>
  <c r="C119" i="1" s="1"/>
  <c r="D59" i="1"/>
  <c r="D119" i="1" s="1"/>
  <c r="E59" i="1"/>
  <c r="E119" i="1" s="1"/>
  <c r="F59" i="1"/>
  <c r="F119" i="1" s="1"/>
  <c r="G59" i="1"/>
  <c r="G119" i="1" s="1"/>
  <c r="H59" i="1"/>
  <c r="H119" i="1" s="1"/>
  <c r="I59" i="1"/>
  <c r="I119" i="1" s="1"/>
  <c r="J59" i="1"/>
  <c r="J119" i="1" s="1"/>
  <c r="K59" i="1"/>
  <c r="K119" i="1" s="1"/>
  <c r="L59" i="1"/>
  <c r="L119" i="1" s="1"/>
  <c r="C60" i="1"/>
  <c r="C120" i="1" s="1"/>
  <c r="D60" i="1"/>
  <c r="D120" i="1" s="1"/>
  <c r="E60" i="1"/>
  <c r="E120" i="1" s="1"/>
  <c r="F60" i="1"/>
  <c r="F120" i="1" s="1"/>
  <c r="G60" i="1"/>
  <c r="G120" i="1" s="1"/>
  <c r="H60" i="1"/>
  <c r="H120" i="1" s="1"/>
  <c r="I60" i="1"/>
  <c r="I120" i="1" s="1"/>
  <c r="J60" i="1"/>
  <c r="J120" i="1" s="1"/>
  <c r="K60" i="1"/>
  <c r="K120" i="1" s="1"/>
  <c r="L60" i="1"/>
  <c r="L120" i="1" s="1"/>
  <c r="D34" i="1"/>
  <c r="D94" i="1" s="1"/>
  <c r="E34" i="1"/>
  <c r="E94" i="1" s="1"/>
  <c r="F34" i="1"/>
  <c r="F94" i="1" s="1"/>
  <c r="G34" i="1"/>
  <c r="G94" i="1" s="1"/>
  <c r="H34" i="1"/>
  <c r="H94" i="1" s="1"/>
  <c r="I34" i="1"/>
  <c r="I94" i="1" s="1"/>
  <c r="J34" i="1"/>
  <c r="J94" i="1" s="1"/>
  <c r="K34" i="1"/>
  <c r="K94" i="1" s="1"/>
  <c r="L34" i="1"/>
  <c r="L94" i="1" s="1"/>
</calcChain>
</file>

<file path=xl/sharedStrings.xml><?xml version="1.0" encoding="utf-8"?>
<sst xmlns="http://schemas.openxmlformats.org/spreadsheetml/2006/main" count="326" uniqueCount="44">
  <si>
    <t>ESTATÍSTICAS COM PONTUAÇÃO FIXADA (DOBRO OU NADA)</t>
  </si>
  <si>
    <t>RESULTADOS NUMÉRICOS DE VITÓRIAS</t>
  </si>
  <si>
    <t>RESULTADOS NUMÉRICOS DE DERROTAS</t>
  </si>
  <si>
    <t>RESULTADOS NUMÉRICOS DE EMPATES</t>
  </si>
  <si>
    <t>JOGADOR</t>
  </si>
  <si>
    <t>DEALER</t>
  </si>
  <si>
    <t>A</t>
  </si>
  <si>
    <t>BUSTS</t>
  </si>
  <si>
    <t>BLACKJACKS</t>
  </si>
  <si>
    <t>SALDO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</si>
  <si>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</si>
  <si>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</si>
  <si>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</si>
  <si>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</si>
  <si>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</si>
  <si>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</si>
  <si>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</si>
  <si>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</si>
  <si>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</si>
  <si>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</si>
  <si>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</si>
  <si>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</si>
  <si>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</si>
  <si>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</si>
  <si>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</si>
  <si>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</si>
  <si>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</si>
  <si>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</si>
  <si>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</si>
  <si>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</si>
  <si>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</si>
  <si>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</si>
  <si>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</si>
  <si>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</si>
  <si>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</si>
  <si>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</si>
  <si>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</si>
  <si>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RESULTADOS PERCENTUAIS DE VITÓRIAS</t>
  </si>
  <si>
    <t>RESULTADOS PERCENTUAIS DE DERROTAS</t>
  </si>
  <si>
    <t>RESULTADOS PERCENTUAIS DE EMPATES</t>
  </si>
  <si>
    <t>PROBABILIDADE DE VENCER MENOS PROBABILIDADE DE PERDER (DOBRO OU NADA)</t>
  </si>
  <si>
    <t>PROBABILIDADE DE VENCER MENOS PROBABILIDADE DE PERDER (PEDIR)</t>
  </si>
  <si>
    <t>PROBABILIDADE DE VENCER MENOS PROBABILIDADE DE PERDER (PARAR)</t>
  </si>
  <si>
    <t>MELHOR ESTRATÉGIA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</si>
</sst>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10" fontId="0" fillId="0" borderId="1" xfId="0" applyNumberForma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0" fillId="0" borderId="2" xfId="0" applyNumberFormat="1" applyBorder="1" applyAlignment="1"/>
    <xf numFmtId="3" fontId="0" fillId="0" borderId="3" xfId="0" applyNumberFormat="1" applyBorder="1" applyAlignment="1"/>
    <xf numFmtId="164" fontId="0" fillId="0" borderId="2" xfId="0" applyNumberFormat="1" applyBorder="1" applyAlignment="1"/>
    <xf numFmtId="164" fontId="0" fillId="0" borderId="3" xfId="0" applyNumberFormat="1" applyBorder="1" applyAlignment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/>
    </xf>
    <xf numFmtId="0" fontId="0" fillId="2" borderId="4" xfId="0" applyFill="1" applyBorder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120"/>
  <sheetViews>
    <sheetView tabSelected="1" topLeftCell="A70" workbookViewId="0">
      <selection activeCell="C64" sqref="C64:L90"/>
    </sheetView>
  </sheetViews>
  <sheetFormatPr defaultRowHeight="15"/>
  <sheetData>
    <row r="1" spans="2:50">
      <c r="AL1" s="18" t="s">
        <v>0</v>
      </c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2:50">
      <c r="B2" s="8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N2" s="8" t="s">
        <v>2</v>
      </c>
      <c r="O2" s="8"/>
      <c r="P2" s="8"/>
      <c r="Q2" s="8"/>
      <c r="R2" s="8"/>
      <c r="S2" s="8"/>
      <c r="T2" s="8"/>
      <c r="U2" s="8"/>
      <c r="V2" s="8"/>
      <c r="W2" s="8"/>
      <c r="X2" s="8"/>
      <c r="Z2" s="8" t="s">
        <v>3</v>
      </c>
      <c r="AA2" s="8"/>
      <c r="AB2" s="8"/>
      <c r="AC2" s="8"/>
      <c r="AD2" s="8"/>
      <c r="AE2" s="8"/>
      <c r="AF2" s="8"/>
      <c r="AG2" s="8"/>
      <c r="AH2" s="8"/>
      <c r="AI2" s="8"/>
      <c r="AJ2" s="8"/>
      <c r="AL2" s="1"/>
      <c r="AM2" s="7" t="s">
        <v>4</v>
      </c>
      <c r="AN2" s="8"/>
      <c r="AO2" s="8"/>
      <c r="AP2" s="8"/>
      <c r="AQ2" s="8"/>
      <c r="AR2" s="8"/>
      <c r="AS2" s="8" t="s">
        <v>5</v>
      </c>
      <c r="AT2" s="8"/>
      <c r="AU2" s="8"/>
      <c r="AV2" s="8"/>
      <c r="AW2" s="8"/>
      <c r="AX2" s="8"/>
    </row>
    <row r="3" spans="2:50">
      <c r="B3" s="1"/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 t="s">
        <v>6</v>
      </c>
      <c r="N3" s="1"/>
      <c r="O3" s="2">
        <v>2</v>
      </c>
      <c r="P3" s="2">
        <v>3</v>
      </c>
      <c r="Q3" s="2">
        <v>4</v>
      </c>
      <c r="R3" s="2">
        <v>5</v>
      </c>
      <c r="S3" s="2">
        <v>6</v>
      </c>
      <c r="T3" s="2">
        <v>7</v>
      </c>
      <c r="U3" s="2">
        <v>8</v>
      </c>
      <c r="V3" s="2">
        <v>9</v>
      </c>
      <c r="W3" s="2">
        <v>10</v>
      </c>
      <c r="X3" s="2" t="s">
        <v>6</v>
      </c>
      <c r="Z3" s="1"/>
      <c r="AA3" s="2">
        <v>2</v>
      </c>
      <c r="AB3" s="2">
        <v>3</v>
      </c>
      <c r="AC3" s="2">
        <v>4</v>
      </c>
      <c r="AD3" s="2">
        <v>5</v>
      </c>
      <c r="AE3" s="2">
        <v>6</v>
      </c>
      <c r="AF3" s="2">
        <v>7</v>
      </c>
      <c r="AG3" s="2">
        <v>8</v>
      </c>
      <c r="AH3" s="2">
        <v>9</v>
      </c>
      <c r="AI3" s="2">
        <v>10</v>
      </c>
      <c r="AJ3" s="2" t="s">
        <v>6</v>
      </c>
      <c r="AL3" s="19"/>
      <c r="AM3" s="14" t="s">
        <v>7</v>
      </c>
      <c r="AN3" s="15"/>
      <c r="AO3" s="14" t="s">
        <v>8</v>
      </c>
      <c r="AP3" s="15"/>
      <c r="AQ3" s="14" t="s">
        <v>9</v>
      </c>
      <c r="AR3" s="15"/>
      <c r="AS3" s="14" t="s">
        <v>7</v>
      </c>
      <c r="AT3" s="15"/>
      <c r="AU3" s="14" t="s">
        <v>8</v>
      </c>
      <c r="AV3" s="15"/>
      <c r="AW3" s="16" t="s">
        <v>9</v>
      </c>
      <c r="AX3" s="17"/>
    </row>
    <row r="4" spans="2:50">
      <c r="B4" s="2" t="s">
        <v>10</v>
      </c>
      <c r="C4" s="3">
        <v>271780</v>
      </c>
      <c r="D4" s="3">
        <v>288463</v>
      </c>
      <c r="E4" s="3">
        <v>303873</v>
      </c>
      <c r="F4" s="3">
        <v>321897</v>
      </c>
      <c r="G4" s="3">
        <v>324615</v>
      </c>
      <c r="H4" s="3">
        <v>200848</v>
      </c>
      <c r="I4" s="3">
        <v>187492</v>
      </c>
      <c r="J4" s="3">
        <v>176929</v>
      </c>
      <c r="K4" s="3">
        <v>653816</v>
      </c>
      <c r="L4" s="3">
        <v>88917</v>
      </c>
      <c r="N4" s="2" t="s">
        <v>10</v>
      </c>
      <c r="O4" s="3">
        <v>497725</v>
      </c>
      <c r="P4" s="3">
        <v>480927</v>
      </c>
      <c r="Q4" s="3">
        <v>465178</v>
      </c>
      <c r="R4" s="3">
        <v>447173</v>
      </c>
      <c r="S4" s="3">
        <v>444471</v>
      </c>
      <c r="T4" s="3">
        <v>566902</v>
      </c>
      <c r="U4" s="3">
        <v>581120</v>
      </c>
      <c r="V4" s="3">
        <v>593089</v>
      </c>
      <c r="W4" s="3">
        <v>2425164</v>
      </c>
      <c r="X4" s="3">
        <v>679621</v>
      </c>
      <c r="Z4" s="2" t="s">
        <v>10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L4" s="13" t="s">
        <v>10</v>
      </c>
      <c r="AM4" s="9">
        <v>0</v>
      </c>
      <c r="AN4" s="10"/>
      <c r="AO4" s="9">
        <v>0</v>
      </c>
      <c r="AP4" s="10"/>
      <c r="AQ4" s="11">
        <v>-8251836</v>
      </c>
      <c r="AR4" s="12"/>
      <c r="AS4" s="9">
        <v>2818630</v>
      </c>
      <c r="AT4" s="10"/>
      <c r="AU4" s="9">
        <v>473644</v>
      </c>
      <c r="AV4" s="10"/>
      <c r="AW4" s="11">
        <v>8251836</v>
      </c>
      <c r="AX4" s="12"/>
    </row>
    <row r="5" spans="2:50">
      <c r="B5" s="2" t="s">
        <v>11</v>
      </c>
      <c r="C5" s="3">
        <v>272394</v>
      </c>
      <c r="D5" s="3">
        <v>288307</v>
      </c>
      <c r="E5" s="3">
        <v>305470</v>
      </c>
      <c r="F5" s="3">
        <v>322701</v>
      </c>
      <c r="G5" s="3">
        <v>324973</v>
      </c>
      <c r="H5" s="3">
        <v>201394</v>
      </c>
      <c r="I5" s="3">
        <v>187496</v>
      </c>
      <c r="J5" s="3">
        <v>176411</v>
      </c>
      <c r="K5" s="3">
        <v>653026</v>
      </c>
      <c r="L5" s="3">
        <v>88723</v>
      </c>
      <c r="N5" s="2" t="s">
        <v>11</v>
      </c>
      <c r="O5" s="3">
        <v>496899</v>
      </c>
      <c r="P5" s="3">
        <v>481746</v>
      </c>
      <c r="Q5" s="3">
        <v>463691</v>
      </c>
      <c r="R5" s="3">
        <v>447411</v>
      </c>
      <c r="S5" s="3">
        <v>442907</v>
      </c>
      <c r="T5" s="3">
        <v>567763</v>
      </c>
      <c r="U5" s="3">
        <v>581018</v>
      </c>
      <c r="V5" s="3">
        <v>592738</v>
      </c>
      <c r="W5" s="3">
        <v>2423720</v>
      </c>
      <c r="X5" s="3">
        <v>681212</v>
      </c>
      <c r="Z5" s="2" t="s">
        <v>11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L5" s="2" t="s">
        <v>11</v>
      </c>
      <c r="AM5" s="9">
        <v>0</v>
      </c>
      <c r="AN5" s="10"/>
      <c r="AO5" s="9">
        <v>0</v>
      </c>
      <c r="AP5" s="10"/>
      <c r="AQ5" s="11">
        <v>-8242041</v>
      </c>
      <c r="AR5" s="12"/>
      <c r="AS5" s="9">
        <v>2820895</v>
      </c>
      <c r="AT5" s="10"/>
      <c r="AU5" s="9">
        <v>474379</v>
      </c>
      <c r="AV5" s="10"/>
      <c r="AW5" s="11">
        <v>8242041</v>
      </c>
      <c r="AX5" s="12"/>
    </row>
    <row r="6" spans="2:50">
      <c r="B6" s="2" t="s">
        <v>12</v>
      </c>
      <c r="C6" s="3">
        <v>271543</v>
      </c>
      <c r="D6" s="3">
        <v>287604</v>
      </c>
      <c r="E6" s="3">
        <v>305679</v>
      </c>
      <c r="F6" s="3">
        <v>321724</v>
      </c>
      <c r="G6" s="3">
        <v>325008</v>
      </c>
      <c r="H6" s="3">
        <v>201342</v>
      </c>
      <c r="I6" s="3">
        <v>187609</v>
      </c>
      <c r="J6" s="3">
        <v>176193</v>
      </c>
      <c r="K6" s="3">
        <v>653747</v>
      </c>
      <c r="L6" s="3">
        <v>89233</v>
      </c>
      <c r="N6" s="2" t="s">
        <v>12</v>
      </c>
      <c r="O6" s="3">
        <v>488588</v>
      </c>
      <c r="P6" s="3">
        <v>472408</v>
      </c>
      <c r="Q6" s="3">
        <v>457635</v>
      </c>
      <c r="R6" s="3">
        <v>439176</v>
      </c>
      <c r="S6" s="3">
        <v>435115</v>
      </c>
      <c r="T6" s="3">
        <v>546065</v>
      </c>
      <c r="U6" s="3">
        <v>573590</v>
      </c>
      <c r="V6" s="3">
        <v>586755</v>
      </c>
      <c r="W6" s="3">
        <v>2396346</v>
      </c>
      <c r="X6" s="3">
        <v>673191</v>
      </c>
      <c r="Z6" s="2" t="s">
        <v>12</v>
      </c>
      <c r="AA6" s="3">
        <v>8225</v>
      </c>
      <c r="AB6" s="3">
        <v>7935</v>
      </c>
      <c r="AC6" s="3">
        <v>7778</v>
      </c>
      <c r="AD6" s="3">
        <v>7162</v>
      </c>
      <c r="AE6" s="3">
        <v>9504</v>
      </c>
      <c r="AF6" s="3">
        <v>22077</v>
      </c>
      <c r="AG6" s="3">
        <v>7709</v>
      </c>
      <c r="AH6" s="3">
        <v>7161</v>
      </c>
      <c r="AI6" s="3">
        <v>26527</v>
      </c>
      <c r="AJ6" s="3">
        <v>7371</v>
      </c>
      <c r="AL6" s="2" t="s">
        <v>12</v>
      </c>
      <c r="AM6" s="9">
        <v>0</v>
      </c>
      <c r="AN6" s="10"/>
      <c r="AO6" s="9">
        <v>0</v>
      </c>
      <c r="AP6" s="10"/>
      <c r="AQ6" s="11">
        <v>-8022256</v>
      </c>
      <c r="AR6" s="12"/>
      <c r="AS6" s="9">
        <v>2819682</v>
      </c>
      <c r="AT6" s="10"/>
      <c r="AU6" s="9">
        <v>476118</v>
      </c>
      <c r="AV6" s="10"/>
      <c r="AW6" s="11">
        <v>8022256</v>
      </c>
      <c r="AX6" s="12"/>
    </row>
    <row r="7" spans="2:50">
      <c r="B7" s="2" t="s">
        <v>13</v>
      </c>
      <c r="C7" s="3">
        <v>279803</v>
      </c>
      <c r="D7" s="3">
        <v>295439</v>
      </c>
      <c r="E7" s="3">
        <v>310919</v>
      </c>
      <c r="F7" s="3">
        <v>330016</v>
      </c>
      <c r="G7" s="3">
        <v>333994</v>
      </c>
      <c r="H7" s="3">
        <v>223570</v>
      </c>
      <c r="I7" s="3">
        <v>196182</v>
      </c>
      <c r="J7" s="3">
        <v>183457</v>
      </c>
      <c r="K7" s="3">
        <v>680107</v>
      </c>
      <c r="L7" s="3">
        <v>96005</v>
      </c>
      <c r="N7" s="2" t="s">
        <v>13</v>
      </c>
      <c r="O7" s="3">
        <v>448172</v>
      </c>
      <c r="P7" s="3">
        <v>433728</v>
      </c>
      <c r="Q7" s="3">
        <v>418146</v>
      </c>
      <c r="R7" s="3">
        <v>403982</v>
      </c>
      <c r="S7" s="3">
        <v>389288</v>
      </c>
      <c r="T7" s="3">
        <v>449626</v>
      </c>
      <c r="U7" s="3">
        <v>521771</v>
      </c>
      <c r="V7" s="3">
        <v>549916</v>
      </c>
      <c r="W7" s="3">
        <v>2266389</v>
      </c>
      <c r="X7" s="3">
        <v>634015</v>
      </c>
      <c r="Z7" s="2" t="s">
        <v>13</v>
      </c>
      <c r="AA7" s="3">
        <v>41069</v>
      </c>
      <c r="AB7" s="3">
        <v>39660</v>
      </c>
      <c r="AC7" s="3">
        <v>38557</v>
      </c>
      <c r="AD7" s="3">
        <v>36158</v>
      </c>
      <c r="AE7" s="3">
        <v>45693</v>
      </c>
      <c r="AF7" s="3">
        <v>95634</v>
      </c>
      <c r="AG7" s="3">
        <v>52103</v>
      </c>
      <c r="AH7" s="3">
        <v>35785</v>
      </c>
      <c r="AI7" s="3">
        <v>132460</v>
      </c>
      <c r="AJ7" s="3">
        <v>38356</v>
      </c>
      <c r="AL7" s="2" t="s">
        <v>13</v>
      </c>
      <c r="AM7" s="9">
        <v>0</v>
      </c>
      <c r="AN7" s="10"/>
      <c r="AO7" s="9">
        <v>0</v>
      </c>
      <c r="AP7" s="10"/>
      <c r="AQ7" s="11">
        <v>-6695493</v>
      </c>
      <c r="AR7" s="12"/>
      <c r="AS7" s="9">
        <v>2818217</v>
      </c>
      <c r="AT7" s="10"/>
      <c r="AU7" s="9">
        <v>475589</v>
      </c>
      <c r="AV7" s="10"/>
      <c r="AW7" s="11">
        <v>6695493</v>
      </c>
      <c r="AX7" s="12"/>
    </row>
    <row r="8" spans="2:50">
      <c r="B8" s="2" t="s">
        <v>14</v>
      </c>
      <c r="C8" s="3">
        <v>321467</v>
      </c>
      <c r="D8" s="3">
        <v>334674</v>
      </c>
      <c r="E8" s="3">
        <v>351673</v>
      </c>
      <c r="F8" s="3">
        <v>365402</v>
      </c>
      <c r="G8" s="3">
        <v>380453</v>
      </c>
      <c r="H8" s="3">
        <v>318520</v>
      </c>
      <c r="I8" s="3">
        <v>247136</v>
      </c>
      <c r="J8" s="3">
        <v>219239</v>
      </c>
      <c r="K8" s="3">
        <v>811865</v>
      </c>
      <c r="L8" s="3">
        <v>135426</v>
      </c>
      <c r="N8" s="2" t="s">
        <v>14</v>
      </c>
      <c r="O8" s="3">
        <v>400422</v>
      </c>
      <c r="P8" s="3">
        <v>387080</v>
      </c>
      <c r="Q8" s="3">
        <v>373446</v>
      </c>
      <c r="R8" s="3">
        <v>360885</v>
      </c>
      <c r="S8" s="3">
        <v>346561</v>
      </c>
      <c r="T8" s="3">
        <v>391905</v>
      </c>
      <c r="U8" s="3">
        <v>420458</v>
      </c>
      <c r="V8" s="3">
        <v>494016</v>
      </c>
      <c r="W8" s="3">
        <v>2107382</v>
      </c>
      <c r="X8" s="3">
        <v>588046</v>
      </c>
      <c r="Z8" s="2" t="s">
        <v>14</v>
      </c>
      <c r="AA8" s="3">
        <v>47978</v>
      </c>
      <c r="AB8" s="3">
        <v>46421</v>
      </c>
      <c r="AC8" s="3">
        <v>44442</v>
      </c>
      <c r="AD8" s="3">
        <v>43183</v>
      </c>
      <c r="AE8" s="3">
        <v>41561</v>
      </c>
      <c r="AF8" s="3">
        <v>59686</v>
      </c>
      <c r="AG8" s="3">
        <v>99927</v>
      </c>
      <c r="AH8" s="3">
        <v>55591</v>
      </c>
      <c r="AI8" s="3">
        <v>158760</v>
      </c>
      <c r="AJ8" s="3">
        <v>46395</v>
      </c>
      <c r="AL8" s="2" t="s">
        <v>14</v>
      </c>
      <c r="AM8" s="9">
        <v>0</v>
      </c>
      <c r="AN8" s="10"/>
      <c r="AO8" s="9">
        <v>0</v>
      </c>
      <c r="AP8" s="10"/>
      <c r="AQ8" s="11">
        <v>-4294128</v>
      </c>
      <c r="AR8" s="12"/>
      <c r="AS8" s="9">
        <v>2819514</v>
      </c>
      <c r="AT8" s="10"/>
      <c r="AU8" s="9">
        <v>474564</v>
      </c>
      <c r="AV8" s="10"/>
      <c r="AW8" s="11">
        <v>4294128</v>
      </c>
      <c r="AX8" s="12"/>
    </row>
    <row r="9" spans="2:50">
      <c r="B9" s="2" t="s">
        <v>15</v>
      </c>
      <c r="C9" s="3">
        <v>369780</v>
      </c>
      <c r="D9" s="3">
        <v>382403</v>
      </c>
      <c r="E9" s="3">
        <v>394888</v>
      </c>
      <c r="F9" s="3">
        <v>408331</v>
      </c>
      <c r="G9" s="3">
        <v>422219</v>
      </c>
      <c r="H9" s="3">
        <v>378425</v>
      </c>
      <c r="I9" s="3">
        <v>347922</v>
      </c>
      <c r="J9" s="3">
        <v>275210</v>
      </c>
      <c r="K9" s="3">
        <v>970430</v>
      </c>
      <c r="L9" s="3">
        <v>181073</v>
      </c>
      <c r="N9" s="2" t="s">
        <v>15</v>
      </c>
      <c r="O9" s="3">
        <v>344860</v>
      </c>
      <c r="P9" s="3">
        <v>333308</v>
      </c>
      <c r="Q9" s="3">
        <v>323617</v>
      </c>
      <c r="R9" s="3">
        <v>311741</v>
      </c>
      <c r="S9" s="3">
        <v>299869</v>
      </c>
      <c r="T9" s="3">
        <v>337456</v>
      </c>
      <c r="U9" s="3">
        <v>359005</v>
      </c>
      <c r="V9" s="3">
        <v>389472</v>
      </c>
      <c r="W9" s="3">
        <v>1865824</v>
      </c>
      <c r="X9" s="3">
        <v>533525</v>
      </c>
      <c r="Z9" s="2" t="s">
        <v>15</v>
      </c>
      <c r="AA9" s="3">
        <v>54814</v>
      </c>
      <c r="AB9" s="3">
        <v>52589</v>
      </c>
      <c r="AC9" s="3">
        <v>51067</v>
      </c>
      <c r="AD9" s="3">
        <v>49168</v>
      </c>
      <c r="AE9" s="3">
        <v>47932</v>
      </c>
      <c r="AF9" s="3">
        <v>53480</v>
      </c>
      <c r="AG9" s="3">
        <v>64127</v>
      </c>
      <c r="AH9" s="3">
        <v>103768</v>
      </c>
      <c r="AI9" s="3">
        <v>239428</v>
      </c>
      <c r="AJ9" s="3">
        <v>54269</v>
      </c>
      <c r="AL9" s="2" t="s">
        <v>15</v>
      </c>
      <c r="AM9" s="9">
        <v>0</v>
      </c>
      <c r="AN9" s="10"/>
      <c r="AO9" s="9">
        <v>0</v>
      </c>
      <c r="AP9" s="10"/>
      <c r="AQ9" s="11">
        <v>-1461105</v>
      </c>
      <c r="AR9" s="12"/>
      <c r="AS9" s="9">
        <v>2817554</v>
      </c>
      <c r="AT9" s="10"/>
      <c r="AU9" s="9">
        <v>474887</v>
      </c>
      <c r="AV9" s="10"/>
      <c r="AW9" s="11">
        <v>1461105</v>
      </c>
      <c r="AX9" s="12"/>
    </row>
    <row r="10" spans="2:50">
      <c r="B10" s="2" t="s">
        <v>16</v>
      </c>
      <c r="C10" s="3">
        <v>423463</v>
      </c>
      <c r="D10" s="3">
        <v>435666</v>
      </c>
      <c r="E10" s="3">
        <v>446563</v>
      </c>
      <c r="F10" s="3">
        <v>458645</v>
      </c>
      <c r="G10" s="3">
        <v>468503</v>
      </c>
      <c r="H10" s="3">
        <v>432342</v>
      </c>
      <c r="I10" s="3">
        <v>410656</v>
      </c>
      <c r="J10" s="3">
        <v>377950</v>
      </c>
      <c r="K10" s="3">
        <v>1211714</v>
      </c>
      <c r="L10" s="3">
        <v>234506</v>
      </c>
      <c r="N10" s="2" t="s">
        <v>16</v>
      </c>
      <c r="O10" s="3">
        <v>285482</v>
      </c>
      <c r="P10" s="3">
        <v>276332</v>
      </c>
      <c r="Q10" s="3">
        <v>267130</v>
      </c>
      <c r="R10" s="3">
        <v>255845</v>
      </c>
      <c r="S10" s="3">
        <v>246869</v>
      </c>
      <c r="T10" s="3">
        <v>280076</v>
      </c>
      <c r="U10" s="3">
        <v>301218</v>
      </c>
      <c r="V10" s="3">
        <v>323875</v>
      </c>
      <c r="W10" s="3">
        <v>1462629</v>
      </c>
      <c r="X10" s="3">
        <v>477107</v>
      </c>
      <c r="Z10" s="2" t="s">
        <v>16</v>
      </c>
      <c r="AA10" s="3">
        <v>60716</v>
      </c>
      <c r="AB10" s="3">
        <v>58627</v>
      </c>
      <c r="AC10" s="3">
        <v>56499</v>
      </c>
      <c r="AD10" s="3">
        <v>54304</v>
      </c>
      <c r="AE10" s="3">
        <v>52304</v>
      </c>
      <c r="AF10" s="3">
        <v>56995</v>
      </c>
      <c r="AG10" s="3">
        <v>56888</v>
      </c>
      <c r="AH10" s="3">
        <v>66332</v>
      </c>
      <c r="AI10" s="3">
        <v>403184</v>
      </c>
      <c r="AJ10" s="3">
        <v>57580</v>
      </c>
      <c r="AL10" s="2" t="s">
        <v>16</v>
      </c>
      <c r="AM10" s="9">
        <v>0</v>
      </c>
      <c r="AN10" s="10"/>
      <c r="AO10" s="9">
        <v>0</v>
      </c>
      <c r="AP10" s="10"/>
      <c r="AQ10" s="11">
        <v>1921624</v>
      </c>
      <c r="AR10" s="12"/>
      <c r="AS10" s="9">
        <v>2819958</v>
      </c>
      <c r="AT10" s="10"/>
      <c r="AU10" s="9">
        <v>474734</v>
      </c>
      <c r="AV10" s="10"/>
      <c r="AW10" s="11">
        <v>-1921624</v>
      </c>
      <c r="AX10" s="12"/>
    </row>
    <row r="11" spans="2:50">
      <c r="B11" s="2" t="s">
        <v>17</v>
      </c>
      <c r="C11" s="3">
        <v>447435</v>
      </c>
      <c r="D11" s="3">
        <v>456726</v>
      </c>
      <c r="E11" s="3">
        <v>466092</v>
      </c>
      <c r="F11" s="3">
        <v>478102</v>
      </c>
      <c r="G11" s="3">
        <v>487564</v>
      </c>
      <c r="H11" s="3">
        <v>444052</v>
      </c>
      <c r="I11" s="3">
        <v>421942</v>
      </c>
      <c r="J11" s="3">
        <v>399052</v>
      </c>
      <c r="K11" s="3">
        <v>1445013</v>
      </c>
      <c r="L11" s="3">
        <v>260737</v>
      </c>
      <c r="N11" s="2" t="s">
        <v>17</v>
      </c>
      <c r="O11" s="3">
        <v>263315</v>
      </c>
      <c r="P11" s="3">
        <v>255233</v>
      </c>
      <c r="Q11" s="3">
        <v>246519</v>
      </c>
      <c r="R11" s="3">
        <v>237935</v>
      </c>
      <c r="S11" s="3">
        <v>230278</v>
      </c>
      <c r="T11" s="3">
        <v>267551</v>
      </c>
      <c r="U11" s="3">
        <v>290361</v>
      </c>
      <c r="V11" s="3">
        <v>313476</v>
      </c>
      <c r="W11" s="3">
        <v>1436906</v>
      </c>
      <c r="X11" s="3">
        <v>467133</v>
      </c>
      <c r="Z11" s="2" t="s">
        <v>17</v>
      </c>
      <c r="AA11" s="3">
        <v>59627</v>
      </c>
      <c r="AB11" s="3">
        <v>57300</v>
      </c>
      <c r="AC11" s="3">
        <v>55875</v>
      </c>
      <c r="AD11" s="3">
        <v>53922</v>
      </c>
      <c r="AE11" s="3">
        <v>51337</v>
      </c>
      <c r="AF11" s="3">
        <v>56429</v>
      </c>
      <c r="AG11" s="3">
        <v>57302</v>
      </c>
      <c r="AH11" s="3">
        <v>56404</v>
      </c>
      <c r="AI11" s="3">
        <v>193206</v>
      </c>
      <c r="AJ11" s="3">
        <v>43176</v>
      </c>
      <c r="AL11" s="2" t="s">
        <v>17</v>
      </c>
      <c r="AM11" s="9">
        <v>0</v>
      </c>
      <c r="AN11" s="10"/>
      <c r="AO11" s="9">
        <v>0</v>
      </c>
      <c r="AP11" s="10"/>
      <c r="AQ11" s="11">
        <v>3071301</v>
      </c>
      <c r="AR11" s="12"/>
      <c r="AS11" s="9">
        <v>2816996</v>
      </c>
      <c r="AT11" s="10"/>
      <c r="AU11" s="9">
        <v>475285</v>
      </c>
      <c r="AV11" s="10"/>
      <c r="AW11" s="11">
        <v>-3071301</v>
      </c>
      <c r="AX11" s="12"/>
    </row>
    <row r="12" spans="2:50">
      <c r="B12" s="2" t="s">
        <v>18</v>
      </c>
      <c r="C12" s="3">
        <v>267977</v>
      </c>
      <c r="D12" s="3">
        <v>277714</v>
      </c>
      <c r="E12" s="3">
        <v>285356</v>
      </c>
      <c r="F12" s="3">
        <v>293686</v>
      </c>
      <c r="G12" s="3">
        <v>301740</v>
      </c>
      <c r="H12" s="3">
        <v>264084</v>
      </c>
      <c r="I12" s="3">
        <v>243109</v>
      </c>
      <c r="J12" s="3">
        <v>217542</v>
      </c>
      <c r="K12" s="3">
        <v>772328</v>
      </c>
      <c r="L12" s="3">
        <v>137598</v>
      </c>
      <c r="N12" s="2" t="s">
        <v>18</v>
      </c>
      <c r="O12" s="3">
        <v>463185</v>
      </c>
      <c r="P12" s="3">
        <v>455136</v>
      </c>
      <c r="Q12" s="3">
        <v>447924</v>
      </c>
      <c r="R12" s="3">
        <v>439916</v>
      </c>
      <c r="S12" s="3">
        <v>433824</v>
      </c>
      <c r="T12" s="3">
        <v>461428</v>
      </c>
      <c r="U12" s="3">
        <v>483251</v>
      </c>
      <c r="V12" s="3">
        <v>504804</v>
      </c>
      <c r="W12" s="3">
        <v>2135497</v>
      </c>
      <c r="X12" s="3">
        <v>597649</v>
      </c>
      <c r="Z12" s="2" t="s">
        <v>18</v>
      </c>
      <c r="AA12" s="3">
        <v>37643</v>
      </c>
      <c r="AB12" s="3">
        <v>36932</v>
      </c>
      <c r="AC12" s="3">
        <v>35846</v>
      </c>
      <c r="AD12" s="3">
        <v>34282</v>
      </c>
      <c r="AE12" s="3">
        <v>34012</v>
      </c>
      <c r="AF12" s="3">
        <v>43477</v>
      </c>
      <c r="AG12" s="3">
        <v>44729</v>
      </c>
      <c r="AH12" s="3">
        <v>45725</v>
      </c>
      <c r="AI12" s="3">
        <v>169701</v>
      </c>
      <c r="AJ12" s="3">
        <v>33905</v>
      </c>
      <c r="AL12" s="2" t="s">
        <v>18</v>
      </c>
      <c r="AM12" s="9">
        <v>2933625</v>
      </c>
      <c r="AN12" s="10"/>
      <c r="AO12" s="9">
        <v>0</v>
      </c>
      <c r="AP12" s="10"/>
      <c r="AQ12" s="11">
        <v>-6247141</v>
      </c>
      <c r="AR12" s="12"/>
      <c r="AS12" s="9">
        <v>1950522</v>
      </c>
      <c r="AT12" s="10"/>
      <c r="AU12" s="9">
        <v>475819</v>
      </c>
      <c r="AV12" s="10"/>
      <c r="AW12" s="11">
        <v>6247141</v>
      </c>
      <c r="AX12" s="12"/>
    </row>
    <row r="13" spans="2:50">
      <c r="B13" s="2" t="s">
        <v>19</v>
      </c>
      <c r="C13" s="3">
        <v>247155</v>
      </c>
      <c r="D13" s="3">
        <v>254873</v>
      </c>
      <c r="E13" s="3">
        <v>262275</v>
      </c>
      <c r="F13" s="3">
        <v>269684</v>
      </c>
      <c r="G13" s="3">
        <v>275949</v>
      </c>
      <c r="H13" s="3">
        <v>248013</v>
      </c>
      <c r="I13" s="3">
        <v>227713</v>
      </c>
      <c r="J13" s="3">
        <v>207850</v>
      </c>
      <c r="K13" s="3">
        <v>722533</v>
      </c>
      <c r="L13" s="3">
        <v>130872</v>
      </c>
      <c r="N13" s="2" t="s">
        <v>19</v>
      </c>
      <c r="O13" s="3">
        <v>483169</v>
      </c>
      <c r="P13" s="3">
        <v>477103</v>
      </c>
      <c r="Q13" s="3">
        <v>472881</v>
      </c>
      <c r="R13" s="3">
        <v>465492</v>
      </c>
      <c r="S13" s="3">
        <v>457886</v>
      </c>
      <c r="T13" s="3">
        <v>476880</v>
      </c>
      <c r="U13" s="3">
        <v>497105</v>
      </c>
      <c r="V13" s="3">
        <v>517446</v>
      </c>
      <c r="W13" s="3">
        <v>2184017</v>
      </c>
      <c r="X13" s="3">
        <v>603938</v>
      </c>
      <c r="Z13" s="2" t="s">
        <v>19</v>
      </c>
      <c r="AA13" s="3">
        <v>38501</v>
      </c>
      <c r="AB13" s="3">
        <v>36702</v>
      </c>
      <c r="AC13" s="3">
        <v>35588</v>
      </c>
      <c r="AD13" s="3">
        <v>34577</v>
      </c>
      <c r="AE13" s="3">
        <v>34098</v>
      </c>
      <c r="AF13" s="3">
        <v>43750</v>
      </c>
      <c r="AG13" s="3">
        <v>44403</v>
      </c>
      <c r="AH13" s="3">
        <v>46246</v>
      </c>
      <c r="AI13" s="3">
        <v>168908</v>
      </c>
      <c r="AJ13" s="3">
        <v>34393</v>
      </c>
      <c r="AL13" s="2" t="s">
        <v>19</v>
      </c>
      <c r="AM13" s="9">
        <v>3660944</v>
      </c>
      <c r="AN13" s="10"/>
      <c r="AO13" s="9">
        <v>0</v>
      </c>
      <c r="AP13" s="10"/>
      <c r="AQ13" s="11">
        <v>-7102623</v>
      </c>
      <c r="AR13" s="12"/>
      <c r="AS13" s="9">
        <v>1736013</v>
      </c>
      <c r="AT13" s="10"/>
      <c r="AU13" s="9">
        <v>475377</v>
      </c>
      <c r="AV13" s="10"/>
      <c r="AW13" s="11">
        <v>7102623</v>
      </c>
      <c r="AX13" s="12"/>
    </row>
    <row r="14" spans="2:50">
      <c r="B14" s="2" t="s">
        <v>20</v>
      </c>
      <c r="C14" s="3">
        <v>226132</v>
      </c>
      <c r="D14" s="3">
        <v>231675</v>
      </c>
      <c r="E14" s="3">
        <v>238059</v>
      </c>
      <c r="F14" s="3">
        <v>244186</v>
      </c>
      <c r="G14" s="3">
        <v>250946</v>
      </c>
      <c r="H14" s="3">
        <v>233959</v>
      </c>
      <c r="I14" s="3">
        <v>214439</v>
      </c>
      <c r="J14" s="3">
        <v>193135</v>
      </c>
      <c r="K14" s="3">
        <v>672420</v>
      </c>
      <c r="L14" s="3">
        <v>125628</v>
      </c>
      <c r="N14" s="2" t="s">
        <v>20</v>
      </c>
      <c r="O14" s="3">
        <v>504998</v>
      </c>
      <c r="P14" s="3">
        <v>500075</v>
      </c>
      <c r="Q14" s="3">
        <v>496984</v>
      </c>
      <c r="R14" s="3">
        <v>490609</v>
      </c>
      <c r="S14" s="3">
        <v>483944</v>
      </c>
      <c r="T14" s="3">
        <v>492543</v>
      </c>
      <c r="U14" s="3">
        <v>509198</v>
      </c>
      <c r="V14" s="3">
        <v>530207</v>
      </c>
      <c r="W14" s="3">
        <v>2235586</v>
      </c>
      <c r="X14" s="3">
        <v>610335</v>
      </c>
      <c r="Z14" s="2" t="s">
        <v>20</v>
      </c>
      <c r="AA14" s="3">
        <v>37771</v>
      </c>
      <c r="AB14" s="3">
        <v>36794</v>
      </c>
      <c r="AC14" s="3">
        <v>34871</v>
      </c>
      <c r="AD14" s="3">
        <v>34037</v>
      </c>
      <c r="AE14" s="3">
        <v>34352</v>
      </c>
      <c r="AF14" s="3">
        <v>43528</v>
      </c>
      <c r="AG14" s="3">
        <v>44702</v>
      </c>
      <c r="AH14" s="3">
        <v>45815</v>
      </c>
      <c r="AI14" s="3">
        <v>168733</v>
      </c>
      <c r="AJ14" s="3">
        <v>34339</v>
      </c>
      <c r="AL14" s="2" t="s">
        <v>20</v>
      </c>
      <c r="AM14" s="9">
        <v>4398246</v>
      </c>
      <c r="AN14" s="10"/>
      <c r="AO14" s="9">
        <v>0</v>
      </c>
      <c r="AP14" s="10"/>
      <c r="AQ14" s="11">
        <v>-7973551</v>
      </c>
      <c r="AR14" s="12"/>
      <c r="AS14" s="9">
        <v>1519752</v>
      </c>
      <c r="AT14" s="10"/>
      <c r="AU14" s="9">
        <v>474249</v>
      </c>
      <c r="AV14" s="10"/>
      <c r="AW14" s="11">
        <v>7973551</v>
      </c>
      <c r="AX14" s="12"/>
    </row>
    <row r="15" spans="2:50">
      <c r="B15" s="2" t="s">
        <v>21</v>
      </c>
      <c r="C15" s="3">
        <v>204824</v>
      </c>
      <c r="D15" s="3">
        <v>209057</v>
      </c>
      <c r="E15" s="3">
        <v>214168</v>
      </c>
      <c r="F15" s="3">
        <v>219165</v>
      </c>
      <c r="G15" s="3">
        <v>226251</v>
      </c>
      <c r="H15" s="3">
        <v>218908</v>
      </c>
      <c r="I15" s="3">
        <v>201319</v>
      </c>
      <c r="J15" s="3">
        <v>179872</v>
      </c>
      <c r="K15" s="3">
        <v>620845</v>
      </c>
      <c r="L15" s="3">
        <v>118376</v>
      </c>
      <c r="N15" s="2" t="s">
        <v>21</v>
      </c>
      <c r="O15" s="3">
        <v>526440</v>
      </c>
      <c r="P15" s="3">
        <v>523649</v>
      </c>
      <c r="Q15" s="3">
        <v>519890</v>
      </c>
      <c r="R15" s="3">
        <v>515496</v>
      </c>
      <c r="S15" s="3">
        <v>509658</v>
      </c>
      <c r="T15" s="3">
        <v>505664</v>
      </c>
      <c r="U15" s="3">
        <v>523598</v>
      </c>
      <c r="V15" s="3">
        <v>543843</v>
      </c>
      <c r="W15" s="3">
        <v>2286455</v>
      </c>
      <c r="X15" s="3">
        <v>618017</v>
      </c>
      <c r="Z15" s="2" t="s">
        <v>21</v>
      </c>
      <c r="AA15" s="3">
        <v>37966</v>
      </c>
      <c r="AB15" s="3">
        <v>36433</v>
      </c>
      <c r="AC15" s="3">
        <v>35646</v>
      </c>
      <c r="AD15" s="3">
        <v>33574</v>
      </c>
      <c r="AE15" s="3">
        <v>34069</v>
      </c>
      <c r="AF15" s="3">
        <v>44032</v>
      </c>
      <c r="AG15" s="3">
        <v>44863</v>
      </c>
      <c r="AH15" s="3">
        <v>45775</v>
      </c>
      <c r="AI15" s="3">
        <v>168162</v>
      </c>
      <c r="AJ15" s="3">
        <v>33985</v>
      </c>
      <c r="AL15" s="2" t="s">
        <v>21</v>
      </c>
      <c r="AM15" s="9">
        <v>5128308</v>
      </c>
      <c r="AN15" s="10"/>
      <c r="AO15" s="9">
        <v>0</v>
      </c>
      <c r="AP15" s="10"/>
      <c r="AQ15" s="11">
        <v>-8845611</v>
      </c>
      <c r="AR15" s="12"/>
      <c r="AS15" s="9">
        <v>1302608</v>
      </c>
      <c r="AT15" s="10"/>
      <c r="AU15" s="9">
        <v>474239</v>
      </c>
      <c r="AV15" s="10"/>
      <c r="AW15" s="11">
        <v>8845611</v>
      </c>
      <c r="AX15" s="12"/>
    </row>
    <row r="16" spans="2:50">
      <c r="B16" s="2" t="s">
        <v>22</v>
      </c>
      <c r="C16" s="3">
        <v>183114</v>
      </c>
      <c r="D16" s="3">
        <v>186775</v>
      </c>
      <c r="E16" s="3">
        <v>190336</v>
      </c>
      <c r="F16" s="3">
        <v>193719</v>
      </c>
      <c r="G16" s="3">
        <v>202954</v>
      </c>
      <c r="H16" s="3">
        <v>204346</v>
      </c>
      <c r="I16" s="3">
        <v>186713</v>
      </c>
      <c r="J16" s="3">
        <v>166600</v>
      </c>
      <c r="K16" s="3">
        <v>570852</v>
      </c>
      <c r="L16" s="3">
        <v>111642</v>
      </c>
      <c r="N16" s="2" t="s">
        <v>22</v>
      </c>
      <c r="O16" s="3">
        <v>547516</v>
      </c>
      <c r="P16" s="3">
        <v>544512</v>
      </c>
      <c r="Q16" s="3">
        <v>543426</v>
      </c>
      <c r="R16" s="3">
        <v>541708</v>
      </c>
      <c r="S16" s="3">
        <v>532759</v>
      </c>
      <c r="T16" s="3">
        <v>521319</v>
      </c>
      <c r="U16" s="3">
        <v>538464</v>
      </c>
      <c r="V16" s="3">
        <v>557188</v>
      </c>
      <c r="W16" s="3">
        <v>2336908</v>
      </c>
      <c r="X16" s="3">
        <v>624257</v>
      </c>
      <c r="Z16" s="2" t="s">
        <v>22</v>
      </c>
      <c r="AA16" s="3">
        <v>38123</v>
      </c>
      <c r="AB16" s="3">
        <v>37001</v>
      </c>
      <c r="AC16" s="3">
        <v>35398</v>
      </c>
      <c r="AD16" s="3">
        <v>34602</v>
      </c>
      <c r="AE16" s="3">
        <v>33431</v>
      </c>
      <c r="AF16" s="3">
        <v>43806</v>
      </c>
      <c r="AG16" s="3">
        <v>45018</v>
      </c>
      <c r="AH16" s="3">
        <v>45694</v>
      </c>
      <c r="AI16" s="3">
        <v>168338</v>
      </c>
      <c r="AJ16" s="3">
        <v>33481</v>
      </c>
      <c r="AL16" s="2" t="s">
        <v>22</v>
      </c>
      <c r="AM16" s="9">
        <v>5860713</v>
      </c>
      <c r="AN16" s="10"/>
      <c r="AO16" s="9">
        <v>0</v>
      </c>
      <c r="AP16" s="10"/>
      <c r="AQ16" s="11">
        <v>-9706347</v>
      </c>
      <c r="AR16" s="12"/>
      <c r="AS16" s="9">
        <v>1084771</v>
      </c>
      <c r="AT16" s="10"/>
      <c r="AU16" s="9">
        <v>475665</v>
      </c>
      <c r="AV16" s="10"/>
      <c r="AW16" s="11">
        <v>9706347</v>
      </c>
      <c r="AX16" s="12"/>
    </row>
    <row r="17" spans="2:50">
      <c r="B17" s="2" t="s">
        <v>23</v>
      </c>
      <c r="C17" s="3">
        <v>162658</v>
      </c>
      <c r="D17" s="3">
        <v>163680</v>
      </c>
      <c r="E17" s="3">
        <v>166748</v>
      </c>
      <c r="F17" s="3">
        <v>170804</v>
      </c>
      <c r="G17" s="3">
        <v>177085</v>
      </c>
      <c r="H17" s="3">
        <v>188650</v>
      </c>
      <c r="I17" s="3">
        <v>171545</v>
      </c>
      <c r="J17" s="3">
        <v>152613</v>
      </c>
      <c r="K17" s="3">
        <v>521071</v>
      </c>
      <c r="L17" s="3">
        <v>103815</v>
      </c>
      <c r="N17" s="2" t="s">
        <v>23</v>
      </c>
      <c r="O17" s="3">
        <v>577259</v>
      </c>
      <c r="P17" s="3">
        <v>575846</v>
      </c>
      <c r="Q17" s="3">
        <v>575980</v>
      </c>
      <c r="R17" s="3">
        <v>571601</v>
      </c>
      <c r="S17" s="3">
        <v>567443</v>
      </c>
      <c r="T17" s="3">
        <v>558719</v>
      </c>
      <c r="U17" s="3">
        <v>559741</v>
      </c>
      <c r="V17" s="3">
        <v>577775</v>
      </c>
      <c r="W17" s="3">
        <v>2413817</v>
      </c>
      <c r="X17" s="3">
        <v>638373</v>
      </c>
      <c r="Z17" s="2" t="s">
        <v>23</v>
      </c>
      <c r="AA17" s="3">
        <v>29626</v>
      </c>
      <c r="AB17" s="3">
        <v>28879</v>
      </c>
      <c r="AC17" s="3">
        <v>28042</v>
      </c>
      <c r="AD17" s="3">
        <v>27428</v>
      </c>
      <c r="AE17" s="3">
        <v>24455</v>
      </c>
      <c r="AF17" s="3">
        <v>21823</v>
      </c>
      <c r="AG17" s="3">
        <v>37209</v>
      </c>
      <c r="AH17" s="3">
        <v>38909</v>
      </c>
      <c r="AI17" s="3">
        <v>142288</v>
      </c>
      <c r="AJ17" s="3">
        <v>26118</v>
      </c>
      <c r="AL17" s="2" t="s">
        <v>23</v>
      </c>
      <c r="AM17" s="9">
        <v>6592236</v>
      </c>
      <c r="AN17" s="10"/>
      <c r="AO17" s="9">
        <v>0</v>
      </c>
      <c r="AP17" s="10"/>
      <c r="AQ17" s="11">
        <v>-10800486</v>
      </c>
      <c r="AR17" s="12"/>
      <c r="AS17" s="9">
        <v>867320</v>
      </c>
      <c r="AT17" s="10"/>
      <c r="AU17" s="9">
        <v>475284</v>
      </c>
      <c r="AV17" s="10"/>
      <c r="AW17" s="11">
        <v>10800486</v>
      </c>
      <c r="AX17" s="12"/>
    </row>
    <row r="18" spans="2:50">
      <c r="B18" s="2" t="s">
        <v>24</v>
      </c>
      <c r="C18" s="3">
        <v>132762</v>
      </c>
      <c r="D18" s="3">
        <v>134091</v>
      </c>
      <c r="E18" s="3">
        <v>136885</v>
      </c>
      <c r="F18" s="3">
        <v>138544</v>
      </c>
      <c r="G18" s="3">
        <v>142193</v>
      </c>
      <c r="H18" s="3">
        <v>151151</v>
      </c>
      <c r="I18" s="3">
        <v>150124</v>
      </c>
      <c r="J18" s="3">
        <v>132732</v>
      </c>
      <c r="K18" s="3">
        <v>443804</v>
      </c>
      <c r="L18" s="3">
        <v>89337</v>
      </c>
      <c r="N18" s="2" t="s">
        <v>24</v>
      </c>
      <c r="O18" s="3">
        <v>614099</v>
      </c>
      <c r="P18" s="3">
        <v>614704</v>
      </c>
      <c r="Q18" s="3">
        <v>612650</v>
      </c>
      <c r="R18" s="3">
        <v>610626</v>
      </c>
      <c r="S18" s="3">
        <v>608178</v>
      </c>
      <c r="T18" s="3">
        <v>605314</v>
      </c>
      <c r="U18" s="3">
        <v>603490</v>
      </c>
      <c r="V18" s="3">
        <v>603465</v>
      </c>
      <c r="W18" s="3">
        <v>2516526</v>
      </c>
      <c r="X18" s="3">
        <v>662250</v>
      </c>
      <c r="Z18" s="2" t="s">
        <v>24</v>
      </c>
      <c r="AA18" s="3">
        <v>21827</v>
      </c>
      <c r="AB18" s="3">
        <v>21209</v>
      </c>
      <c r="AC18" s="3">
        <v>20804</v>
      </c>
      <c r="AD18" s="3">
        <v>19915</v>
      </c>
      <c r="AE18" s="3">
        <v>18188</v>
      </c>
      <c r="AF18" s="3">
        <v>13729</v>
      </c>
      <c r="AG18" s="3">
        <v>15561</v>
      </c>
      <c r="AH18" s="3">
        <v>31311</v>
      </c>
      <c r="AI18" s="3">
        <v>116179</v>
      </c>
      <c r="AJ18" s="3">
        <v>18352</v>
      </c>
      <c r="AL18" s="2" t="s">
        <v>24</v>
      </c>
      <c r="AM18" s="9">
        <v>7324913</v>
      </c>
      <c r="AN18" s="10"/>
      <c r="AO18" s="9">
        <v>0</v>
      </c>
      <c r="AP18" s="10"/>
      <c r="AQ18" s="11">
        <v>-12324083</v>
      </c>
      <c r="AR18" s="12"/>
      <c r="AS18" s="9">
        <v>651326</v>
      </c>
      <c r="AT18" s="10"/>
      <c r="AU18" s="9">
        <v>475275</v>
      </c>
      <c r="AV18" s="10"/>
      <c r="AW18" s="11">
        <v>12324083</v>
      </c>
      <c r="AX18" s="12"/>
    </row>
    <row r="19" spans="2:50">
      <c r="B19" s="2" t="s">
        <v>25</v>
      </c>
      <c r="C19" s="3">
        <v>95427</v>
      </c>
      <c r="D19" s="3">
        <v>97723</v>
      </c>
      <c r="E19" s="3">
        <v>98839</v>
      </c>
      <c r="F19" s="3">
        <v>99285</v>
      </c>
      <c r="G19" s="3">
        <v>100612</v>
      </c>
      <c r="H19" s="3">
        <v>105487</v>
      </c>
      <c r="I19" s="3">
        <v>106824</v>
      </c>
      <c r="J19" s="3">
        <v>104628</v>
      </c>
      <c r="K19" s="3">
        <v>341629</v>
      </c>
      <c r="L19" s="3">
        <v>66011</v>
      </c>
      <c r="N19" s="2" t="s">
        <v>25</v>
      </c>
      <c r="O19" s="3">
        <v>659372</v>
      </c>
      <c r="P19" s="3">
        <v>657925</v>
      </c>
      <c r="Q19" s="3">
        <v>657875</v>
      </c>
      <c r="R19" s="3">
        <v>656475</v>
      </c>
      <c r="S19" s="3">
        <v>655042</v>
      </c>
      <c r="T19" s="3">
        <v>655161</v>
      </c>
      <c r="U19" s="3">
        <v>653951</v>
      </c>
      <c r="V19" s="3">
        <v>655429</v>
      </c>
      <c r="W19" s="3">
        <v>2645855</v>
      </c>
      <c r="X19" s="3">
        <v>691721</v>
      </c>
      <c r="Z19" s="2" t="s">
        <v>25</v>
      </c>
      <c r="AA19" s="3">
        <v>14092</v>
      </c>
      <c r="AB19" s="3">
        <v>13950</v>
      </c>
      <c r="AC19" s="3">
        <v>13569</v>
      </c>
      <c r="AD19" s="3">
        <v>13058</v>
      </c>
      <c r="AE19" s="3">
        <v>11833</v>
      </c>
      <c r="AF19" s="3">
        <v>9056</v>
      </c>
      <c r="AG19" s="3">
        <v>8229</v>
      </c>
      <c r="AH19" s="3">
        <v>10556</v>
      </c>
      <c r="AI19" s="3">
        <v>89774</v>
      </c>
      <c r="AJ19" s="3">
        <v>10612</v>
      </c>
      <c r="AL19" s="2" t="s">
        <v>25</v>
      </c>
      <c r="AM19" s="9">
        <v>8058999</v>
      </c>
      <c r="AN19" s="10"/>
      <c r="AO19" s="9">
        <v>0</v>
      </c>
      <c r="AP19" s="10"/>
      <c r="AQ19" s="11">
        <v>-14270918</v>
      </c>
      <c r="AR19" s="12"/>
      <c r="AS19" s="9">
        <v>434914</v>
      </c>
      <c r="AT19" s="10"/>
      <c r="AU19" s="9">
        <v>473764</v>
      </c>
      <c r="AV19" s="10"/>
      <c r="AW19" s="11">
        <v>14270918</v>
      </c>
      <c r="AX19" s="12"/>
    </row>
    <row r="20" spans="2:50">
      <c r="B20" s="2" t="s">
        <v>26</v>
      </c>
      <c r="C20" s="3">
        <v>52442</v>
      </c>
      <c r="D20" s="3">
        <v>52211</v>
      </c>
      <c r="E20" s="3">
        <v>53065</v>
      </c>
      <c r="F20" s="3">
        <v>52991</v>
      </c>
      <c r="G20" s="3">
        <v>53506</v>
      </c>
      <c r="H20" s="3">
        <v>54716</v>
      </c>
      <c r="I20" s="3">
        <v>54979</v>
      </c>
      <c r="J20" s="3">
        <v>55548</v>
      </c>
      <c r="K20" s="3">
        <v>211228</v>
      </c>
      <c r="L20" s="3">
        <v>36528</v>
      </c>
      <c r="N20" s="2" t="s">
        <v>26</v>
      </c>
      <c r="O20" s="3">
        <v>708867</v>
      </c>
      <c r="P20" s="3">
        <v>709454</v>
      </c>
      <c r="Q20" s="3">
        <v>708966</v>
      </c>
      <c r="R20" s="3">
        <v>709977</v>
      </c>
      <c r="S20" s="3">
        <v>710883</v>
      </c>
      <c r="T20" s="3">
        <v>711075</v>
      </c>
      <c r="U20" s="3">
        <v>710622</v>
      </c>
      <c r="V20" s="3">
        <v>711355</v>
      </c>
      <c r="W20" s="3">
        <v>2855493</v>
      </c>
      <c r="X20" s="3">
        <v>730042</v>
      </c>
      <c r="Z20" s="2" t="s">
        <v>26</v>
      </c>
      <c r="AA20" s="3">
        <v>7073</v>
      </c>
      <c r="AB20" s="3">
        <v>6775</v>
      </c>
      <c r="AC20" s="3">
        <v>6626</v>
      </c>
      <c r="AD20" s="3">
        <v>6360</v>
      </c>
      <c r="AE20" s="3">
        <v>5777</v>
      </c>
      <c r="AF20" s="3">
        <v>4455</v>
      </c>
      <c r="AG20" s="3">
        <v>4070</v>
      </c>
      <c r="AH20" s="3">
        <v>3576</v>
      </c>
      <c r="AI20" s="3">
        <v>8247</v>
      </c>
      <c r="AJ20" s="3">
        <v>3093</v>
      </c>
      <c r="AL20" s="2" t="s">
        <v>26</v>
      </c>
      <c r="AM20" s="9">
        <v>8791811</v>
      </c>
      <c r="AN20" s="10"/>
      <c r="AO20" s="9">
        <v>0</v>
      </c>
      <c r="AP20" s="10"/>
      <c r="AQ20" s="11">
        <v>-16704117</v>
      </c>
      <c r="AR20" s="12"/>
      <c r="AS20" s="9">
        <v>217595</v>
      </c>
      <c r="AT20" s="10"/>
      <c r="AU20" s="9">
        <v>474923</v>
      </c>
      <c r="AV20" s="10"/>
      <c r="AW20" s="11">
        <v>16704117</v>
      </c>
      <c r="AX20" s="12"/>
    </row>
    <row r="21" spans="2:50">
      <c r="B21" s="2" t="s">
        <v>27</v>
      </c>
      <c r="C21" s="3">
        <v>352079</v>
      </c>
      <c r="D21" s="3">
        <v>365437</v>
      </c>
      <c r="E21" s="3">
        <v>379733</v>
      </c>
      <c r="F21" s="3">
        <v>393662</v>
      </c>
      <c r="G21" s="3">
        <v>402626</v>
      </c>
      <c r="H21" s="3">
        <v>327323</v>
      </c>
      <c r="I21" s="3">
        <v>300414</v>
      </c>
      <c r="J21" s="3">
        <v>273326</v>
      </c>
      <c r="K21" s="3">
        <v>971568</v>
      </c>
      <c r="L21" s="3">
        <v>166272</v>
      </c>
      <c r="N21" s="2" t="s">
        <v>27</v>
      </c>
      <c r="O21" s="3">
        <v>379087</v>
      </c>
      <c r="P21" s="3">
        <v>366931</v>
      </c>
      <c r="Q21" s="3">
        <v>353947</v>
      </c>
      <c r="R21" s="3">
        <v>341400</v>
      </c>
      <c r="S21" s="3">
        <v>332841</v>
      </c>
      <c r="T21" s="3">
        <v>398736</v>
      </c>
      <c r="U21" s="3">
        <v>425201</v>
      </c>
      <c r="V21" s="3">
        <v>451202</v>
      </c>
      <c r="W21" s="3">
        <v>1934452</v>
      </c>
      <c r="X21" s="3">
        <v>568192</v>
      </c>
      <c r="Z21" s="2" t="s">
        <v>27</v>
      </c>
      <c r="AA21" s="3">
        <v>37629</v>
      </c>
      <c r="AB21" s="3">
        <v>37302</v>
      </c>
      <c r="AC21" s="3">
        <v>36142</v>
      </c>
      <c r="AD21" s="3">
        <v>33965</v>
      </c>
      <c r="AE21" s="3">
        <v>33816</v>
      </c>
      <c r="AF21" s="3">
        <v>43400</v>
      </c>
      <c r="AG21" s="3">
        <v>44420</v>
      </c>
      <c r="AH21" s="3">
        <v>45528</v>
      </c>
      <c r="AI21" s="3">
        <v>168793</v>
      </c>
      <c r="AJ21" s="3">
        <v>34576</v>
      </c>
      <c r="AL21" s="2" t="s">
        <v>27</v>
      </c>
      <c r="AM21" s="9">
        <v>0</v>
      </c>
      <c r="AN21" s="10"/>
      <c r="AO21" s="9">
        <v>0</v>
      </c>
      <c r="AP21" s="10"/>
      <c r="AQ21" s="11">
        <v>-2764631</v>
      </c>
      <c r="AR21" s="12"/>
      <c r="AS21" s="9">
        <v>2821301</v>
      </c>
      <c r="AT21" s="10"/>
      <c r="AU21" s="9">
        <v>474467</v>
      </c>
      <c r="AV21" s="10"/>
      <c r="AW21" s="11">
        <v>2764631</v>
      </c>
      <c r="AX21" s="12"/>
    </row>
    <row r="22" spans="2:50">
      <c r="B22" s="2" t="s">
        <v>28</v>
      </c>
      <c r="C22" s="3">
        <v>351297</v>
      </c>
      <c r="D22" s="3">
        <v>364510</v>
      </c>
      <c r="E22" s="3">
        <v>379291</v>
      </c>
      <c r="F22" s="3">
        <v>393049</v>
      </c>
      <c r="G22" s="3">
        <v>401285</v>
      </c>
      <c r="H22" s="3">
        <v>325475</v>
      </c>
      <c r="I22" s="3">
        <v>300528</v>
      </c>
      <c r="J22" s="3">
        <v>274223</v>
      </c>
      <c r="K22" s="3">
        <v>971675</v>
      </c>
      <c r="L22" s="3">
        <v>165738</v>
      </c>
      <c r="N22" s="2" t="s">
        <v>28</v>
      </c>
      <c r="O22" s="3">
        <v>380462</v>
      </c>
      <c r="P22" s="3">
        <v>368125</v>
      </c>
      <c r="Q22" s="3">
        <v>355095</v>
      </c>
      <c r="R22" s="3">
        <v>343011</v>
      </c>
      <c r="S22" s="3">
        <v>332889</v>
      </c>
      <c r="T22" s="3">
        <v>400340</v>
      </c>
      <c r="U22" s="3">
        <v>423533</v>
      </c>
      <c r="V22" s="3">
        <v>449514</v>
      </c>
      <c r="W22" s="3">
        <v>1935374</v>
      </c>
      <c r="X22" s="3">
        <v>569437</v>
      </c>
      <c r="Z22" s="2" t="s">
        <v>28</v>
      </c>
      <c r="AA22" s="3">
        <v>38380</v>
      </c>
      <c r="AB22" s="3">
        <v>36804</v>
      </c>
      <c r="AC22" s="3">
        <v>35366</v>
      </c>
      <c r="AD22" s="3">
        <v>34006</v>
      </c>
      <c r="AE22" s="3">
        <v>33982</v>
      </c>
      <c r="AF22" s="3">
        <v>43472</v>
      </c>
      <c r="AG22" s="3">
        <v>44271</v>
      </c>
      <c r="AH22" s="3">
        <v>45762</v>
      </c>
      <c r="AI22" s="3">
        <v>168559</v>
      </c>
      <c r="AJ22" s="3">
        <v>34547</v>
      </c>
      <c r="AL22" s="2" t="s">
        <v>28</v>
      </c>
      <c r="AM22" s="9">
        <v>0</v>
      </c>
      <c r="AN22" s="10"/>
      <c r="AO22" s="9">
        <v>0</v>
      </c>
      <c r="AP22" s="10"/>
      <c r="AQ22" s="11">
        <v>-2786290</v>
      </c>
      <c r="AR22" s="12"/>
      <c r="AS22" s="9">
        <v>2816487</v>
      </c>
      <c r="AT22" s="10"/>
      <c r="AU22" s="9">
        <v>475128</v>
      </c>
      <c r="AV22" s="10"/>
      <c r="AW22" s="11">
        <v>2786290</v>
      </c>
      <c r="AX22" s="12"/>
    </row>
    <row r="23" spans="2:50">
      <c r="B23" s="2" t="s">
        <v>29</v>
      </c>
      <c r="C23" s="3">
        <v>351686</v>
      </c>
      <c r="D23" s="3">
        <v>364716</v>
      </c>
      <c r="E23" s="3">
        <v>379108</v>
      </c>
      <c r="F23" s="3">
        <v>392617</v>
      </c>
      <c r="G23" s="3">
        <v>402049</v>
      </c>
      <c r="H23" s="3">
        <v>326451</v>
      </c>
      <c r="I23" s="3">
        <v>301532</v>
      </c>
      <c r="J23" s="3">
        <v>275137</v>
      </c>
      <c r="K23" s="3">
        <v>973163</v>
      </c>
      <c r="L23" s="3">
        <v>165305</v>
      </c>
      <c r="N23" s="2" t="s">
        <v>29</v>
      </c>
      <c r="O23" s="3">
        <v>379531</v>
      </c>
      <c r="P23" s="3">
        <v>367629</v>
      </c>
      <c r="Q23" s="3">
        <v>355897</v>
      </c>
      <c r="R23" s="3">
        <v>342423</v>
      </c>
      <c r="S23" s="3">
        <v>333145</v>
      </c>
      <c r="T23" s="3">
        <v>398580</v>
      </c>
      <c r="U23" s="3">
        <v>424331</v>
      </c>
      <c r="V23" s="3">
        <v>447813</v>
      </c>
      <c r="W23" s="3">
        <v>1935476</v>
      </c>
      <c r="X23" s="3">
        <v>566685</v>
      </c>
      <c r="Z23" s="2" t="s">
        <v>29</v>
      </c>
      <c r="AA23" s="3">
        <v>38351</v>
      </c>
      <c r="AB23" s="3">
        <v>36624</v>
      </c>
      <c r="AC23" s="3">
        <v>35256</v>
      </c>
      <c r="AD23" s="3">
        <v>34087</v>
      </c>
      <c r="AE23" s="3">
        <v>33901</v>
      </c>
      <c r="AF23" s="3">
        <v>43450</v>
      </c>
      <c r="AG23" s="3">
        <v>45163</v>
      </c>
      <c r="AH23" s="3">
        <v>46166</v>
      </c>
      <c r="AI23" s="3">
        <v>169631</v>
      </c>
      <c r="AJ23" s="3">
        <v>34097</v>
      </c>
      <c r="AL23" s="2" t="s">
        <v>29</v>
      </c>
      <c r="AM23" s="9">
        <v>0</v>
      </c>
      <c r="AN23" s="10"/>
      <c r="AO23" s="9">
        <v>0</v>
      </c>
      <c r="AP23" s="10"/>
      <c r="AQ23" s="11">
        <v>-2765977</v>
      </c>
      <c r="AR23" s="12"/>
      <c r="AS23" s="9">
        <v>2820142</v>
      </c>
      <c r="AT23" s="10"/>
      <c r="AU23" s="9">
        <v>473515</v>
      </c>
      <c r="AV23" s="10"/>
      <c r="AW23" s="11">
        <v>2765977</v>
      </c>
      <c r="AX23" s="12"/>
    </row>
    <row r="24" spans="2:50">
      <c r="B24" s="2" t="s">
        <v>30</v>
      </c>
      <c r="C24" s="3">
        <v>351278</v>
      </c>
      <c r="D24" s="3">
        <v>364445</v>
      </c>
      <c r="E24" s="3">
        <v>378374</v>
      </c>
      <c r="F24" s="3">
        <v>391882</v>
      </c>
      <c r="G24" s="3">
        <v>401947</v>
      </c>
      <c r="H24" s="3">
        <v>327177</v>
      </c>
      <c r="I24" s="3">
        <v>301216</v>
      </c>
      <c r="J24" s="3">
        <v>274598</v>
      </c>
      <c r="K24" s="3">
        <v>973516</v>
      </c>
      <c r="L24" s="3">
        <v>165587</v>
      </c>
      <c r="N24" s="2" t="s">
        <v>30</v>
      </c>
      <c r="O24" s="3">
        <v>379491</v>
      </c>
      <c r="P24" s="3">
        <v>368436</v>
      </c>
      <c r="Q24" s="3">
        <v>355766</v>
      </c>
      <c r="R24" s="3">
        <v>343632</v>
      </c>
      <c r="S24" s="3">
        <v>334556</v>
      </c>
      <c r="T24" s="3">
        <v>397046</v>
      </c>
      <c r="U24" s="3">
        <v>423338</v>
      </c>
      <c r="V24" s="3">
        <v>450171</v>
      </c>
      <c r="W24" s="3">
        <v>1933509</v>
      </c>
      <c r="X24" s="3">
        <v>569616</v>
      </c>
      <c r="Z24" s="2" t="s">
        <v>30</v>
      </c>
      <c r="AA24" s="3">
        <v>38035</v>
      </c>
      <c r="AB24" s="3">
        <v>36451</v>
      </c>
      <c r="AC24" s="3">
        <v>35646</v>
      </c>
      <c r="AD24" s="3">
        <v>33888</v>
      </c>
      <c r="AE24" s="3">
        <v>33865</v>
      </c>
      <c r="AF24" s="3">
        <v>43664</v>
      </c>
      <c r="AG24" s="3">
        <v>44954</v>
      </c>
      <c r="AH24" s="3">
        <v>45824</v>
      </c>
      <c r="AI24" s="3">
        <v>168035</v>
      </c>
      <c r="AJ24" s="3">
        <v>34057</v>
      </c>
      <c r="AL24" s="2" t="s">
        <v>30</v>
      </c>
      <c r="AM24" s="9">
        <v>0</v>
      </c>
      <c r="AN24" s="10"/>
      <c r="AO24" s="9">
        <v>0</v>
      </c>
      <c r="AP24" s="10"/>
      <c r="AQ24" s="11">
        <v>-2775599</v>
      </c>
      <c r="AR24" s="12"/>
      <c r="AS24" s="9">
        <v>2818500</v>
      </c>
      <c r="AT24" s="10"/>
      <c r="AU24" s="9">
        <v>475483</v>
      </c>
      <c r="AV24" s="10"/>
      <c r="AW24" s="11">
        <v>2775599</v>
      </c>
      <c r="AX24" s="12"/>
    </row>
    <row r="25" spans="2:50">
      <c r="B25" s="2" t="s">
        <v>31</v>
      </c>
      <c r="C25" s="3">
        <v>350942</v>
      </c>
      <c r="D25" s="3">
        <v>365302</v>
      </c>
      <c r="E25" s="3">
        <v>376623</v>
      </c>
      <c r="F25" s="3">
        <v>391688</v>
      </c>
      <c r="G25" s="3">
        <v>403290</v>
      </c>
      <c r="H25" s="3">
        <v>327914</v>
      </c>
      <c r="I25" s="3">
        <v>301089</v>
      </c>
      <c r="J25" s="3">
        <v>275003</v>
      </c>
      <c r="K25" s="3">
        <v>973838</v>
      </c>
      <c r="L25" s="3">
        <v>165559</v>
      </c>
      <c r="N25" s="2" t="s">
        <v>31</v>
      </c>
      <c r="O25" s="3">
        <v>379308</v>
      </c>
      <c r="P25" s="3">
        <v>368673</v>
      </c>
      <c r="Q25" s="3">
        <v>356166</v>
      </c>
      <c r="R25" s="3">
        <v>342732</v>
      </c>
      <c r="S25" s="3">
        <v>333634</v>
      </c>
      <c r="T25" s="3">
        <v>398315</v>
      </c>
      <c r="U25" s="3">
        <v>422133</v>
      </c>
      <c r="V25" s="3">
        <v>447778</v>
      </c>
      <c r="W25" s="3">
        <v>1934875</v>
      </c>
      <c r="X25" s="3">
        <v>569363</v>
      </c>
      <c r="Z25" s="2" t="s">
        <v>31</v>
      </c>
      <c r="AA25" s="3">
        <v>37691</v>
      </c>
      <c r="AB25" s="3">
        <v>36911</v>
      </c>
      <c r="AC25" s="3">
        <v>35530</v>
      </c>
      <c r="AD25" s="3">
        <v>34332</v>
      </c>
      <c r="AE25" s="3">
        <v>34057</v>
      </c>
      <c r="AF25" s="3">
        <v>43899</v>
      </c>
      <c r="AG25" s="3">
        <v>44991</v>
      </c>
      <c r="AH25" s="3">
        <v>45833</v>
      </c>
      <c r="AI25" s="3">
        <v>168958</v>
      </c>
      <c r="AJ25" s="3">
        <v>33573</v>
      </c>
      <c r="AL25" s="2" t="s">
        <v>31</v>
      </c>
      <c r="AM25" s="9">
        <v>0</v>
      </c>
      <c r="AN25" s="10"/>
      <c r="AO25" s="9">
        <v>0</v>
      </c>
      <c r="AP25" s="10"/>
      <c r="AQ25" s="11">
        <v>-2768271</v>
      </c>
      <c r="AR25" s="12"/>
      <c r="AS25" s="9">
        <v>2821001</v>
      </c>
      <c r="AT25" s="10"/>
      <c r="AU25" s="9">
        <v>475187</v>
      </c>
      <c r="AV25" s="10"/>
      <c r="AW25" s="11">
        <v>2768271</v>
      </c>
      <c r="AX25" s="12"/>
    </row>
    <row r="26" spans="2:50">
      <c r="B26" s="2" t="s">
        <v>32</v>
      </c>
      <c r="C26" s="3">
        <v>351241</v>
      </c>
      <c r="D26" s="3">
        <v>363550</v>
      </c>
      <c r="E26" s="3">
        <v>376166</v>
      </c>
      <c r="F26" s="3">
        <v>393215</v>
      </c>
      <c r="G26" s="3">
        <v>400544</v>
      </c>
      <c r="H26" s="3">
        <v>328260</v>
      </c>
      <c r="I26" s="3">
        <v>300906</v>
      </c>
      <c r="J26" s="3">
        <v>274719</v>
      </c>
      <c r="K26" s="3">
        <v>973629</v>
      </c>
      <c r="L26" s="3">
        <v>166097</v>
      </c>
      <c r="N26" s="2" t="s">
        <v>32</v>
      </c>
      <c r="O26" s="3">
        <v>354743</v>
      </c>
      <c r="P26" s="3">
        <v>345120</v>
      </c>
      <c r="Q26" s="3">
        <v>332172</v>
      </c>
      <c r="R26" s="3">
        <v>320531</v>
      </c>
      <c r="S26" s="3">
        <v>304074</v>
      </c>
      <c r="T26" s="3">
        <v>333189</v>
      </c>
      <c r="U26" s="3">
        <v>399654</v>
      </c>
      <c r="V26" s="3">
        <v>426709</v>
      </c>
      <c r="W26" s="3">
        <v>1856096</v>
      </c>
      <c r="X26" s="3">
        <v>546441</v>
      </c>
      <c r="Z26" s="2" t="s">
        <v>32</v>
      </c>
      <c r="AA26" s="3">
        <v>62942</v>
      </c>
      <c r="AB26" s="3">
        <v>61182</v>
      </c>
      <c r="AC26" s="3">
        <v>59148</v>
      </c>
      <c r="AD26" s="3">
        <v>56323</v>
      </c>
      <c r="AE26" s="3">
        <v>63951</v>
      </c>
      <c r="AF26" s="3">
        <v>108865</v>
      </c>
      <c r="AG26" s="3">
        <v>68219</v>
      </c>
      <c r="AH26" s="3">
        <v>67610</v>
      </c>
      <c r="AI26" s="3">
        <v>247492</v>
      </c>
      <c r="AJ26" s="3">
        <v>57212</v>
      </c>
      <c r="AL26" s="2" t="s">
        <v>32</v>
      </c>
      <c r="AM26" s="9">
        <v>0</v>
      </c>
      <c r="AN26" s="10"/>
      <c r="AO26" s="9">
        <v>0</v>
      </c>
      <c r="AP26" s="10"/>
      <c r="AQ26" s="11">
        <v>-2106320</v>
      </c>
      <c r="AR26" s="12"/>
      <c r="AS26" s="9">
        <v>2817796</v>
      </c>
      <c r="AT26" s="10"/>
      <c r="AU26" s="9">
        <v>474484</v>
      </c>
      <c r="AV26" s="10"/>
      <c r="AW26" s="11">
        <v>2106320</v>
      </c>
      <c r="AX26" s="12"/>
    </row>
    <row r="27" spans="2:50">
      <c r="B27" s="2" t="s">
        <v>33</v>
      </c>
      <c r="C27" s="3">
        <v>375740</v>
      </c>
      <c r="D27" s="3">
        <v>388165</v>
      </c>
      <c r="E27" s="3">
        <v>402260</v>
      </c>
      <c r="F27" s="3">
        <v>414705</v>
      </c>
      <c r="G27" s="3">
        <v>431931</v>
      </c>
      <c r="H27" s="3">
        <v>392988</v>
      </c>
      <c r="I27" s="3">
        <v>324182</v>
      </c>
      <c r="J27" s="3">
        <v>297027</v>
      </c>
      <c r="K27" s="3">
        <v>1052529</v>
      </c>
      <c r="L27" s="3">
        <v>188735</v>
      </c>
      <c r="N27" s="2" t="s">
        <v>33</v>
      </c>
      <c r="O27" s="3">
        <v>331814</v>
      </c>
      <c r="P27" s="3">
        <v>320448</v>
      </c>
      <c r="Q27" s="3">
        <v>309316</v>
      </c>
      <c r="R27" s="3">
        <v>299181</v>
      </c>
      <c r="S27" s="3">
        <v>284250</v>
      </c>
      <c r="T27" s="3">
        <v>307369</v>
      </c>
      <c r="U27" s="3">
        <v>335015</v>
      </c>
      <c r="V27" s="3">
        <v>406750</v>
      </c>
      <c r="W27" s="3">
        <v>1775736</v>
      </c>
      <c r="X27" s="3">
        <v>522954</v>
      </c>
      <c r="Z27" s="2" t="s">
        <v>33</v>
      </c>
      <c r="AA27" s="3">
        <v>61974</v>
      </c>
      <c r="AB27" s="3">
        <v>59813</v>
      </c>
      <c r="AC27" s="3">
        <v>57817</v>
      </c>
      <c r="AD27" s="3">
        <v>56518</v>
      </c>
      <c r="AE27" s="3">
        <v>53476</v>
      </c>
      <c r="AF27" s="3">
        <v>68988</v>
      </c>
      <c r="AG27" s="3">
        <v>107818</v>
      </c>
      <c r="AH27" s="3">
        <v>66646</v>
      </c>
      <c r="AI27" s="3">
        <v>248682</v>
      </c>
      <c r="AJ27" s="3">
        <v>57173</v>
      </c>
      <c r="AL27" s="2" t="s">
        <v>33</v>
      </c>
      <c r="AM27" s="9">
        <v>0</v>
      </c>
      <c r="AN27" s="10"/>
      <c r="AO27" s="9">
        <v>0</v>
      </c>
      <c r="AP27" s="10"/>
      <c r="AQ27" s="11">
        <v>-773728</v>
      </c>
      <c r="AR27" s="12"/>
      <c r="AS27" s="9">
        <v>2821135</v>
      </c>
      <c r="AT27" s="10"/>
      <c r="AU27" s="9">
        <v>475414</v>
      </c>
      <c r="AV27" s="10"/>
      <c r="AW27" s="11">
        <v>773728</v>
      </c>
      <c r="AX27" s="12"/>
    </row>
    <row r="28" spans="2:50">
      <c r="B28" s="2" t="s">
        <v>34</v>
      </c>
      <c r="C28" s="3">
        <v>399873</v>
      </c>
      <c r="D28" s="3">
        <v>412177</v>
      </c>
      <c r="E28" s="3">
        <v>424252</v>
      </c>
      <c r="F28" s="3">
        <v>436743</v>
      </c>
      <c r="G28" s="3">
        <v>449770</v>
      </c>
      <c r="H28" s="3">
        <v>417607</v>
      </c>
      <c r="I28" s="3">
        <v>387351</v>
      </c>
      <c r="J28" s="3">
        <v>316368</v>
      </c>
      <c r="K28" s="3">
        <v>1132608</v>
      </c>
      <c r="L28" s="3">
        <v>211737</v>
      </c>
      <c r="N28" s="2" t="s">
        <v>34</v>
      </c>
      <c r="O28" s="3">
        <v>308709</v>
      </c>
      <c r="P28" s="3">
        <v>298376</v>
      </c>
      <c r="Q28" s="3">
        <v>288017</v>
      </c>
      <c r="R28" s="3">
        <v>277041</v>
      </c>
      <c r="S28" s="3">
        <v>266167</v>
      </c>
      <c r="T28" s="3">
        <v>292515</v>
      </c>
      <c r="U28" s="3">
        <v>313769</v>
      </c>
      <c r="V28" s="3">
        <v>344245</v>
      </c>
      <c r="W28" s="3">
        <v>1698884</v>
      </c>
      <c r="X28" s="3">
        <v>498972</v>
      </c>
      <c r="Z28" s="2" t="s">
        <v>34</v>
      </c>
      <c r="AA28" s="3">
        <v>60813</v>
      </c>
      <c r="AB28" s="3">
        <v>59769</v>
      </c>
      <c r="AC28" s="3">
        <v>57314</v>
      </c>
      <c r="AD28" s="3">
        <v>55562</v>
      </c>
      <c r="AE28" s="3">
        <v>53574</v>
      </c>
      <c r="AF28" s="3">
        <v>57814</v>
      </c>
      <c r="AG28" s="3">
        <v>67805</v>
      </c>
      <c r="AH28" s="3">
        <v>107158</v>
      </c>
      <c r="AI28" s="3">
        <v>248073</v>
      </c>
      <c r="AJ28" s="3">
        <v>56937</v>
      </c>
      <c r="AL28" s="2" t="s">
        <v>34</v>
      </c>
      <c r="AM28" s="9">
        <v>0</v>
      </c>
      <c r="AN28" s="10"/>
      <c r="AO28" s="9">
        <v>0</v>
      </c>
      <c r="AP28" s="10"/>
      <c r="AQ28" s="11">
        <v>478612</v>
      </c>
      <c r="AR28" s="12"/>
      <c r="AS28" s="9">
        <v>2815611</v>
      </c>
      <c r="AT28" s="10"/>
      <c r="AU28" s="9">
        <v>475030</v>
      </c>
      <c r="AV28" s="10"/>
      <c r="AW28" s="11">
        <v>-478612</v>
      </c>
      <c r="AX28" s="12"/>
    </row>
    <row r="29" spans="2:50">
      <c r="B29" s="2" t="s">
        <v>35</v>
      </c>
      <c r="C29" s="3">
        <v>423788</v>
      </c>
      <c r="D29" s="3">
        <v>433991</v>
      </c>
      <c r="E29" s="3">
        <v>447082</v>
      </c>
      <c r="F29" s="3">
        <v>457432</v>
      </c>
      <c r="G29" s="3">
        <v>469720</v>
      </c>
      <c r="H29" s="3">
        <v>431995</v>
      </c>
      <c r="I29" s="3">
        <v>410942</v>
      </c>
      <c r="J29" s="3">
        <v>378463</v>
      </c>
      <c r="K29" s="3">
        <v>1211033</v>
      </c>
      <c r="L29" s="3">
        <v>235226</v>
      </c>
      <c r="N29" s="2" t="s">
        <v>35</v>
      </c>
      <c r="O29" s="3">
        <v>284563</v>
      </c>
      <c r="P29" s="3">
        <v>275521</v>
      </c>
      <c r="Q29" s="3">
        <v>265531</v>
      </c>
      <c r="R29" s="3">
        <v>257735</v>
      </c>
      <c r="S29" s="3">
        <v>247249</v>
      </c>
      <c r="T29" s="3">
        <v>279890</v>
      </c>
      <c r="U29" s="3">
        <v>301594</v>
      </c>
      <c r="V29" s="3">
        <v>324483</v>
      </c>
      <c r="W29" s="3">
        <v>1461572</v>
      </c>
      <c r="X29" s="3">
        <v>476964</v>
      </c>
      <c r="Z29" s="2" t="s">
        <v>35</v>
      </c>
      <c r="AA29" s="3">
        <v>60822</v>
      </c>
      <c r="AB29" s="3">
        <v>59188</v>
      </c>
      <c r="AC29" s="3">
        <v>56857</v>
      </c>
      <c r="AD29" s="3">
        <v>54282</v>
      </c>
      <c r="AE29" s="3">
        <v>52749</v>
      </c>
      <c r="AF29" s="3">
        <v>57308</v>
      </c>
      <c r="AG29" s="3">
        <v>56205</v>
      </c>
      <c r="AH29" s="3">
        <v>66777</v>
      </c>
      <c r="AI29" s="3">
        <v>403673</v>
      </c>
      <c r="AJ29" s="3">
        <v>57365</v>
      </c>
      <c r="AL29" s="2" t="s">
        <v>35</v>
      </c>
      <c r="AM29" s="9">
        <v>0</v>
      </c>
      <c r="AN29" s="10"/>
      <c r="AO29" s="9">
        <v>0</v>
      </c>
      <c r="AP29" s="10"/>
      <c r="AQ29" s="11">
        <v>1924428</v>
      </c>
      <c r="AR29" s="12"/>
      <c r="AS29" s="9">
        <v>2816885</v>
      </c>
      <c r="AT29" s="10"/>
      <c r="AU29" s="9">
        <v>475288</v>
      </c>
      <c r="AV29" s="10"/>
      <c r="AW29" s="11">
        <v>-1924428</v>
      </c>
      <c r="AX29" s="12"/>
    </row>
    <row r="30" spans="2:50">
      <c r="B30" s="2" t="s">
        <v>36</v>
      </c>
      <c r="C30" s="3">
        <v>770498</v>
      </c>
      <c r="D30" s="3">
        <v>768580</v>
      </c>
      <c r="E30" s="3">
        <v>769362</v>
      </c>
      <c r="F30" s="3">
        <v>768363</v>
      </c>
      <c r="G30" s="3">
        <v>769408</v>
      </c>
      <c r="H30" s="3">
        <v>769087</v>
      </c>
      <c r="I30" s="3">
        <v>768379</v>
      </c>
      <c r="J30" s="3">
        <v>769756</v>
      </c>
      <c r="K30" s="3">
        <v>2839074</v>
      </c>
      <c r="L30" s="3">
        <v>532391</v>
      </c>
      <c r="N30" s="2" t="s">
        <v>36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Z30" s="2" t="s">
        <v>36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237392</v>
      </c>
      <c r="AJ30" s="3">
        <v>237710</v>
      </c>
      <c r="AL30" s="2" t="s">
        <v>36</v>
      </c>
      <c r="AM30" s="9">
        <v>0</v>
      </c>
      <c r="AN30" s="10"/>
      <c r="AO30" s="9">
        <v>10000000</v>
      </c>
      <c r="AP30" s="10"/>
      <c r="AQ30" s="11">
        <v>4762449</v>
      </c>
      <c r="AR30" s="12"/>
      <c r="AS30" s="9">
        <v>0</v>
      </c>
      <c r="AT30" s="10"/>
      <c r="AU30" s="9">
        <v>475102</v>
      </c>
      <c r="AV30" s="10"/>
      <c r="AW30" s="11">
        <v>-4762449</v>
      </c>
      <c r="AX30" s="12"/>
    </row>
    <row r="32" spans="2:50">
      <c r="B32" s="8" t="s">
        <v>37</v>
      </c>
      <c r="C32" s="8"/>
      <c r="D32" s="8"/>
      <c r="E32" s="8"/>
      <c r="F32" s="8"/>
      <c r="G32" s="8"/>
      <c r="H32" s="8"/>
      <c r="I32" s="8"/>
      <c r="J32" s="8"/>
      <c r="K32" s="8"/>
      <c r="L32" s="8"/>
      <c r="N32" s="8" t="s">
        <v>38</v>
      </c>
      <c r="O32" s="8"/>
      <c r="P32" s="8"/>
      <c r="Q32" s="8"/>
      <c r="R32" s="8"/>
      <c r="S32" s="8"/>
      <c r="T32" s="8"/>
      <c r="U32" s="8"/>
      <c r="V32" s="8"/>
      <c r="W32" s="8"/>
      <c r="X32" s="8"/>
      <c r="Z32" s="8" t="s">
        <v>39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</row>
    <row r="33" spans="2:36">
      <c r="B33" s="1"/>
      <c r="C33" s="2">
        <v>2</v>
      </c>
      <c r="D33" s="2">
        <v>3</v>
      </c>
      <c r="E33" s="2">
        <v>4</v>
      </c>
      <c r="F33" s="2">
        <v>5</v>
      </c>
      <c r="G33" s="2">
        <v>6</v>
      </c>
      <c r="H33" s="2">
        <v>7</v>
      </c>
      <c r="I33" s="2">
        <v>8</v>
      </c>
      <c r="J33" s="2">
        <v>9</v>
      </c>
      <c r="K33" s="2">
        <v>10</v>
      </c>
      <c r="L33" s="2" t="s">
        <v>6</v>
      </c>
      <c r="N33" s="1"/>
      <c r="O33" s="2">
        <v>2</v>
      </c>
      <c r="P33" s="2">
        <v>3</v>
      </c>
      <c r="Q33" s="2">
        <v>4</v>
      </c>
      <c r="R33" s="2">
        <v>5</v>
      </c>
      <c r="S33" s="2">
        <v>6</v>
      </c>
      <c r="T33" s="2">
        <v>7</v>
      </c>
      <c r="U33" s="2">
        <v>8</v>
      </c>
      <c r="V33" s="2">
        <v>9</v>
      </c>
      <c r="W33" s="2">
        <v>10</v>
      </c>
      <c r="X33" s="2" t="s">
        <v>6</v>
      </c>
      <c r="Z33" s="1"/>
      <c r="AA33" s="2">
        <v>2</v>
      </c>
      <c r="AB33" s="2">
        <v>3</v>
      </c>
      <c r="AC33" s="2">
        <v>4</v>
      </c>
      <c r="AD33" s="2">
        <v>5</v>
      </c>
      <c r="AE33" s="2">
        <v>6</v>
      </c>
      <c r="AF33" s="2">
        <v>7</v>
      </c>
      <c r="AG33" s="2">
        <v>8</v>
      </c>
      <c r="AH33" s="2">
        <v>9</v>
      </c>
      <c r="AI33" s="2">
        <v>10</v>
      </c>
      <c r="AJ33" s="2" t="s">
        <v>6</v>
      </c>
    </row>
    <row r="34" spans="2:36">
      <c r="B34" s="2" t="s">
        <v>10</v>
      </c>
      <c r="C34" s="4">
        <f>C4/(C4+O4+AA4)</f>
        <v>0.35318808844646882</v>
      </c>
      <c r="D34" s="4">
        <f t="shared" ref="D34:L34" si="0">D4/(D4+P4+AB4)</f>
        <v>0.37492429067183092</v>
      </c>
      <c r="E34" s="4">
        <f t="shared" si="0"/>
        <v>0.3951272412362769</v>
      </c>
      <c r="F34" s="4">
        <f t="shared" si="0"/>
        <v>0.41855357769773882</v>
      </c>
      <c r="G34" s="4">
        <f t="shared" si="0"/>
        <v>0.42207893525561513</v>
      </c>
      <c r="H34" s="4">
        <f t="shared" si="0"/>
        <v>0.2616059915337024</v>
      </c>
      <c r="I34" s="4">
        <f t="shared" si="0"/>
        <v>0.24393582197519684</v>
      </c>
      <c r="J34" s="4">
        <f t="shared" si="0"/>
        <v>0.22977255077154041</v>
      </c>
      <c r="K34" s="4">
        <f t="shared" si="0"/>
        <v>0.21234824519808507</v>
      </c>
      <c r="L34" s="4">
        <f t="shared" si="0"/>
        <v>0.11569629608425348</v>
      </c>
      <c r="N34" s="2" t="s">
        <v>10</v>
      </c>
      <c r="O34" s="4">
        <f>O4/(C4+O4+AA4)</f>
        <v>0.64681191155353113</v>
      </c>
      <c r="P34" s="4">
        <f t="shared" ref="P34:X34" si="1">P4/(D4+P4+AB4)</f>
        <v>0.62507570932816903</v>
      </c>
      <c r="Q34" s="4">
        <f t="shared" si="1"/>
        <v>0.60487275876372304</v>
      </c>
      <c r="R34" s="4">
        <f t="shared" si="1"/>
        <v>0.58144642230226118</v>
      </c>
      <c r="S34" s="4">
        <f t="shared" si="1"/>
        <v>0.57792106474438487</v>
      </c>
      <c r="T34" s="4">
        <f t="shared" si="1"/>
        <v>0.73839400846629766</v>
      </c>
      <c r="U34" s="4">
        <f t="shared" si="1"/>
        <v>0.75606417802480319</v>
      </c>
      <c r="V34" s="4">
        <f t="shared" si="1"/>
        <v>0.77022744922845965</v>
      </c>
      <c r="W34" s="4">
        <f t="shared" si="1"/>
        <v>0.78765175480191496</v>
      </c>
      <c r="X34" s="4">
        <f t="shared" si="1"/>
        <v>0.88430370391574653</v>
      </c>
      <c r="Z34" s="2" t="s">
        <v>10</v>
      </c>
      <c r="AA34" s="4">
        <f>AA4/(C4+O4+AA4)</f>
        <v>0</v>
      </c>
      <c r="AB34" s="4">
        <f t="shared" ref="AB34:AJ34" si="2">AB4/(D4+P4+AB4)</f>
        <v>0</v>
      </c>
      <c r="AC34" s="4">
        <f t="shared" si="2"/>
        <v>0</v>
      </c>
      <c r="AD34" s="4">
        <f t="shared" si="2"/>
        <v>0</v>
      </c>
      <c r="AE34" s="4">
        <f t="shared" si="2"/>
        <v>0</v>
      </c>
      <c r="AF34" s="4">
        <f t="shared" si="2"/>
        <v>0</v>
      </c>
      <c r="AG34" s="4">
        <f t="shared" si="2"/>
        <v>0</v>
      </c>
      <c r="AH34" s="4">
        <f t="shared" si="2"/>
        <v>0</v>
      </c>
      <c r="AI34" s="4">
        <f t="shared" si="2"/>
        <v>0</v>
      </c>
      <c r="AJ34" s="4">
        <f t="shared" si="2"/>
        <v>0</v>
      </c>
    </row>
    <row r="35" spans="2:36">
      <c r="B35" s="2" t="s">
        <v>11</v>
      </c>
      <c r="C35" s="4">
        <f t="shared" ref="C35:C60" si="3">C5/(C5+O5+AA5)</f>
        <v>0.35408355464042957</v>
      </c>
      <c r="D35" s="4">
        <f t="shared" ref="D35:D60" si="4">D5/(D5+P5+AB5)</f>
        <v>0.37439890501043432</v>
      </c>
      <c r="E35" s="4">
        <f t="shared" ref="E35:E60" si="5">E5/(E5+Q5+AC5)</f>
        <v>0.39714702123482598</v>
      </c>
      <c r="F35" s="4">
        <f t="shared" ref="F35:F60" si="6">F5/(F5+R5+AD5)</f>
        <v>0.41903125779107453</v>
      </c>
      <c r="G35" s="4">
        <f t="shared" ref="G35:G60" si="7">G5/(G5+S5+AE5)</f>
        <v>0.42320805334166794</v>
      </c>
      <c r="H35" s="4">
        <f t="shared" ref="H35:H60" si="8">H5/(H5+T5+AF5)</f>
        <v>0.26183731019804801</v>
      </c>
      <c r="I35" s="4">
        <f t="shared" ref="I35:I60" si="9">I5/(I5+U5+AG5)</f>
        <v>0.2439721332337472</v>
      </c>
      <c r="J35" s="4">
        <f t="shared" ref="J35:J60" si="10">J5/(J5+V5+AH5)</f>
        <v>0.229358680827772</v>
      </c>
      <c r="K35" s="4">
        <f t="shared" ref="K35:K60" si="11">K5/(K5+W5+AI5)</f>
        <v>0.21224566473800568</v>
      </c>
      <c r="L35" s="4">
        <f t="shared" ref="L35:L60" si="12">L5/(L5+X5+AJ5)</f>
        <v>0.11523440290414126</v>
      </c>
      <c r="N35" s="2" t="s">
        <v>11</v>
      </c>
      <c r="O35" s="4">
        <f t="shared" ref="O35:O60" si="13">O5/(C5+O5+AA5)</f>
        <v>0.64591644535957038</v>
      </c>
      <c r="P35" s="4">
        <f t="shared" ref="P35:P60" si="14">P5/(D5+P5+AB5)</f>
        <v>0.62560109498956562</v>
      </c>
      <c r="Q35" s="4">
        <f t="shared" ref="Q35:Q60" si="15">Q5/(E5+Q5+AC5)</f>
        <v>0.60285297876517396</v>
      </c>
      <c r="R35" s="4">
        <f t="shared" ref="R35:R60" si="16">R5/(F5+R5+AD5)</f>
        <v>0.58096874220892547</v>
      </c>
      <c r="S35" s="4">
        <f t="shared" ref="S35:S60" si="17">S5/(G5+S5+AE5)</f>
        <v>0.576791946658332</v>
      </c>
      <c r="T35" s="4">
        <f t="shared" ref="T35:T60" si="18">T5/(H5+T5+AF5)</f>
        <v>0.73816268980195199</v>
      </c>
      <c r="U35" s="4">
        <f t="shared" ref="U35:U60" si="19">U5/(I5+U5+AG5)</f>
        <v>0.75602786676625278</v>
      </c>
      <c r="V35" s="4">
        <f t="shared" ref="V35:V60" si="20">V5/(J5+V5+AH5)</f>
        <v>0.770641319172228</v>
      </c>
      <c r="W35" s="4">
        <f t="shared" ref="W35:W60" si="21">W5/(K5+W5+AI5)</f>
        <v>0.78775433526199434</v>
      </c>
      <c r="X35" s="4">
        <f t="shared" ref="X35:X60" si="22">X5/(L5+X5+AJ5)</f>
        <v>0.88476559709585878</v>
      </c>
      <c r="Z35" s="2" t="s">
        <v>11</v>
      </c>
      <c r="AA35" s="4">
        <f t="shared" ref="AA35:AA60" si="23">AA5/(C5+O5+AA5)</f>
        <v>0</v>
      </c>
      <c r="AB35" s="4">
        <f t="shared" ref="AB35:AB60" si="24">AB5/(D5+P5+AB5)</f>
        <v>0</v>
      </c>
      <c r="AC35" s="4">
        <f t="shared" ref="AC35:AC60" si="25">AC5/(E5+Q5+AC5)</f>
        <v>0</v>
      </c>
      <c r="AD35" s="4">
        <f t="shared" ref="AD35:AD60" si="26">AD5/(F5+R5+AD5)</f>
        <v>0</v>
      </c>
      <c r="AE35" s="4">
        <f t="shared" ref="AE35:AE60" si="27">AE5/(G5+S5+AE5)</f>
        <v>0</v>
      </c>
      <c r="AF35" s="4">
        <f t="shared" ref="AF35:AF60" si="28">AF5/(H5+T5+AF5)</f>
        <v>0</v>
      </c>
      <c r="AG35" s="4">
        <f t="shared" ref="AG35:AG60" si="29">AG5/(I5+U5+AG5)</f>
        <v>0</v>
      </c>
      <c r="AH35" s="4">
        <f t="shared" ref="AH35:AH60" si="30">AH5/(J5+V5+AH5)</f>
        <v>0</v>
      </c>
      <c r="AI35" s="4">
        <f t="shared" ref="AI35:AI60" si="31">AI5/(K5+W5+AI5)</f>
        <v>0</v>
      </c>
      <c r="AJ35" s="4">
        <f t="shared" ref="AJ35:AJ60" si="32">AJ5/(L5+X5+AJ5)</f>
        <v>0</v>
      </c>
    </row>
    <row r="36" spans="2:36">
      <c r="B36" s="2" t="s">
        <v>12</v>
      </c>
      <c r="C36" s="4">
        <f t="shared" si="3"/>
        <v>0.35340779534486616</v>
      </c>
      <c r="D36" s="4">
        <f t="shared" si="4"/>
        <v>0.37451022010633545</v>
      </c>
      <c r="E36" s="4">
        <f t="shared" si="5"/>
        <v>0.39642351366633294</v>
      </c>
      <c r="F36" s="4">
        <f t="shared" si="6"/>
        <v>0.41887764269030364</v>
      </c>
      <c r="G36" s="4">
        <f t="shared" si="7"/>
        <v>0.42229287693908868</v>
      </c>
      <c r="H36" s="4">
        <f t="shared" si="8"/>
        <v>0.26165846203429832</v>
      </c>
      <c r="I36" s="4">
        <f t="shared" si="9"/>
        <v>0.24399407991593272</v>
      </c>
      <c r="J36" s="4">
        <f t="shared" si="10"/>
        <v>0.22878969081000222</v>
      </c>
      <c r="K36" s="4">
        <f t="shared" si="11"/>
        <v>0.21248870513745605</v>
      </c>
      <c r="L36" s="4">
        <f t="shared" si="12"/>
        <v>0.11591787423924552</v>
      </c>
      <c r="N36" s="2" t="s">
        <v>12</v>
      </c>
      <c r="O36" s="4">
        <f t="shared" si="13"/>
        <v>0.63588753130059505</v>
      </c>
      <c r="P36" s="4">
        <f t="shared" si="14"/>
        <v>0.61515703557667389</v>
      </c>
      <c r="Q36" s="4">
        <f t="shared" si="15"/>
        <v>0.5934894928231651</v>
      </c>
      <c r="R36" s="4">
        <f t="shared" si="16"/>
        <v>0.57179758925711721</v>
      </c>
      <c r="S36" s="4">
        <f t="shared" si="17"/>
        <v>0.56535828394793841</v>
      </c>
      <c r="T36" s="4">
        <f t="shared" si="18"/>
        <v>0.70965088292933964</v>
      </c>
      <c r="U36" s="4">
        <f t="shared" si="19"/>
        <v>0.74598001321354446</v>
      </c>
      <c r="V36" s="4">
        <f t="shared" si="20"/>
        <v>0.76191162549716984</v>
      </c>
      <c r="W36" s="4">
        <f t="shared" si="21"/>
        <v>0.77888917058330243</v>
      </c>
      <c r="X36" s="4">
        <f t="shared" si="22"/>
        <v>0.87450684922609268</v>
      </c>
      <c r="Z36" s="2" t="s">
        <v>12</v>
      </c>
      <c r="AA36" s="4">
        <f t="shared" si="23"/>
        <v>1.0704673354538782E-2</v>
      </c>
      <c r="AB36" s="4">
        <f t="shared" si="24"/>
        <v>1.0332744316990626E-2</v>
      </c>
      <c r="AC36" s="4">
        <f t="shared" si="25"/>
        <v>1.0086993510501989E-2</v>
      </c>
      <c r="AD36" s="4">
        <f t="shared" si="26"/>
        <v>9.3247680525790893E-3</v>
      </c>
      <c r="AE36" s="4">
        <f t="shared" si="27"/>
        <v>1.2348839112972907E-2</v>
      </c>
      <c r="AF36" s="4">
        <f t="shared" si="28"/>
        <v>2.869065503636203E-2</v>
      </c>
      <c r="AG36" s="4">
        <f t="shared" si="29"/>
        <v>1.0025906870522872E-2</v>
      </c>
      <c r="AH36" s="4">
        <f t="shared" si="30"/>
        <v>9.2986836928278978E-3</v>
      </c>
      <c r="AI36" s="4">
        <f t="shared" si="31"/>
        <v>8.622124279241505E-3</v>
      </c>
      <c r="AJ36" s="4">
        <f t="shared" si="32"/>
        <v>9.5752765346618259E-3</v>
      </c>
    </row>
    <row r="37" spans="2:36">
      <c r="B37" s="2" t="s">
        <v>13</v>
      </c>
      <c r="C37" s="4">
        <f t="shared" si="3"/>
        <v>0.3638322384674999</v>
      </c>
      <c r="D37" s="4">
        <f t="shared" si="4"/>
        <v>0.38427240458516676</v>
      </c>
      <c r="E37" s="4">
        <f t="shared" si="5"/>
        <v>0.40504180442978444</v>
      </c>
      <c r="F37" s="4">
        <f t="shared" si="6"/>
        <v>0.42850539371244267</v>
      </c>
      <c r="G37" s="4">
        <f t="shared" si="7"/>
        <v>0.43433661692512759</v>
      </c>
      <c r="H37" s="4">
        <f t="shared" si="8"/>
        <v>0.29079250289400776</v>
      </c>
      <c r="I37" s="4">
        <f t="shared" si="9"/>
        <v>0.25476328994254965</v>
      </c>
      <c r="J37" s="4">
        <f t="shared" si="10"/>
        <v>0.23851666367638377</v>
      </c>
      <c r="K37" s="4">
        <f t="shared" si="11"/>
        <v>0.22088883374754301</v>
      </c>
      <c r="L37" s="4">
        <f t="shared" si="12"/>
        <v>0.1249453392609868</v>
      </c>
      <c r="N37" s="2" t="s">
        <v>13</v>
      </c>
      <c r="O37" s="4">
        <f t="shared" si="13"/>
        <v>0.58276509536515464</v>
      </c>
      <c r="P37" s="4">
        <f t="shared" si="14"/>
        <v>0.5641425184079123</v>
      </c>
      <c r="Q37" s="4">
        <f t="shared" si="15"/>
        <v>0.54472904632748931</v>
      </c>
      <c r="R37" s="4">
        <f t="shared" si="16"/>
        <v>0.52454567646035344</v>
      </c>
      <c r="S37" s="4">
        <f t="shared" si="17"/>
        <v>0.50624272570629736</v>
      </c>
      <c r="T37" s="4">
        <f t="shared" si="18"/>
        <v>0.58481849043351586</v>
      </c>
      <c r="U37" s="4">
        <f t="shared" si="19"/>
        <v>0.67757539711397607</v>
      </c>
      <c r="V37" s="4">
        <f t="shared" si="20"/>
        <v>0.71495843506795742</v>
      </c>
      <c r="W37" s="4">
        <f t="shared" si="21"/>
        <v>0.73609009027735373</v>
      </c>
      <c r="X37" s="4">
        <f t="shared" si="22"/>
        <v>0.82513639155829954</v>
      </c>
      <c r="Z37" s="2" t="s">
        <v>13</v>
      </c>
      <c r="AA37" s="4">
        <f t="shared" si="23"/>
        <v>5.3402666167345431E-2</v>
      </c>
      <c r="AB37" s="4">
        <f t="shared" si="24"/>
        <v>5.1585077006920936E-2</v>
      </c>
      <c r="AC37" s="4">
        <f t="shared" si="25"/>
        <v>5.0229149242726236E-2</v>
      </c>
      <c r="AD37" s="4">
        <f t="shared" si="26"/>
        <v>4.6948929827203841E-2</v>
      </c>
      <c r="AE37" s="4">
        <f t="shared" si="27"/>
        <v>5.9420657368575054E-2</v>
      </c>
      <c r="AF37" s="4">
        <f t="shared" si="28"/>
        <v>0.12438900667247636</v>
      </c>
      <c r="AG37" s="4">
        <f t="shared" si="29"/>
        <v>6.7661312943474244E-2</v>
      </c>
      <c r="AH37" s="4">
        <f t="shared" si="30"/>
        <v>4.6524901255658786E-2</v>
      </c>
      <c r="AI37" s="4">
        <f t="shared" si="31"/>
        <v>4.3021075975103247E-2</v>
      </c>
      <c r="AJ37" s="4">
        <f t="shared" si="32"/>
        <v>4.9918269180713612E-2</v>
      </c>
    </row>
    <row r="38" spans="2:36">
      <c r="B38" s="2" t="s">
        <v>14</v>
      </c>
      <c r="C38" s="4">
        <f t="shared" si="3"/>
        <v>0.41756173468923852</v>
      </c>
      <c r="D38" s="4">
        <f t="shared" si="4"/>
        <v>0.43567416278842713</v>
      </c>
      <c r="E38" s="4">
        <f t="shared" si="5"/>
        <v>0.45697871903591786</v>
      </c>
      <c r="F38" s="4">
        <f t="shared" si="6"/>
        <v>0.47487491390177655</v>
      </c>
      <c r="G38" s="4">
        <f t="shared" si="7"/>
        <v>0.49501089678951304</v>
      </c>
      <c r="H38" s="4">
        <f t="shared" si="8"/>
        <v>0.41360271441389618</v>
      </c>
      <c r="I38" s="4">
        <f t="shared" si="9"/>
        <v>0.3219924927135544</v>
      </c>
      <c r="J38" s="4">
        <f t="shared" si="10"/>
        <v>0.2851533336975155</v>
      </c>
      <c r="K38" s="4">
        <f t="shared" si="11"/>
        <v>0.26376320781596663</v>
      </c>
      <c r="L38" s="4">
        <f t="shared" si="12"/>
        <v>0.17590830623990897</v>
      </c>
      <c r="N38" s="2" t="s">
        <v>14</v>
      </c>
      <c r="O38" s="4">
        <f t="shared" si="13"/>
        <v>0.52011841006303683</v>
      </c>
      <c r="P38" s="4">
        <f t="shared" si="14"/>
        <v>0.50389559670647965</v>
      </c>
      <c r="Q38" s="4">
        <f t="shared" si="15"/>
        <v>0.48527147295665973</v>
      </c>
      <c r="R38" s="4">
        <f t="shared" si="16"/>
        <v>0.46900463955709776</v>
      </c>
      <c r="S38" s="4">
        <f t="shared" si="17"/>
        <v>0.45091370393260255</v>
      </c>
      <c r="T38" s="4">
        <f t="shared" si="18"/>
        <v>0.50889417239852441</v>
      </c>
      <c r="U38" s="4">
        <f t="shared" si="19"/>
        <v>0.54781302400846366</v>
      </c>
      <c r="V38" s="4">
        <f t="shared" si="20"/>
        <v>0.64254219960824399</v>
      </c>
      <c r="W38" s="4">
        <f t="shared" si="21"/>
        <v>0.6846579621163954</v>
      </c>
      <c r="X38" s="4">
        <f t="shared" si="22"/>
        <v>0.76382803782991093</v>
      </c>
      <c r="Z38" s="2" t="s">
        <v>14</v>
      </c>
      <c r="AA38" s="4">
        <f t="shared" si="23"/>
        <v>6.2319855247724605E-2</v>
      </c>
      <c r="AB38" s="4">
        <f t="shared" si="24"/>
        <v>6.0430240505093241E-2</v>
      </c>
      <c r="AC38" s="4">
        <f t="shared" si="25"/>
        <v>5.7749808007422417E-2</v>
      </c>
      <c r="AD38" s="4">
        <f t="shared" si="26"/>
        <v>5.6120446541125711E-2</v>
      </c>
      <c r="AE38" s="4">
        <f t="shared" si="27"/>
        <v>5.4075399277884399E-2</v>
      </c>
      <c r="AF38" s="4">
        <f t="shared" si="28"/>
        <v>7.750311318757945E-2</v>
      </c>
      <c r="AG38" s="4">
        <f t="shared" si="29"/>
        <v>0.13019448327798197</v>
      </c>
      <c r="AH38" s="4">
        <f t="shared" si="30"/>
        <v>7.2304466694240455E-2</v>
      </c>
      <c r="AI38" s="4">
        <f t="shared" si="31"/>
        <v>5.1578830067637922E-2</v>
      </c>
      <c r="AJ38" s="4">
        <f t="shared" si="32"/>
        <v>6.0263655930180147E-2</v>
      </c>
    </row>
    <row r="39" spans="2:36">
      <c r="B39" s="2" t="s">
        <v>15</v>
      </c>
      <c r="C39" s="4">
        <f t="shared" si="3"/>
        <v>0.48057453726928445</v>
      </c>
      <c r="D39" s="4">
        <f t="shared" si="4"/>
        <v>0.4977261486398542</v>
      </c>
      <c r="E39" s="4">
        <f t="shared" si="5"/>
        <v>0.51312677696173981</v>
      </c>
      <c r="F39" s="4">
        <f t="shared" si="6"/>
        <v>0.53082393011283868</v>
      </c>
      <c r="G39" s="4">
        <f t="shared" si="7"/>
        <v>0.54832212150333759</v>
      </c>
      <c r="H39" s="4">
        <f t="shared" si="8"/>
        <v>0.4918692265399468</v>
      </c>
      <c r="I39" s="4">
        <f t="shared" si="9"/>
        <v>0.45122909679477702</v>
      </c>
      <c r="J39" s="4">
        <f t="shared" si="10"/>
        <v>0.35813650855618451</v>
      </c>
      <c r="K39" s="4">
        <f t="shared" si="11"/>
        <v>0.31551701378751118</v>
      </c>
      <c r="L39" s="4">
        <f t="shared" si="12"/>
        <v>0.23550627091551596</v>
      </c>
      <c r="N39" s="2" t="s">
        <v>15</v>
      </c>
      <c r="O39" s="4">
        <f t="shared" si="13"/>
        <v>0.44818793586101313</v>
      </c>
      <c r="P39" s="4">
        <f t="shared" si="14"/>
        <v>0.43382532864766365</v>
      </c>
      <c r="Q39" s="4">
        <f t="shared" si="15"/>
        <v>0.42051555929789547</v>
      </c>
      <c r="R39" s="4">
        <f t="shared" si="16"/>
        <v>0.40525843689875723</v>
      </c>
      <c r="S39" s="4">
        <f t="shared" si="17"/>
        <v>0.38943014467156695</v>
      </c>
      <c r="T39" s="4">
        <f t="shared" si="18"/>
        <v>0.43861854188085958</v>
      </c>
      <c r="U39" s="4">
        <f t="shared" si="19"/>
        <v>0.46560292794019614</v>
      </c>
      <c r="V39" s="4">
        <f t="shared" si="20"/>
        <v>0.50682803045090763</v>
      </c>
      <c r="W39" s="4">
        <f t="shared" si="21"/>
        <v>0.60663748723047439</v>
      </c>
      <c r="X39" s="4">
        <f t="shared" si="22"/>
        <v>0.69391065034654886</v>
      </c>
      <c r="Z39" s="2" t="s">
        <v>15</v>
      </c>
      <c r="AA39" s="4">
        <f t="shared" si="23"/>
        <v>7.1237526869702417E-2</v>
      </c>
      <c r="AB39" s="4">
        <f t="shared" si="24"/>
        <v>6.8448522712482099E-2</v>
      </c>
      <c r="AC39" s="4">
        <f t="shared" si="25"/>
        <v>6.6357663740364781E-2</v>
      </c>
      <c r="AD39" s="4">
        <f t="shared" si="26"/>
        <v>6.3917632988404138E-2</v>
      </c>
      <c r="AE39" s="4">
        <f t="shared" si="27"/>
        <v>6.224773382509545E-2</v>
      </c>
      <c r="AF39" s="4">
        <f t="shared" si="28"/>
        <v>6.9512231579193645E-2</v>
      </c>
      <c r="AG39" s="4">
        <f t="shared" si="29"/>
        <v>8.3167975265026839E-2</v>
      </c>
      <c r="AH39" s="4">
        <f t="shared" si="30"/>
        <v>0.13503546099290781</v>
      </c>
      <c r="AI39" s="4">
        <f t="shared" si="31"/>
        <v>7.7845498982014399E-2</v>
      </c>
      <c r="AJ39" s="4">
        <f t="shared" si="32"/>
        <v>7.0583078737935165E-2</v>
      </c>
    </row>
    <row r="40" spans="2:36">
      <c r="B40" s="2" t="s">
        <v>16</v>
      </c>
      <c r="C40" s="4">
        <f t="shared" si="3"/>
        <v>0.55019417639714108</v>
      </c>
      <c r="D40" s="4">
        <f t="shared" si="4"/>
        <v>0.56534111922141117</v>
      </c>
      <c r="E40" s="4">
        <f t="shared" si="5"/>
        <v>0.57980737270706528</v>
      </c>
      <c r="F40" s="4">
        <f t="shared" si="6"/>
        <v>0.5965772365549159</v>
      </c>
      <c r="G40" s="4">
        <f t="shared" si="7"/>
        <v>0.61028741291899191</v>
      </c>
      <c r="H40" s="4">
        <f t="shared" si="8"/>
        <v>0.56191148316963713</v>
      </c>
      <c r="I40" s="4">
        <f t="shared" si="9"/>
        <v>0.53417832827324974</v>
      </c>
      <c r="J40" s="4">
        <f t="shared" si="10"/>
        <v>0.49202181324911443</v>
      </c>
      <c r="K40" s="4">
        <f t="shared" si="11"/>
        <v>0.39372977068925796</v>
      </c>
      <c r="L40" s="4">
        <f t="shared" si="12"/>
        <v>0.3048727692529703</v>
      </c>
      <c r="N40" s="2" t="s">
        <v>16</v>
      </c>
      <c r="O40" s="4">
        <f t="shared" si="13"/>
        <v>0.37091914492224498</v>
      </c>
      <c r="P40" s="4">
        <f t="shared" si="14"/>
        <v>0.35858167072181668</v>
      </c>
      <c r="Q40" s="4">
        <f t="shared" si="15"/>
        <v>0.3468355942414359</v>
      </c>
      <c r="R40" s="4">
        <f t="shared" si="16"/>
        <v>0.33278745671792442</v>
      </c>
      <c r="S40" s="4">
        <f t="shared" si="17"/>
        <v>0.32157967684283473</v>
      </c>
      <c r="T40" s="4">
        <f t="shared" si="18"/>
        <v>0.36401256542325122</v>
      </c>
      <c r="U40" s="4">
        <f t="shared" si="19"/>
        <v>0.39182217643431905</v>
      </c>
      <c r="V40" s="4">
        <f t="shared" si="20"/>
        <v>0.42162604780012419</v>
      </c>
      <c r="W40" s="4">
        <f t="shared" si="21"/>
        <v>0.47526114311913431</v>
      </c>
      <c r="X40" s="4">
        <f t="shared" si="22"/>
        <v>0.62026955523516203</v>
      </c>
      <c r="Z40" s="2" t="s">
        <v>16</v>
      </c>
      <c r="AA40" s="4">
        <f t="shared" si="23"/>
        <v>7.8886678680613928E-2</v>
      </c>
      <c r="AB40" s="4">
        <f t="shared" si="24"/>
        <v>7.6077210056772107E-2</v>
      </c>
      <c r="AC40" s="4">
        <f t="shared" si="25"/>
        <v>7.3357033051498849E-2</v>
      </c>
      <c r="AD40" s="4">
        <f t="shared" si="26"/>
        <v>7.0635306727159675E-2</v>
      </c>
      <c r="AE40" s="4">
        <f t="shared" si="27"/>
        <v>6.8132910238173403E-2</v>
      </c>
      <c r="AF40" s="4">
        <f t="shared" si="28"/>
        <v>7.4075951407111651E-2</v>
      </c>
      <c r="AG40" s="4">
        <f t="shared" si="29"/>
        <v>7.3999495292431203E-2</v>
      </c>
      <c r="AH40" s="4">
        <f t="shared" si="30"/>
        <v>8.6352138950761367E-2</v>
      </c>
      <c r="AI40" s="4">
        <f t="shared" si="31"/>
        <v>0.13100908619160775</v>
      </c>
      <c r="AJ40" s="4">
        <f t="shared" si="32"/>
        <v>7.485767551186763E-2</v>
      </c>
    </row>
    <row r="41" spans="2:36">
      <c r="B41" s="2" t="s">
        <v>17</v>
      </c>
      <c r="C41" s="4">
        <f t="shared" si="3"/>
        <v>0.58080004984572486</v>
      </c>
      <c r="D41" s="4">
        <f t="shared" si="4"/>
        <v>0.59372201040221828</v>
      </c>
      <c r="E41" s="4">
        <f t="shared" si="5"/>
        <v>0.60650681990303013</v>
      </c>
      <c r="F41" s="4">
        <f t="shared" si="6"/>
        <v>0.62094475160365681</v>
      </c>
      <c r="G41" s="4">
        <f t="shared" si="7"/>
        <v>0.63387585984536754</v>
      </c>
      <c r="H41" s="4">
        <f t="shared" si="8"/>
        <v>0.57816861797425112</v>
      </c>
      <c r="I41" s="4">
        <f t="shared" si="9"/>
        <v>0.54825787254500691</v>
      </c>
      <c r="J41" s="4">
        <f t="shared" si="10"/>
        <v>0.51896916762470546</v>
      </c>
      <c r="K41" s="4">
        <f t="shared" si="11"/>
        <v>0.46990382504776229</v>
      </c>
      <c r="L41" s="4">
        <f t="shared" si="12"/>
        <v>0.3381601097729578</v>
      </c>
      <c r="N41" s="2" t="s">
        <v>17</v>
      </c>
      <c r="O41" s="4">
        <f t="shared" si="13"/>
        <v>0.34180018354649738</v>
      </c>
      <c r="P41" s="4">
        <f t="shared" si="14"/>
        <v>0.33179072328045561</v>
      </c>
      <c r="Q41" s="4">
        <f t="shared" si="15"/>
        <v>0.32078528431227116</v>
      </c>
      <c r="R41" s="4">
        <f t="shared" si="16"/>
        <v>0.3090229479751519</v>
      </c>
      <c r="S41" s="4">
        <f t="shared" si="17"/>
        <v>0.29938154837820585</v>
      </c>
      <c r="T41" s="4">
        <f t="shared" si="18"/>
        <v>0.34835918295071039</v>
      </c>
      <c r="U41" s="4">
        <f t="shared" si="19"/>
        <v>0.37728575048239033</v>
      </c>
      <c r="V41" s="4">
        <f t="shared" si="20"/>
        <v>0.40767714180187586</v>
      </c>
      <c r="W41" s="4">
        <f t="shared" si="21"/>
        <v>0.46726750945083534</v>
      </c>
      <c r="X41" s="4">
        <f t="shared" si="22"/>
        <v>0.60584323114314842</v>
      </c>
      <c r="Z41" s="2" t="s">
        <v>17</v>
      </c>
      <c r="AA41" s="4">
        <f t="shared" si="23"/>
        <v>7.7399766607777754E-2</v>
      </c>
      <c r="AB41" s="4">
        <f t="shared" si="24"/>
        <v>7.4487266317326148E-2</v>
      </c>
      <c r="AC41" s="4">
        <f t="shared" si="25"/>
        <v>7.2707895784698745E-2</v>
      </c>
      <c r="AD41" s="4">
        <f t="shared" si="26"/>
        <v>7.0032300421191254E-2</v>
      </c>
      <c r="AE41" s="4">
        <f t="shared" si="27"/>
        <v>6.6742591776426552E-2</v>
      </c>
      <c r="AF41" s="4">
        <f t="shared" si="28"/>
        <v>7.3472199075038547E-2</v>
      </c>
      <c r="AG41" s="4">
        <f t="shared" si="29"/>
        <v>7.4456376972602822E-2</v>
      </c>
      <c r="AH41" s="4">
        <f t="shared" si="30"/>
        <v>7.3353690573418714E-2</v>
      </c>
      <c r="AI41" s="4">
        <f t="shared" si="31"/>
        <v>6.2828665501402384E-2</v>
      </c>
      <c r="AJ41" s="4">
        <f t="shared" si="32"/>
        <v>5.5996659083893827E-2</v>
      </c>
    </row>
    <row r="42" spans="2:36">
      <c r="B42" s="2" t="s">
        <v>18</v>
      </c>
      <c r="C42" s="4">
        <f t="shared" si="3"/>
        <v>0.34856302963690405</v>
      </c>
      <c r="D42" s="4">
        <f t="shared" si="4"/>
        <v>0.3607696724527204</v>
      </c>
      <c r="E42" s="4">
        <f t="shared" si="5"/>
        <v>0.37101333201582054</v>
      </c>
      <c r="F42" s="4">
        <f t="shared" si="6"/>
        <v>0.38246141344265538</v>
      </c>
      <c r="G42" s="4">
        <f t="shared" si="7"/>
        <v>0.39208603178893314</v>
      </c>
      <c r="H42" s="4">
        <f t="shared" si="8"/>
        <v>0.34341713600584661</v>
      </c>
      <c r="I42" s="4">
        <f t="shared" si="9"/>
        <v>0.31528007791577883</v>
      </c>
      <c r="J42" s="4">
        <f t="shared" si="10"/>
        <v>0.28323162832602716</v>
      </c>
      <c r="K42" s="4">
        <f t="shared" si="11"/>
        <v>0.25095742489259232</v>
      </c>
      <c r="L42" s="4">
        <f t="shared" si="12"/>
        <v>0.17889571892161757</v>
      </c>
      <c r="N42" s="2" t="s">
        <v>18</v>
      </c>
      <c r="O42" s="4">
        <f t="shared" si="13"/>
        <v>0.60247396934203079</v>
      </c>
      <c r="P42" s="4">
        <f t="shared" si="14"/>
        <v>0.59125310802279085</v>
      </c>
      <c r="Q42" s="4">
        <f t="shared" si="15"/>
        <v>0.58238052022685494</v>
      </c>
      <c r="R42" s="4">
        <f t="shared" si="16"/>
        <v>0.57289382250444076</v>
      </c>
      <c r="S42" s="4">
        <f t="shared" si="17"/>
        <v>0.56371820327037225</v>
      </c>
      <c r="T42" s="4">
        <f t="shared" si="18"/>
        <v>0.60004499414165868</v>
      </c>
      <c r="U42" s="4">
        <f t="shared" si="19"/>
        <v>0.62671235097375266</v>
      </c>
      <c r="V42" s="4">
        <f t="shared" si="20"/>
        <v>0.65723611489042033</v>
      </c>
      <c r="W42" s="4">
        <f t="shared" si="21"/>
        <v>0.6939005551862113</v>
      </c>
      <c r="X42" s="4">
        <f t="shared" si="22"/>
        <v>0.77702326718255954</v>
      </c>
      <c r="Z42" s="2" t="s">
        <v>18</v>
      </c>
      <c r="AA42" s="4">
        <f t="shared" si="23"/>
        <v>4.8963001021065163E-2</v>
      </c>
      <c r="AB42" s="4">
        <f t="shared" si="24"/>
        <v>4.7977219524488753E-2</v>
      </c>
      <c r="AC42" s="4">
        <f t="shared" si="25"/>
        <v>4.6606147757324551E-2</v>
      </c>
      <c r="AD42" s="4">
        <f t="shared" si="26"/>
        <v>4.4644764052903824E-2</v>
      </c>
      <c r="AE42" s="4">
        <f t="shared" si="27"/>
        <v>4.4195764940694618E-2</v>
      </c>
      <c r="AF42" s="4">
        <f t="shared" si="28"/>
        <v>5.6537869852494642E-2</v>
      </c>
      <c r="AG42" s="4">
        <f t="shared" si="29"/>
        <v>5.8007571110468441E-2</v>
      </c>
      <c r="AH42" s="4">
        <f t="shared" si="30"/>
        <v>5.9532256783552562E-2</v>
      </c>
      <c r="AI42" s="4">
        <f t="shared" si="31"/>
        <v>5.5142019921196439E-2</v>
      </c>
      <c r="AJ42" s="4">
        <f t="shared" si="32"/>
        <v>4.4081013895822932E-2</v>
      </c>
    </row>
    <row r="43" spans="2:36">
      <c r="B43" s="2" t="s">
        <v>19</v>
      </c>
      <c r="C43" s="4">
        <f t="shared" si="3"/>
        <v>0.32147107599258606</v>
      </c>
      <c r="D43" s="4">
        <f t="shared" si="4"/>
        <v>0.33157316847886892</v>
      </c>
      <c r="E43" s="4">
        <f t="shared" si="5"/>
        <v>0.34028808527863985</v>
      </c>
      <c r="F43" s="4">
        <f t="shared" si="6"/>
        <v>0.3503513464708809</v>
      </c>
      <c r="G43" s="4">
        <f t="shared" si="7"/>
        <v>0.35933994241685147</v>
      </c>
      <c r="H43" s="4">
        <f t="shared" si="8"/>
        <v>0.32266344713995965</v>
      </c>
      <c r="I43" s="4">
        <f t="shared" si="9"/>
        <v>0.2960306595893768</v>
      </c>
      <c r="J43" s="4">
        <f t="shared" si="10"/>
        <v>0.26939557405818476</v>
      </c>
      <c r="K43" s="4">
        <f t="shared" si="11"/>
        <v>0.23493508934279056</v>
      </c>
      <c r="L43" s="4">
        <f t="shared" si="12"/>
        <v>0.17013974204468782</v>
      </c>
      <c r="N43" s="2" t="s">
        <v>19</v>
      </c>
      <c r="O43" s="4">
        <f t="shared" si="13"/>
        <v>0.62845120801222643</v>
      </c>
      <c r="P43" s="4">
        <f t="shared" si="14"/>
        <v>0.62067992059093668</v>
      </c>
      <c r="Q43" s="4">
        <f t="shared" si="15"/>
        <v>0.61353834736306734</v>
      </c>
      <c r="R43" s="4">
        <f t="shared" si="16"/>
        <v>0.6047290494483295</v>
      </c>
      <c r="S43" s="4">
        <f t="shared" si="17"/>
        <v>0.59625774644402574</v>
      </c>
      <c r="T43" s="4">
        <f t="shared" si="18"/>
        <v>0.62041806144074685</v>
      </c>
      <c r="U43" s="4">
        <f t="shared" si="19"/>
        <v>0.64624470730778283</v>
      </c>
      <c r="V43" s="4">
        <f t="shared" si="20"/>
        <v>0.67066472077994455</v>
      </c>
      <c r="W43" s="4">
        <f t="shared" si="21"/>
        <v>0.71014365990366313</v>
      </c>
      <c r="X43" s="4">
        <f t="shared" si="22"/>
        <v>0.78514774383355235</v>
      </c>
      <c r="Z43" s="2" t="s">
        <v>19</v>
      </c>
      <c r="AA43" s="4">
        <f t="shared" si="23"/>
        <v>5.0077715995187462E-2</v>
      </c>
      <c r="AB43" s="4">
        <f t="shared" si="24"/>
        <v>4.7746910930194439E-2</v>
      </c>
      <c r="AC43" s="4">
        <f t="shared" si="25"/>
        <v>4.6173567358292769E-2</v>
      </c>
      <c r="AD43" s="4">
        <f t="shared" si="26"/>
        <v>4.4919604080789551E-2</v>
      </c>
      <c r="AE43" s="4">
        <f t="shared" si="27"/>
        <v>4.4402311139122817E-2</v>
      </c>
      <c r="AF43" s="4">
        <f t="shared" si="28"/>
        <v>5.6918491419293483E-2</v>
      </c>
      <c r="AG43" s="4">
        <f t="shared" si="29"/>
        <v>5.7724633102840407E-2</v>
      </c>
      <c r="AH43" s="4">
        <f t="shared" si="30"/>
        <v>5.9939705161870645E-2</v>
      </c>
      <c r="AI43" s="4">
        <f t="shared" si="31"/>
        <v>5.49212507535463E-2</v>
      </c>
      <c r="AJ43" s="4">
        <f t="shared" si="32"/>
        <v>4.4712514121759799E-2</v>
      </c>
    </row>
    <row r="44" spans="2:36">
      <c r="B44" s="2" t="s">
        <v>20</v>
      </c>
      <c r="C44" s="4">
        <f t="shared" si="3"/>
        <v>0.29409767967527678</v>
      </c>
      <c r="D44" s="4">
        <f t="shared" si="4"/>
        <v>0.30144663155265022</v>
      </c>
      <c r="E44" s="4">
        <f t="shared" si="5"/>
        <v>0.30920206672433542</v>
      </c>
      <c r="F44" s="4">
        <f t="shared" si="6"/>
        <v>0.31760644718221925</v>
      </c>
      <c r="G44" s="4">
        <f t="shared" si="7"/>
        <v>0.32622503711445811</v>
      </c>
      <c r="H44" s="4">
        <f t="shared" si="8"/>
        <v>0.30383101957066611</v>
      </c>
      <c r="I44" s="4">
        <f t="shared" si="9"/>
        <v>0.27909425396862581</v>
      </c>
      <c r="J44" s="4">
        <f t="shared" si="10"/>
        <v>0.25109958044976516</v>
      </c>
      <c r="K44" s="4">
        <f t="shared" si="11"/>
        <v>0.21854957472830813</v>
      </c>
      <c r="L44" s="4">
        <f t="shared" si="12"/>
        <v>0.1630892818660733</v>
      </c>
      <c r="N44" s="2" t="s">
        <v>20</v>
      </c>
      <c r="O44" s="4">
        <f t="shared" si="13"/>
        <v>0.65677896114064094</v>
      </c>
      <c r="P44" s="4">
        <f t="shared" si="14"/>
        <v>0.65067842569846357</v>
      </c>
      <c r="Q44" s="4">
        <f t="shared" si="15"/>
        <v>0.64550586169364366</v>
      </c>
      <c r="R44" s="4">
        <f t="shared" si="16"/>
        <v>0.63812250270540249</v>
      </c>
      <c r="S44" s="4">
        <f t="shared" si="17"/>
        <v>0.62911801487698282</v>
      </c>
      <c r="T44" s="4">
        <f t="shared" si="18"/>
        <v>0.63964131267612945</v>
      </c>
      <c r="U44" s="4">
        <f t="shared" si="19"/>
        <v>0.66272569790157732</v>
      </c>
      <c r="V44" s="4">
        <f t="shared" si="20"/>
        <v>0.68933520724637498</v>
      </c>
      <c r="W44" s="4">
        <f t="shared" si="21"/>
        <v>0.72660891937860184</v>
      </c>
      <c r="X44" s="4">
        <f t="shared" si="22"/>
        <v>0.79233209831987972</v>
      </c>
      <c r="Z44" s="2" t="s">
        <v>20</v>
      </c>
      <c r="AA44" s="4">
        <f t="shared" si="23"/>
        <v>4.9123359184082213E-2</v>
      </c>
      <c r="AB44" s="4">
        <f t="shared" si="24"/>
        <v>4.7874942748886207E-2</v>
      </c>
      <c r="AC44" s="4">
        <f t="shared" si="25"/>
        <v>4.5292071582020851E-2</v>
      </c>
      <c r="AD44" s="4">
        <f t="shared" si="26"/>
        <v>4.4271050112378259E-2</v>
      </c>
      <c r="AE44" s="4">
        <f t="shared" si="27"/>
        <v>4.4656948008559072E-2</v>
      </c>
      <c r="AF44" s="4">
        <f t="shared" si="28"/>
        <v>5.6527667753204419E-2</v>
      </c>
      <c r="AG44" s="4">
        <f t="shared" si="29"/>
        <v>5.8180048129796873E-2</v>
      </c>
      <c r="AH44" s="4">
        <f t="shared" si="30"/>
        <v>5.9565212303859943E-2</v>
      </c>
      <c r="AI44" s="4">
        <f t="shared" si="31"/>
        <v>5.4841505893090052E-2</v>
      </c>
      <c r="AJ44" s="4">
        <f t="shared" si="32"/>
        <v>4.4578619814046962E-2</v>
      </c>
    </row>
    <row r="45" spans="2:36">
      <c r="B45" s="2" t="s">
        <v>21</v>
      </c>
      <c r="C45" s="4">
        <f t="shared" si="3"/>
        <v>0.26627146627146625</v>
      </c>
      <c r="D45" s="4">
        <f t="shared" si="4"/>
        <v>0.27180652651861364</v>
      </c>
      <c r="E45" s="4">
        <f t="shared" si="5"/>
        <v>0.27824722230883558</v>
      </c>
      <c r="F45" s="4">
        <f t="shared" si="6"/>
        <v>0.28528379987894331</v>
      </c>
      <c r="G45" s="4">
        <f t="shared" si="7"/>
        <v>0.29384086298569567</v>
      </c>
      <c r="H45" s="4">
        <f t="shared" si="8"/>
        <v>0.28481246519664222</v>
      </c>
      <c r="I45" s="4">
        <f t="shared" si="9"/>
        <v>0.26152796903011249</v>
      </c>
      <c r="J45" s="4">
        <f t="shared" si="10"/>
        <v>0.23375482462410169</v>
      </c>
      <c r="K45" s="4">
        <f t="shared" si="11"/>
        <v>0.20187048319894701</v>
      </c>
      <c r="L45" s="4">
        <f t="shared" si="12"/>
        <v>0.15365963202479821</v>
      </c>
      <c r="N45" s="2" t="s">
        <v>21</v>
      </c>
      <c r="O45" s="4">
        <f t="shared" si="13"/>
        <v>0.68437268437268439</v>
      </c>
      <c r="P45" s="4">
        <f t="shared" si="14"/>
        <v>0.68082492241324388</v>
      </c>
      <c r="Q45" s="4">
        <f t="shared" si="15"/>
        <v>0.67544146840863506</v>
      </c>
      <c r="R45" s="4">
        <f t="shared" si="16"/>
        <v>0.67101342688109755</v>
      </c>
      <c r="S45" s="4">
        <f t="shared" si="17"/>
        <v>0.66191241827688585</v>
      </c>
      <c r="T45" s="4">
        <f t="shared" si="18"/>
        <v>0.65789925631404467</v>
      </c>
      <c r="U45" s="4">
        <f t="shared" si="19"/>
        <v>0.68019174309542985</v>
      </c>
      <c r="V45" s="4">
        <f t="shared" si="20"/>
        <v>0.70675772264746783</v>
      </c>
      <c r="W45" s="4">
        <f t="shared" si="21"/>
        <v>0.74345090266112868</v>
      </c>
      <c r="X45" s="4">
        <f t="shared" si="22"/>
        <v>0.80222566064970702</v>
      </c>
      <c r="Z45" s="2" t="s">
        <v>21</v>
      </c>
      <c r="AA45" s="4">
        <f t="shared" si="23"/>
        <v>4.9355849355849357E-2</v>
      </c>
      <c r="AB45" s="4">
        <f t="shared" si="24"/>
        <v>4.7368551068142431E-2</v>
      </c>
      <c r="AC45" s="4">
        <f t="shared" si="25"/>
        <v>4.6311309282529391E-2</v>
      </c>
      <c r="AD45" s="4">
        <f t="shared" si="26"/>
        <v>4.3702773239959129E-2</v>
      </c>
      <c r="AE45" s="4">
        <f t="shared" si="27"/>
        <v>4.4246718737418471E-2</v>
      </c>
      <c r="AF45" s="4">
        <f t="shared" si="28"/>
        <v>5.7288278489313095E-2</v>
      </c>
      <c r="AG45" s="4">
        <f t="shared" si="29"/>
        <v>5.8280287874457638E-2</v>
      </c>
      <c r="AH45" s="4">
        <f t="shared" si="30"/>
        <v>5.948745272843052E-2</v>
      </c>
      <c r="AI45" s="4">
        <f t="shared" si="31"/>
        <v>5.4678614139924343E-2</v>
      </c>
      <c r="AJ45" s="4">
        <f t="shared" si="32"/>
        <v>4.4114707325494759E-2</v>
      </c>
    </row>
    <row r="46" spans="2:36">
      <c r="B46" s="2" t="s">
        <v>22</v>
      </c>
      <c r="C46" s="4">
        <f t="shared" si="3"/>
        <v>0.23819614362480537</v>
      </c>
      <c r="D46" s="4">
        <f t="shared" si="4"/>
        <v>0.24310545003956849</v>
      </c>
      <c r="E46" s="4">
        <f t="shared" si="5"/>
        <v>0.24745956628009777</v>
      </c>
      <c r="F46" s="4">
        <f t="shared" si="6"/>
        <v>0.25157364203166377</v>
      </c>
      <c r="G46" s="4">
        <f t="shared" si="7"/>
        <v>0.26386996453199923</v>
      </c>
      <c r="H46" s="4">
        <f t="shared" si="8"/>
        <v>0.26556686346853875</v>
      </c>
      <c r="I46" s="4">
        <f t="shared" si="9"/>
        <v>0.24242302274099417</v>
      </c>
      <c r="J46" s="4">
        <f t="shared" si="10"/>
        <v>0.21650928806651748</v>
      </c>
      <c r="K46" s="4">
        <f t="shared" si="11"/>
        <v>0.18557666238201773</v>
      </c>
      <c r="L46" s="4">
        <f t="shared" si="12"/>
        <v>0.14510644934882633</v>
      </c>
      <c r="N46" s="2" t="s">
        <v>22</v>
      </c>
      <c r="O46" s="4">
        <f t="shared" si="13"/>
        <v>0.71221315559093756</v>
      </c>
      <c r="P46" s="4">
        <f t="shared" si="14"/>
        <v>0.70873422466575031</v>
      </c>
      <c r="Q46" s="4">
        <f t="shared" si="15"/>
        <v>0.7065187997295751</v>
      </c>
      <c r="R46" s="4">
        <f t="shared" si="16"/>
        <v>0.70349038802434716</v>
      </c>
      <c r="S46" s="4">
        <f t="shared" si="17"/>
        <v>0.69266483259311651</v>
      </c>
      <c r="T46" s="4">
        <f t="shared" si="18"/>
        <v>0.67750311577694289</v>
      </c>
      <c r="U46" s="4">
        <f t="shared" si="19"/>
        <v>0.69912684450041873</v>
      </c>
      <c r="V46" s="4">
        <f t="shared" si="20"/>
        <v>0.72410790635778355</v>
      </c>
      <c r="W46" s="4">
        <f t="shared" si="21"/>
        <v>0.75969881323676947</v>
      </c>
      <c r="X46" s="4">
        <f t="shared" si="22"/>
        <v>0.81137669292157322</v>
      </c>
      <c r="Z46" s="2" t="s">
        <v>22</v>
      </c>
      <c r="AA46" s="4">
        <f t="shared" si="23"/>
        <v>4.9590700784257105E-2</v>
      </c>
      <c r="AB46" s="4">
        <f t="shared" si="24"/>
        <v>4.8160325294681158E-2</v>
      </c>
      <c r="AC46" s="4">
        <f t="shared" si="25"/>
        <v>4.6021633990327111E-2</v>
      </c>
      <c r="AD46" s="4">
        <f t="shared" si="26"/>
        <v>4.4935969943989122E-2</v>
      </c>
      <c r="AE46" s="4">
        <f t="shared" si="27"/>
        <v>4.3465202874884284E-2</v>
      </c>
      <c r="AF46" s="4">
        <f t="shared" si="28"/>
        <v>5.6930020754518362E-2</v>
      </c>
      <c r="AG46" s="4">
        <f t="shared" si="29"/>
        <v>5.8450132758587112E-2</v>
      </c>
      <c r="AH46" s="4">
        <f t="shared" si="30"/>
        <v>5.9382805575698978E-2</v>
      </c>
      <c r="AI46" s="4">
        <f t="shared" si="31"/>
        <v>5.4724524381212822E-2</v>
      </c>
      <c r="AJ46" s="4">
        <f t="shared" si="32"/>
        <v>4.3516857729600456E-2</v>
      </c>
    </row>
    <row r="47" spans="2:36">
      <c r="B47" s="2" t="s">
        <v>23</v>
      </c>
      <c r="C47" s="4">
        <f t="shared" si="3"/>
        <v>0.21136960507729913</v>
      </c>
      <c r="D47" s="4">
        <f t="shared" si="4"/>
        <v>0.21301266910027916</v>
      </c>
      <c r="E47" s="4">
        <f t="shared" si="5"/>
        <v>0.21633950465119298</v>
      </c>
      <c r="F47" s="4">
        <f t="shared" si="6"/>
        <v>0.22187149680515125</v>
      </c>
      <c r="G47" s="4">
        <f t="shared" si="7"/>
        <v>0.23028467469371885</v>
      </c>
      <c r="H47" s="4">
        <f t="shared" si="8"/>
        <v>0.24525736097099293</v>
      </c>
      <c r="I47" s="4">
        <f t="shared" si="9"/>
        <v>0.22322201185433868</v>
      </c>
      <c r="J47" s="4">
        <f t="shared" si="10"/>
        <v>0.19837981949754127</v>
      </c>
      <c r="K47" s="4">
        <f t="shared" si="11"/>
        <v>0.16933415573239879</v>
      </c>
      <c r="L47" s="4">
        <f t="shared" si="12"/>
        <v>0.13512194360059665</v>
      </c>
      <c r="N47" s="2" t="s">
        <v>23</v>
      </c>
      <c r="O47" s="4">
        <f t="shared" si="13"/>
        <v>0.75013222133136159</v>
      </c>
      <c r="P47" s="4">
        <f t="shared" si="14"/>
        <v>0.74940428550048477</v>
      </c>
      <c r="Q47" s="4">
        <f t="shared" si="15"/>
        <v>0.74727869533064339</v>
      </c>
      <c r="R47" s="4">
        <f t="shared" si="16"/>
        <v>0.74249999675254241</v>
      </c>
      <c r="S47" s="4">
        <f t="shared" si="17"/>
        <v>0.73791358196475088</v>
      </c>
      <c r="T47" s="4">
        <f t="shared" si="18"/>
        <v>0.72637130911397929</v>
      </c>
      <c r="U47" s="4">
        <f t="shared" si="19"/>
        <v>0.7283599763173475</v>
      </c>
      <c r="V47" s="4">
        <f t="shared" si="20"/>
        <v>0.7510428352118883</v>
      </c>
      <c r="W47" s="4">
        <f t="shared" si="21"/>
        <v>0.78442604517908632</v>
      </c>
      <c r="X47" s="4">
        <f t="shared" si="22"/>
        <v>0.83088378849052336</v>
      </c>
      <c r="Z47" s="2" t="s">
        <v>23</v>
      </c>
      <c r="AA47" s="4">
        <f t="shared" si="23"/>
        <v>3.8498173591339273E-2</v>
      </c>
      <c r="AB47" s="4">
        <f t="shared" si="24"/>
        <v>3.7583045399236077E-2</v>
      </c>
      <c r="AC47" s="4">
        <f t="shared" si="25"/>
        <v>3.6381800018163657E-2</v>
      </c>
      <c r="AD47" s="4">
        <f t="shared" si="26"/>
        <v>3.5628506442306321E-2</v>
      </c>
      <c r="AE47" s="4">
        <f t="shared" si="27"/>
        <v>3.1801743341530304E-2</v>
      </c>
      <c r="AF47" s="4">
        <f t="shared" si="28"/>
        <v>2.8371329915027717E-2</v>
      </c>
      <c r="AG47" s="4">
        <f t="shared" si="29"/>
        <v>4.8418011828313783E-2</v>
      </c>
      <c r="AH47" s="4">
        <f t="shared" si="30"/>
        <v>5.057734529057048E-2</v>
      </c>
      <c r="AI47" s="4">
        <f t="shared" si="31"/>
        <v>4.6239799088514923E-2</v>
      </c>
      <c r="AJ47" s="4">
        <f t="shared" si="32"/>
        <v>3.3994267908880056E-2</v>
      </c>
    </row>
    <row r="48" spans="2:36">
      <c r="B48" s="2" t="s">
        <v>24</v>
      </c>
      <c r="C48" s="4">
        <f t="shared" si="3"/>
        <v>0.1727124659159503</v>
      </c>
      <c r="D48" s="4">
        <f t="shared" si="4"/>
        <v>0.17414325120388985</v>
      </c>
      <c r="E48" s="4">
        <f t="shared" si="5"/>
        <v>0.17769449554027514</v>
      </c>
      <c r="F48" s="4">
        <f t="shared" si="6"/>
        <v>0.18014133678332045</v>
      </c>
      <c r="G48" s="4">
        <f t="shared" si="7"/>
        <v>0.185012471391266</v>
      </c>
      <c r="H48" s="4">
        <f t="shared" si="8"/>
        <v>0.19625055505496017</v>
      </c>
      <c r="I48" s="4">
        <f t="shared" si="9"/>
        <v>0.19517535021289042</v>
      </c>
      <c r="J48" s="4">
        <f t="shared" si="10"/>
        <v>0.17293891399177599</v>
      </c>
      <c r="K48" s="4">
        <f t="shared" si="11"/>
        <v>0.14425571321260558</v>
      </c>
      <c r="L48" s="4">
        <f t="shared" si="12"/>
        <v>0.11603127000970206</v>
      </c>
      <c r="N48" s="2" t="s">
        <v>24</v>
      </c>
      <c r="O48" s="4">
        <f t="shared" si="13"/>
        <v>0.79889239847636495</v>
      </c>
      <c r="P48" s="4">
        <f t="shared" si="14"/>
        <v>0.79831273603773489</v>
      </c>
      <c r="Q48" s="4">
        <f t="shared" si="15"/>
        <v>0.79529921242465984</v>
      </c>
      <c r="R48" s="4">
        <f t="shared" si="16"/>
        <v>0.79396425622655498</v>
      </c>
      <c r="S48" s="4">
        <f t="shared" si="17"/>
        <v>0.79132246190598254</v>
      </c>
      <c r="T48" s="4">
        <f t="shared" si="18"/>
        <v>0.78592406588469921</v>
      </c>
      <c r="U48" s="4">
        <f t="shared" si="19"/>
        <v>0.78459388305652156</v>
      </c>
      <c r="V48" s="4">
        <f t="shared" si="20"/>
        <v>0.78626542003470978</v>
      </c>
      <c r="W48" s="4">
        <f t="shared" si="21"/>
        <v>0.81798102979708498</v>
      </c>
      <c r="X48" s="4">
        <f t="shared" si="22"/>
        <v>0.86013307547740792</v>
      </c>
      <c r="Z48" s="2" t="s">
        <v>24</v>
      </c>
      <c r="AA48" s="4">
        <f t="shared" si="23"/>
        <v>2.8395135607684783E-2</v>
      </c>
      <c r="AB48" s="4">
        <f t="shared" si="24"/>
        <v>2.7544012758375282E-2</v>
      </c>
      <c r="AC48" s="4">
        <f t="shared" si="25"/>
        <v>2.700629203506508E-2</v>
      </c>
      <c r="AD48" s="4">
        <f t="shared" si="26"/>
        <v>2.589440699012463E-2</v>
      </c>
      <c r="AE48" s="4">
        <f t="shared" si="27"/>
        <v>2.3665066702751512E-2</v>
      </c>
      <c r="AF48" s="4">
        <f t="shared" si="28"/>
        <v>1.7825379060340641E-2</v>
      </c>
      <c r="AG48" s="4">
        <f t="shared" si="29"/>
        <v>2.0230766730587969E-2</v>
      </c>
      <c r="AH48" s="4">
        <f t="shared" si="30"/>
        <v>4.0795665973514285E-2</v>
      </c>
      <c r="AI48" s="4">
        <f t="shared" si="31"/>
        <v>3.7763256990309468E-2</v>
      </c>
      <c r="AJ48" s="4">
        <f t="shared" si="32"/>
        <v>2.3835654512889982E-2</v>
      </c>
    </row>
    <row r="49" spans="2:36">
      <c r="B49" s="2" t="s">
        <v>25</v>
      </c>
      <c r="C49" s="4">
        <f t="shared" si="3"/>
        <v>0.12410991935137751</v>
      </c>
      <c r="D49" s="4">
        <f t="shared" si="4"/>
        <v>0.12697928009168424</v>
      </c>
      <c r="E49" s="4">
        <f t="shared" si="5"/>
        <v>0.12831517766846731</v>
      </c>
      <c r="F49" s="4">
        <f t="shared" si="6"/>
        <v>0.12913979641475615</v>
      </c>
      <c r="G49" s="4">
        <f t="shared" si="7"/>
        <v>0.13109277420985632</v>
      </c>
      <c r="H49" s="4">
        <f t="shared" si="8"/>
        <v>0.13704878758587716</v>
      </c>
      <c r="I49" s="4">
        <f t="shared" si="9"/>
        <v>0.13891215130220388</v>
      </c>
      <c r="J49" s="4">
        <f t="shared" si="10"/>
        <v>0.13577243051959934</v>
      </c>
      <c r="K49" s="4">
        <f t="shared" si="11"/>
        <v>0.11101734076245801</v>
      </c>
      <c r="L49" s="4">
        <f t="shared" si="12"/>
        <v>8.5913340899388818E-2</v>
      </c>
      <c r="N49" s="2" t="s">
        <v>25</v>
      </c>
      <c r="O49" s="4">
        <f t="shared" si="13"/>
        <v>0.85756238530558948</v>
      </c>
      <c r="P49" s="4">
        <f t="shared" si="14"/>
        <v>0.8548943734261264</v>
      </c>
      <c r="Q49" s="4">
        <f t="shared" si="15"/>
        <v>0.85406921871571873</v>
      </c>
      <c r="R49" s="4">
        <f t="shared" si="16"/>
        <v>0.85387568969509042</v>
      </c>
      <c r="S49" s="4">
        <f t="shared" si="17"/>
        <v>0.85348937506433331</v>
      </c>
      <c r="T49" s="4">
        <f t="shared" si="18"/>
        <v>0.85118565058775841</v>
      </c>
      <c r="U49" s="4">
        <f t="shared" si="19"/>
        <v>0.8503869940858565</v>
      </c>
      <c r="V49" s="4">
        <f t="shared" si="20"/>
        <v>0.85052938375033904</v>
      </c>
      <c r="W49" s="4">
        <f t="shared" si="21"/>
        <v>0.85980928475935392</v>
      </c>
      <c r="X49" s="4">
        <f t="shared" si="22"/>
        <v>0.90027513717813901</v>
      </c>
      <c r="Z49" s="2" t="s">
        <v>25</v>
      </c>
      <c r="AA49" s="4">
        <f t="shared" si="23"/>
        <v>1.8327695343033017E-2</v>
      </c>
      <c r="AB49" s="4">
        <f t="shared" si="24"/>
        <v>1.8126346482189405E-2</v>
      </c>
      <c r="AC49" s="4">
        <f t="shared" si="25"/>
        <v>1.7615603615813928E-2</v>
      </c>
      <c r="AD49" s="4">
        <f t="shared" si="26"/>
        <v>1.6984513890153458E-2</v>
      </c>
      <c r="AE49" s="4">
        <f t="shared" si="27"/>
        <v>1.5417850725810339E-2</v>
      </c>
      <c r="AF49" s="4">
        <f t="shared" si="28"/>
        <v>1.176556182636442E-2</v>
      </c>
      <c r="AG49" s="4">
        <f t="shared" si="29"/>
        <v>1.0700854611939601E-2</v>
      </c>
      <c r="AH49" s="4">
        <f t="shared" si="30"/>
        <v>1.3698185730061652E-2</v>
      </c>
      <c r="AI49" s="4">
        <f t="shared" si="31"/>
        <v>2.917337447818805E-2</v>
      </c>
      <c r="AJ49" s="4">
        <f t="shared" si="32"/>
        <v>1.3811521922472226E-2</v>
      </c>
    </row>
    <row r="50" spans="2:36">
      <c r="B50" s="2" t="s">
        <v>26</v>
      </c>
      <c r="C50" s="4">
        <f t="shared" si="3"/>
        <v>6.8249906947325675E-2</v>
      </c>
      <c r="D50" s="4">
        <f t="shared" si="4"/>
        <v>6.7944146582687007E-2</v>
      </c>
      <c r="E50" s="4">
        <f t="shared" si="5"/>
        <v>6.9035993947885732E-2</v>
      </c>
      <c r="F50" s="4">
        <f t="shared" si="6"/>
        <v>6.8879593619366505E-2</v>
      </c>
      <c r="G50" s="4">
        <f t="shared" si="7"/>
        <v>6.9473334320133584E-2</v>
      </c>
      <c r="H50" s="4">
        <f t="shared" si="8"/>
        <v>7.1037045307603019E-2</v>
      </c>
      <c r="I50" s="4">
        <f t="shared" si="9"/>
        <v>7.1431819569660285E-2</v>
      </c>
      <c r="J50" s="4">
        <f t="shared" si="10"/>
        <v>7.2095410776932267E-2</v>
      </c>
      <c r="K50" s="4">
        <f t="shared" si="11"/>
        <v>6.8692747371679963E-2</v>
      </c>
      <c r="L50" s="4">
        <f t="shared" si="12"/>
        <v>4.7459732376377711E-2</v>
      </c>
      <c r="N50" s="2" t="s">
        <v>26</v>
      </c>
      <c r="O50" s="4">
        <f t="shared" si="13"/>
        <v>0.92254503619293526</v>
      </c>
      <c r="P50" s="4">
        <f t="shared" si="14"/>
        <v>0.92323928999010985</v>
      </c>
      <c r="Q50" s="4">
        <f t="shared" si="15"/>
        <v>0.92234377622268449</v>
      </c>
      <c r="R50" s="4">
        <f t="shared" si="16"/>
        <v>0.92285345132375263</v>
      </c>
      <c r="S50" s="4">
        <f t="shared" si="17"/>
        <v>0.92302568537172502</v>
      </c>
      <c r="T50" s="4">
        <f t="shared" si="18"/>
        <v>0.92317908823934169</v>
      </c>
      <c r="U50" s="4">
        <f t="shared" si="19"/>
        <v>0.92328020673768407</v>
      </c>
      <c r="V50" s="4">
        <f t="shared" si="20"/>
        <v>0.92326332060964678</v>
      </c>
      <c r="W50" s="4">
        <f t="shared" si="21"/>
        <v>0.9286252734987811</v>
      </c>
      <c r="X50" s="4">
        <f t="shared" si="22"/>
        <v>0.94852162569852005</v>
      </c>
      <c r="Z50" s="2" t="s">
        <v>26</v>
      </c>
      <c r="AA50" s="4">
        <f t="shared" si="23"/>
        <v>9.2050568597390366E-3</v>
      </c>
      <c r="AB50" s="4">
        <f t="shared" si="24"/>
        <v>8.8165634272031647E-3</v>
      </c>
      <c r="AC50" s="4">
        <f t="shared" si="25"/>
        <v>8.6202298294297715E-3</v>
      </c>
      <c r="AD50" s="4">
        <f t="shared" si="26"/>
        <v>8.2669550568808103E-3</v>
      </c>
      <c r="AE50" s="4">
        <f t="shared" si="27"/>
        <v>7.5009803081413614E-3</v>
      </c>
      <c r="AF50" s="4">
        <f t="shared" si="28"/>
        <v>5.7838664530552577E-3</v>
      </c>
      <c r="AG50" s="4">
        <f t="shared" si="29"/>
        <v>5.2879736926556929E-3</v>
      </c>
      <c r="AH50" s="4">
        <f t="shared" si="30"/>
        <v>4.641268613421002E-3</v>
      </c>
      <c r="AI50" s="4">
        <f t="shared" si="31"/>
        <v>2.6819791295389088E-3</v>
      </c>
      <c r="AJ50" s="4">
        <f t="shared" si="32"/>
        <v>4.0186419251022855E-3</v>
      </c>
    </row>
    <row r="51" spans="2:36">
      <c r="B51" s="2" t="s">
        <v>27</v>
      </c>
      <c r="C51" s="4">
        <f t="shared" si="3"/>
        <v>0.45796213554978893</v>
      </c>
      <c r="D51" s="4">
        <f t="shared" si="4"/>
        <v>0.47479699091818572</v>
      </c>
      <c r="E51" s="4">
        <f t="shared" si="5"/>
        <v>0.49327376978054666</v>
      </c>
      <c r="F51" s="4">
        <f t="shared" si="6"/>
        <v>0.51189620130372537</v>
      </c>
      <c r="G51" s="4">
        <f t="shared" si="7"/>
        <v>0.52337826261596843</v>
      </c>
      <c r="H51" s="4">
        <f t="shared" si="8"/>
        <v>0.42539368569345476</v>
      </c>
      <c r="I51" s="4">
        <f t="shared" si="9"/>
        <v>0.39013031875174503</v>
      </c>
      <c r="J51" s="4">
        <f t="shared" si="10"/>
        <v>0.35494301713122162</v>
      </c>
      <c r="K51" s="4">
        <f t="shared" si="11"/>
        <v>0.31597628863934163</v>
      </c>
      <c r="L51" s="4">
        <f t="shared" si="12"/>
        <v>0.21620721939040882</v>
      </c>
      <c r="N51" s="2" t="s">
        <v>27</v>
      </c>
      <c r="O51" s="4">
        <f t="shared" si="13"/>
        <v>0.49309243686548432</v>
      </c>
      <c r="P51" s="4">
        <f t="shared" si="14"/>
        <v>0.47673808255486116</v>
      </c>
      <c r="Q51" s="4">
        <f t="shared" si="15"/>
        <v>0.45977771484836755</v>
      </c>
      <c r="R51" s="4">
        <f t="shared" si="16"/>
        <v>0.44393759906999364</v>
      </c>
      <c r="S51" s="4">
        <f t="shared" si="17"/>
        <v>0.43266392211968807</v>
      </c>
      <c r="T51" s="4">
        <f t="shared" si="18"/>
        <v>0.51820304915531556</v>
      </c>
      <c r="U51" s="4">
        <f t="shared" si="19"/>
        <v>0.55218399163674381</v>
      </c>
      <c r="V51" s="4">
        <f t="shared" si="20"/>
        <v>0.5859340099940783</v>
      </c>
      <c r="W51" s="4">
        <f t="shared" si="21"/>
        <v>0.62912834048769795</v>
      </c>
      <c r="X51" s="4">
        <f t="shared" si="22"/>
        <v>0.73883283054197446</v>
      </c>
      <c r="Z51" s="2" t="s">
        <v>27</v>
      </c>
      <c r="AA51" s="4">
        <f t="shared" si="23"/>
        <v>4.8945427584726746E-2</v>
      </c>
      <c r="AB51" s="4">
        <f t="shared" si="24"/>
        <v>4.8464926526953112E-2</v>
      </c>
      <c r="AC51" s="4">
        <f t="shared" si="25"/>
        <v>4.6948515371085783E-2</v>
      </c>
      <c r="AD51" s="4">
        <f t="shared" si="26"/>
        <v>4.4166199626281002E-2</v>
      </c>
      <c r="AE51" s="4">
        <f t="shared" si="27"/>
        <v>4.3957815264343551E-2</v>
      </c>
      <c r="AF51" s="4">
        <f t="shared" si="28"/>
        <v>5.6403265151229627E-2</v>
      </c>
      <c r="AG51" s="4">
        <f t="shared" si="29"/>
        <v>5.7685689611511166E-2</v>
      </c>
      <c r="AH51" s="4">
        <f t="shared" si="30"/>
        <v>5.9122972874700024E-2</v>
      </c>
      <c r="AI51" s="4">
        <f t="shared" si="31"/>
        <v>5.4895370872960404E-2</v>
      </c>
      <c r="AJ51" s="4">
        <f t="shared" si="32"/>
        <v>4.4959950067616772E-2</v>
      </c>
    </row>
    <row r="52" spans="2:36">
      <c r="B52" s="2" t="s">
        <v>28</v>
      </c>
      <c r="C52" s="4">
        <f t="shared" si="3"/>
        <v>0.45614752661532526</v>
      </c>
      <c r="D52" s="4">
        <f t="shared" si="4"/>
        <v>0.47373476000046788</v>
      </c>
      <c r="E52" s="4">
        <f t="shared" si="5"/>
        <v>0.49274441638345856</v>
      </c>
      <c r="F52" s="4">
        <f t="shared" si="6"/>
        <v>0.51040949736775809</v>
      </c>
      <c r="G52" s="4">
        <f t="shared" si="7"/>
        <v>0.52240039783585623</v>
      </c>
      <c r="H52" s="4">
        <f t="shared" si="8"/>
        <v>0.42308657237155967</v>
      </c>
      <c r="I52" s="4">
        <f t="shared" si="9"/>
        <v>0.39114341196253705</v>
      </c>
      <c r="J52" s="4">
        <f t="shared" si="10"/>
        <v>0.35636563530296983</v>
      </c>
      <c r="K52" s="4">
        <f t="shared" si="11"/>
        <v>0.31592940322693919</v>
      </c>
      <c r="L52" s="4">
        <f t="shared" si="12"/>
        <v>0.21532189543757357</v>
      </c>
      <c r="N52" s="2" t="s">
        <v>28</v>
      </c>
      <c r="O52" s="4">
        <f t="shared" si="13"/>
        <v>0.49401731375764635</v>
      </c>
      <c r="P52" s="4">
        <f t="shared" si="14"/>
        <v>0.47843298819009694</v>
      </c>
      <c r="Q52" s="4">
        <f t="shared" si="15"/>
        <v>0.46131091572350574</v>
      </c>
      <c r="R52" s="4">
        <f t="shared" si="16"/>
        <v>0.4454306513987113</v>
      </c>
      <c r="S52" s="4">
        <f t="shared" si="17"/>
        <v>0.4333611922578226</v>
      </c>
      <c r="T52" s="4">
        <f t="shared" si="18"/>
        <v>0.52040395847063581</v>
      </c>
      <c r="U52" s="4">
        <f t="shared" si="19"/>
        <v>0.5512369652702217</v>
      </c>
      <c r="V52" s="4">
        <f t="shared" si="20"/>
        <v>0.584164501838209</v>
      </c>
      <c r="W52" s="4">
        <f t="shared" si="21"/>
        <v>0.62926549807387677</v>
      </c>
      <c r="X52" s="4">
        <f t="shared" si="22"/>
        <v>0.73979566648738115</v>
      </c>
      <c r="Z52" s="2" t="s">
        <v>28</v>
      </c>
      <c r="AA52" s="4">
        <f t="shared" si="23"/>
        <v>4.9835159627028371E-2</v>
      </c>
      <c r="AB52" s="4">
        <f t="shared" si="24"/>
        <v>4.7832251809435185E-2</v>
      </c>
      <c r="AC52" s="4">
        <f t="shared" si="25"/>
        <v>4.5944667893035682E-2</v>
      </c>
      <c r="AD52" s="4">
        <f t="shared" si="26"/>
        <v>4.4159851233530632E-2</v>
      </c>
      <c r="AE52" s="4">
        <f t="shared" si="27"/>
        <v>4.4238409906321115E-2</v>
      </c>
      <c r="AF52" s="4">
        <f t="shared" si="28"/>
        <v>5.6509469157804568E-2</v>
      </c>
      <c r="AG52" s="4">
        <f t="shared" si="29"/>
        <v>5.7619622767241245E-2</v>
      </c>
      <c r="AH52" s="4">
        <f t="shared" si="30"/>
        <v>5.9469862858821131E-2</v>
      </c>
      <c r="AI52" s="4">
        <f t="shared" si="31"/>
        <v>5.4805098699184034E-2</v>
      </c>
      <c r="AJ52" s="4">
        <f t="shared" si="32"/>
        <v>4.4882438075045279E-2</v>
      </c>
    </row>
    <row r="53" spans="2:36">
      <c r="B53" s="2" t="s">
        <v>29</v>
      </c>
      <c r="C53" s="4">
        <f t="shared" si="3"/>
        <v>0.45699145494615162</v>
      </c>
      <c r="D53" s="4">
        <f t="shared" si="4"/>
        <v>0.47429220163621683</v>
      </c>
      <c r="E53" s="4">
        <f t="shared" si="5"/>
        <v>0.49218122168979084</v>
      </c>
      <c r="F53" s="4">
        <f t="shared" si="6"/>
        <v>0.51047096253284563</v>
      </c>
      <c r="G53" s="4">
        <f t="shared" si="7"/>
        <v>0.52275596642807454</v>
      </c>
      <c r="H53" s="4">
        <f t="shared" si="8"/>
        <v>0.4248003529039755</v>
      </c>
      <c r="I53" s="4">
        <f t="shared" si="9"/>
        <v>0.39107890006303292</v>
      </c>
      <c r="J53" s="4">
        <f t="shared" si="10"/>
        <v>0.35773147353585155</v>
      </c>
      <c r="K53" s="4">
        <f t="shared" si="11"/>
        <v>0.31613958489671146</v>
      </c>
      <c r="L53" s="4">
        <f t="shared" si="12"/>
        <v>0.21577836459827671</v>
      </c>
      <c r="N53" s="2" t="s">
        <v>29</v>
      </c>
      <c r="O53" s="4">
        <f t="shared" si="13"/>
        <v>0.49317409247785771</v>
      </c>
      <c r="P53" s="4">
        <f t="shared" si="14"/>
        <v>0.47808039075697462</v>
      </c>
      <c r="Q53" s="4">
        <f t="shared" si="15"/>
        <v>0.46204728007779183</v>
      </c>
      <c r="R53" s="4">
        <f t="shared" si="16"/>
        <v>0.44520995882344527</v>
      </c>
      <c r="S53" s="4">
        <f t="shared" si="17"/>
        <v>0.43316495361431295</v>
      </c>
      <c r="T53" s="4">
        <f t="shared" si="18"/>
        <v>0.51865953745115367</v>
      </c>
      <c r="U53" s="4">
        <f t="shared" si="19"/>
        <v>0.55034590273220363</v>
      </c>
      <c r="V53" s="4">
        <f t="shared" si="20"/>
        <v>0.58224377077059897</v>
      </c>
      <c r="W53" s="4">
        <f t="shared" si="21"/>
        <v>0.6287544627339382</v>
      </c>
      <c r="X53" s="4">
        <f t="shared" si="22"/>
        <v>0.73971363565756887</v>
      </c>
      <c r="Z53" s="2" t="s">
        <v>29</v>
      </c>
      <c r="AA53" s="4">
        <f t="shared" si="23"/>
        <v>4.9834452575990687E-2</v>
      </c>
      <c r="AB53" s="4">
        <f t="shared" si="24"/>
        <v>4.76274076068086E-2</v>
      </c>
      <c r="AC53" s="4">
        <f t="shared" si="25"/>
        <v>4.5771498232417322E-2</v>
      </c>
      <c r="AD53" s="4">
        <f t="shared" si="26"/>
        <v>4.4319078643709035E-2</v>
      </c>
      <c r="AE53" s="4">
        <f t="shared" si="27"/>
        <v>4.4079079957612517E-2</v>
      </c>
      <c r="AF53" s="4">
        <f t="shared" si="28"/>
        <v>5.6540109644870856E-2</v>
      </c>
      <c r="AG53" s="4">
        <f t="shared" si="29"/>
        <v>5.8575197204763521E-2</v>
      </c>
      <c r="AH53" s="4">
        <f t="shared" si="30"/>
        <v>6.0024755693549481E-2</v>
      </c>
      <c r="AI53" s="4">
        <f t="shared" si="31"/>
        <v>5.5105952369350314E-2</v>
      </c>
      <c r="AJ53" s="4">
        <f t="shared" si="32"/>
        <v>4.4507999744154383E-2</v>
      </c>
    </row>
    <row r="54" spans="2:36">
      <c r="B54" s="2" t="s">
        <v>30</v>
      </c>
      <c r="C54" s="4">
        <f t="shared" si="3"/>
        <v>0.4569148963845141</v>
      </c>
      <c r="D54" s="4">
        <f t="shared" si="4"/>
        <v>0.47371615895348174</v>
      </c>
      <c r="E54" s="4">
        <f t="shared" si="5"/>
        <v>0.49153141262636629</v>
      </c>
      <c r="F54" s="4">
        <f t="shared" si="6"/>
        <v>0.50933322242468826</v>
      </c>
      <c r="G54" s="4">
        <f t="shared" si="7"/>
        <v>0.52175973041455515</v>
      </c>
      <c r="H54" s="4">
        <f t="shared" si="8"/>
        <v>0.42607440938575597</v>
      </c>
      <c r="I54" s="4">
        <f t="shared" si="9"/>
        <v>0.39143972512306563</v>
      </c>
      <c r="J54" s="4">
        <f t="shared" si="10"/>
        <v>0.35634634625541628</v>
      </c>
      <c r="K54" s="4">
        <f t="shared" si="11"/>
        <v>0.31658439184926473</v>
      </c>
      <c r="L54" s="4">
        <f t="shared" si="12"/>
        <v>0.21525492031302809</v>
      </c>
      <c r="N54" s="2" t="s">
        <v>30</v>
      </c>
      <c r="O54" s="4">
        <f t="shared" si="13"/>
        <v>0.4936121560241622</v>
      </c>
      <c r="P54" s="4">
        <f t="shared" si="14"/>
        <v>0.47890377626304376</v>
      </c>
      <c r="Q54" s="4">
        <f t="shared" si="15"/>
        <v>0.46216221131587221</v>
      </c>
      <c r="R54" s="4">
        <f t="shared" si="16"/>
        <v>0.44662218190230857</v>
      </c>
      <c r="S54" s="4">
        <f t="shared" si="17"/>
        <v>0.43428075932541332</v>
      </c>
      <c r="T54" s="4">
        <f t="shared" si="18"/>
        <v>0.51706305745506831</v>
      </c>
      <c r="U54" s="4">
        <f t="shared" si="19"/>
        <v>0.55014112913705904</v>
      </c>
      <c r="V54" s="4">
        <f t="shared" si="20"/>
        <v>0.58418776189246469</v>
      </c>
      <c r="W54" s="4">
        <f t="shared" si="21"/>
        <v>0.62877114592885996</v>
      </c>
      <c r="X54" s="4">
        <f t="shared" si="22"/>
        <v>0.74047266203884254</v>
      </c>
      <c r="Z54" s="2" t="s">
        <v>30</v>
      </c>
      <c r="AA54" s="4">
        <f t="shared" si="23"/>
        <v>4.9472947591323667E-2</v>
      </c>
      <c r="AB54" s="4">
        <f t="shared" si="24"/>
        <v>4.7380064783474493E-2</v>
      </c>
      <c r="AC54" s="4">
        <f t="shared" si="25"/>
        <v>4.6306376057761507E-2</v>
      </c>
      <c r="AD54" s="4">
        <f t="shared" si="26"/>
        <v>4.4044595673003187E-2</v>
      </c>
      <c r="AE54" s="4">
        <f t="shared" si="27"/>
        <v>4.3959510260031566E-2</v>
      </c>
      <c r="AF54" s="4">
        <f t="shared" si="28"/>
        <v>5.6862533159175763E-2</v>
      </c>
      <c r="AG54" s="4">
        <f t="shared" si="29"/>
        <v>5.8419145739875347E-2</v>
      </c>
      <c r="AH54" s="4">
        <f t="shared" si="30"/>
        <v>5.9465891852119084E-2</v>
      </c>
      <c r="AI54" s="4">
        <f t="shared" si="31"/>
        <v>5.4644462221875342E-2</v>
      </c>
      <c r="AJ54" s="4">
        <f t="shared" si="32"/>
        <v>4.4272417648129371E-2</v>
      </c>
    </row>
    <row r="55" spans="2:36">
      <c r="B55" s="2" t="s">
        <v>31</v>
      </c>
      <c r="C55" s="4">
        <f t="shared" si="3"/>
        <v>0.45699083653561928</v>
      </c>
      <c r="D55" s="4">
        <f t="shared" si="4"/>
        <v>0.47387292025020561</v>
      </c>
      <c r="E55" s="4">
        <f t="shared" si="5"/>
        <v>0.49019092330138914</v>
      </c>
      <c r="F55" s="4">
        <f t="shared" si="6"/>
        <v>0.5095115199700293</v>
      </c>
      <c r="G55" s="4">
        <f t="shared" si="7"/>
        <v>0.52308682055718625</v>
      </c>
      <c r="H55" s="4">
        <f t="shared" si="8"/>
        <v>0.42579155672823221</v>
      </c>
      <c r="I55" s="4">
        <f t="shared" si="9"/>
        <v>0.39193426823029548</v>
      </c>
      <c r="J55" s="4">
        <f t="shared" si="10"/>
        <v>0.3577907766447137</v>
      </c>
      <c r="K55" s="4">
        <f t="shared" si="11"/>
        <v>0.31642043610249437</v>
      </c>
      <c r="L55" s="4">
        <f t="shared" si="12"/>
        <v>0.21543276143631385</v>
      </c>
      <c r="N55" s="2" t="s">
        <v>31</v>
      </c>
      <c r="O55" s="4">
        <f t="shared" si="13"/>
        <v>0.49392857003337498</v>
      </c>
      <c r="P55" s="4">
        <f t="shared" si="14"/>
        <v>0.47824581066461191</v>
      </c>
      <c r="Q55" s="4">
        <f t="shared" si="15"/>
        <v>0.46356526390730934</v>
      </c>
      <c r="R55" s="4">
        <f t="shared" si="16"/>
        <v>0.44582908402189525</v>
      </c>
      <c r="S55" s="4">
        <f t="shared" si="17"/>
        <v>0.43273958761629666</v>
      </c>
      <c r="T55" s="4">
        <f t="shared" si="18"/>
        <v>0.51720623065256688</v>
      </c>
      <c r="U55" s="4">
        <f t="shared" si="19"/>
        <v>0.54949994337507957</v>
      </c>
      <c r="V55" s="4">
        <f t="shared" si="20"/>
        <v>0.58257851145048101</v>
      </c>
      <c r="W55" s="4">
        <f t="shared" si="21"/>
        <v>0.6286815582302332</v>
      </c>
      <c r="X55" s="4">
        <f t="shared" si="22"/>
        <v>0.74088055224822547</v>
      </c>
      <c r="Z55" s="2" t="s">
        <v>31</v>
      </c>
      <c r="AA55" s="4">
        <f t="shared" si="23"/>
        <v>4.9080593431005765E-2</v>
      </c>
      <c r="AB55" s="4">
        <f t="shared" si="24"/>
        <v>4.7881269085182504E-2</v>
      </c>
      <c r="AC55" s="4">
        <f t="shared" si="25"/>
        <v>4.6243812791301526E-2</v>
      </c>
      <c r="AD55" s="4">
        <f t="shared" si="26"/>
        <v>4.4659396008075426E-2</v>
      </c>
      <c r="AE55" s="4">
        <f t="shared" si="27"/>
        <v>4.4173591826517124E-2</v>
      </c>
      <c r="AF55" s="4">
        <f t="shared" si="28"/>
        <v>5.7002212619200965E-2</v>
      </c>
      <c r="AG55" s="4">
        <f t="shared" si="29"/>
        <v>5.8565788394624931E-2</v>
      </c>
      <c r="AH55" s="4">
        <f t="shared" si="30"/>
        <v>5.9630711904805275E-2</v>
      </c>
      <c r="AI55" s="4">
        <f t="shared" si="31"/>
        <v>5.4898005667272425E-2</v>
      </c>
      <c r="AJ55" s="4">
        <f t="shared" si="32"/>
        <v>4.3686686315460736E-2</v>
      </c>
    </row>
    <row r="56" spans="2:36">
      <c r="B56" s="2" t="s">
        <v>32</v>
      </c>
      <c r="C56" s="4">
        <f t="shared" si="3"/>
        <v>0.45679428189448662</v>
      </c>
      <c r="D56" s="4">
        <f t="shared" si="4"/>
        <v>0.47223362412515651</v>
      </c>
      <c r="E56" s="4">
        <f t="shared" si="5"/>
        <v>0.49012750721185794</v>
      </c>
      <c r="F56" s="4">
        <f t="shared" si="6"/>
        <v>0.51062307403622276</v>
      </c>
      <c r="G56" s="4">
        <f t="shared" si="7"/>
        <v>0.521155550119768</v>
      </c>
      <c r="H56" s="4">
        <f t="shared" si="8"/>
        <v>0.42613791259148864</v>
      </c>
      <c r="I56" s="4">
        <f t="shared" si="9"/>
        <v>0.39140767372677976</v>
      </c>
      <c r="J56" s="4">
        <f t="shared" si="10"/>
        <v>0.35722422038962964</v>
      </c>
      <c r="K56" s="4">
        <f t="shared" si="11"/>
        <v>0.31639920096632768</v>
      </c>
      <c r="L56" s="4">
        <f t="shared" si="12"/>
        <v>0.21578044819746672</v>
      </c>
      <c r="N56" s="2" t="s">
        <v>32</v>
      </c>
      <c r="O56" s="4">
        <f t="shared" si="13"/>
        <v>0.46134868634953169</v>
      </c>
      <c r="P56" s="4">
        <f t="shared" si="14"/>
        <v>0.44829395779968095</v>
      </c>
      <c r="Q56" s="4">
        <f t="shared" si="15"/>
        <v>0.43280528895641091</v>
      </c>
      <c r="R56" s="4">
        <f t="shared" si="16"/>
        <v>0.41623672683876378</v>
      </c>
      <c r="S56" s="4">
        <f t="shared" si="17"/>
        <v>0.39563656613784837</v>
      </c>
      <c r="T56" s="4">
        <f t="shared" si="18"/>
        <v>0.43253660195712396</v>
      </c>
      <c r="U56" s="4">
        <f t="shared" si="19"/>
        <v>0.51985551114169348</v>
      </c>
      <c r="V56" s="4">
        <f t="shared" si="20"/>
        <v>0.55486074810347474</v>
      </c>
      <c r="W56" s="4">
        <f t="shared" si="21"/>
        <v>0.60317358184359438</v>
      </c>
      <c r="X56" s="4">
        <f t="shared" si="22"/>
        <v>0.70989412146800912</v>
      </c>
      <c r="Z56" s="2" t="s">
        <v>32</v>
      </c>
      <c r="AA56" s="4">
        <f t="shared" si="23"/>
        <v>8.1857031755981718E-2</v>
      </c>
      <c r="AB56" s="4">
        <f t="shared" si="24"/>
        <v>7.9472418075162504E-2</v>
      </c>
      <c r="AC56" s="4">
        <f t="shared" si="25"/>
        <v>7.7067203831731129E-2</v>
      </c>
      <c r="AD56" s="4">
        <f t="shared" si="26"/>
        <v>7.3140199125013475E-2</v>
      </c>
      <c r="AE56" s="4">
        <f t="shared" si="27"/>
        <v>8.3207883742383568E-2</v>
      </c>
      <c r="AF56" s="4">
        <f t="shared" si="28"/>
        <v>0.14132548545138734</v>
      </c>
      <c r="AG56" s="4">
        <f t="shared" si="29"/>
        <v>8.8736815131526744E-2</v>
      </c>
      <c r="AH56" s="4">
        <f t="shared" si="30"/>
        <v>8.7915031506895627E-2</v>
      </c>
      <c r="AI56" s="4">
        <f t="shared" si="31"/>
        <v>8.0427217190077921E-2</v>
      </c>
      <c r="AJ56" s="4">
        <f t="shared" si="32"/>
        <v>7.4325430334524198E-2</v>
      </c>
    </row>
    <row r="57" spans="2:36">
      <c r="B57" s="2" t="s">
        <v>33</v>
      </c>
      <c r="C57" s="4">
        <f t="shared" si="3"/>
        <v>0.48827333118483018</v>
      </c>
      <c r="D57" s="4">
        <f t="shared" si="4"/>
        <v>0.50514298058628937</v>
      </c>
      <c r="E57" s="4">
        <f t="shared" si="5"/>
        <v>0.52282773563055551</v>
      </c>
      <c r="F57" s="4">
        <f t="shared" si="6"/>
        <v>0.53829549171603475</v>
      </c>
      <c r="G57" s="4">
        <f t="shared" si="7"/>
        <v>0.56119933944601297</v>
      </c>
      <c r="H57" s="4">
        <f t="shared" si="8"/>
        <v>0.51080854493107775</v>
      </c>
      <c r="I57" s="4">
        <f t="shared" si="9"/>
        <v>0.42265405500544317</v>
      </c>
      <c r="J57" s="4">
        <f t="shared" si="10"/>
        <v>0.3855375553429739</v>
      </c>
      <c r="K57" s="4">
        <f t="shared" si="11"/>
        <v>0.34206926541146143</v>
      </c>
      <c r="L57" s="4">
        <f t="shared" si="12"/>
        <v>0.24547317984241646</v>
      </c>
      <c r="N57" s="2" t="s">
        <v>33</v>
      </c>
      <c r="O57" s="4">
        <f t="shared" si="13"/>
        <v>0.43119158757056275</v>
      </c>
      <c r="P57" s="4">
        <f t="shared" si="14"/>
        <v>0.41701868494819277</v>
      </c>
      <c r="Q57" s="4">
        <f t="shared" si="15"/>
        <v>0.40202601271391863</v>
      </c>
      <c r="R57" s="4">
        <f t="shared" si="16"/>
        <v>0.38834299925753241</v>
      </c>
      <c r="S57" s="4">
        <f t="shared" si="17"/>
        <v>0.36932035958875187</v>
      </c>
      <c r="T57" s="4">
        <f t="shared" si="18"/>
        <v>0.39952037122487311</v>
      </c>
      <c r="U57" s="4">
        <f t="shared" si="19"/>
        <v>0.43677763798621932</v>
      </c>
      <c r="V57" s="4">
        <f t="shared" si="20"/>
        <v>0.52795671987985826</v>
      </c>
      <c r="W57" s="4">
        <f t="shared" si="21"/>
        <v>0.57710971297198166</v>
      </c>
      <c r="X57" s="4">
        <f t="shared" si="22"/>
        <v>0.68016627171065813</v>
      </c>
      <c r="Z57" s="2" t="s">
        <v>33</v>
      </c>
      <c r="AA57" s="4">
        <f t="shared" si="23"/>
        <v>8.0535081244607079E-2</v>
      </c>
      <c r="AB57" s="4">
        <f t="shared" si="24"/>
        <v>7.7838334465517828E-2</v>
      </c>
      <c r="AC57" s="4">
        <f t="shared" si="25"/>
        <v>7.5146251655525853E-2</v>
      </c>
      <c r="AD57" s="4">
        <f t="shared" si="26"/>
        <v>7.3361509026432889E-2</v>
      </c>
      <c r="AE57" s="4">
        <f t="shared" si="27"/>
        <v>6.9480300965235164E-2</v>
      </c>
      <c r="AF57" s="4">
        <f t="shared" si="28"/>
        <v>8.9671083844049163E-2</v>
      </c>
      <c r="AG57" s="4">
        <f t="shared" si="29"/>
        <v>0.14056830700833753</v>
      </c>
      <c r="AH57" s="4">
        <f t="shared" si="30"/>
        <v>8.6505724777167864E-2</v>
      </c>
      <c r="AI57" s="4">
        <f t="shared" si="31"/>
        <v>8.0821021616556937E-2</v>
      </c>
      <c r="AJ57" s="4">
        <f t="shared" si="32"/>
        <v>7.4360548446925454E-2</v>
      </c>
    </row>
    <row r="58" spans="2:36">
      <c r="B58" s="2" t="s">
        <v>34</v>
      </c>
      <c r="C58" s="4">
        <f t="shared" si="3"/>
        <v>0.51972393893903657</v>
      </c>
      <c r="D58" s="4">
        <f t="shared" si="4"/>
        <v>0.53507104821100782</v>
      </c>
      <c r="E58" s="4">
        <f t="shared" si="5"/>
        <v>0.55127517109915369</v>
      </c>
      <c r="F58" s="4">
        <f t="shared" si="6"/>
        <v>0.56768086140696128</v>
      </c>
      <c r="G58" s="4">
        <f t="shared" si="7"/>
        <v>0.5844880709957363</v>
      </c>
      <c r="H58" s="4">
        <f t="shared" si="8"/>
        <v>0.54380443161930159</v>
      </c>
      <c r="I58" s="4">
        <f t="shared" si="9"/>
        <v>0.50375654322593233</v>
      </c>
      <c r="J58" s="4">
        <f t="shared" si="10"/>
        <v>0.41206036695837689</v>
      </c>
      <c r="K58" s="4">
        <f t="shared" si="11"/>
        <v>0.36778181334052051</v>
      </c>
      <c r="L58" s="4">
        <f t="shared" si="12"/>
        <v>0.27582635746164247</v>
      </c>
      <c r="N58" s="2" t="s">
        <v>34</v>
      </c>
      <c r="O58" s="4">
        <f t="shared" si="13"/>
        <v>0.40123603610629133</v>
      </c>
      <c r="P58" s="4">
        <f t="shared" si="14"/>
        <v>0.38733932044002378</v>
      </c>
      <c r="Q58" s="4">
        <f t="shared" si="15"/>
        <v>0.37425073059046265</v>
      </c>
      <c r="R58" s="4">
        <f t="shared" si="16"/>
        <v>0.36009935711630398</v>
      </c>
      <c r="S58" s="4">
        <f t="shared" si="17"/>
        <v>0.34589109187522987</v>
      </c>
      <c r="T58" s="4">
        <f t="shared" si="18"/>
        <v>0.380910648804067</v>
      </c>
      <c r="U58" s="4">
        <f t="shared" si="19"/>
        <v>0.4080619046070813</v>
      </c>
      <c r="V58" s="4">
        <f t="shared" si="20"/>
        <v>0.44836937055450127</v>
      </c>
      <c r="W58" s="4">
        <f t="shared" si="21"/>
        <v>0.55166362781756517</v>
      </c>
      <c r="X58" s="4">
        <f t="shared" si="22"/>
        <v>0.65000273563595723</v>
      </c>
      <c r="Z58" s="2" t="s">
        <v>34</v>
      </c>
      <c r="AA58" s="4">
        <f t="shared" si="23"/>
        <v>7.9040024954672175E-2</v>
      </c>
      <c r="AB58" s="4">
        <f t="shared" si="24"/>
        <v>7.758963134896836E-2</v>
      </c>
      <c r="AC58" s="4">
        <f t="shared" si="25"/>
        <v>7.447409831038368E-2</v>
      </c>
      <c r="AD58" s="4">
        <f t="shared" si="26"/>
        <v>7.2219781476734787E-2</v>
      </c>
      <c r="AE58" s="4">
        <f t="shared" si="27"/>
        <v>6.96208371290339E-2</v>
      </c>
      <c r="AF58" s="4">
        <f t="shared" si="28"/>
        <v>7.5284919576631387E-2</v>
      </c>
      <c r="AG58" s="4">
        <f t="shared" si="29"/>
        <v>8.8181552166986379E-2</v>
      </c>
      <c r="AH58" s="4">
        <f t="shared" si="30"/>
        <v>0.13957026248712182</v>
      </c>
      <c r="AI58" s="4">
        <f t="shared" si="31"/>
        <v>8.0554558841914356E-2</v>
      </c>
      <c r="AJ58" s="4">
        <f t="shared" si="32"/>
        <v>7.417090690240033E-2</v>
      </c>
    </row>
    <row r="59" spans="2:36">
      <c r="B59" s="2" t="s">
        <v>35</v>
      </c>
      <c r="C59" s="4">
        <f t="shared" si="3"/>
        <v>0.55096577752989251</v>
      </c>
      <c r="D59" s="4">
        <f t="shared" si="4"/>
        <v>0.56457785872251853</v>
      </c>
      <c r="E59" s="4">
        <f t="shared" si="5"/>
        <v>0.58102590094480622</v>
      </c>
      <c r="F59" s="4">
        <f t="shared" si="6"/>
        <v>0.59449294235225469</v>
      </c>
      <c r="G59" s="4">
        <f t="shared" si="7"/>
        <v>0.6102494679869771</v>
      </c>
      <c r="H59" s="4">
        <f t="shared" si="8"/>
        <v>0.56162107559481167</v>
      </c>
      <c r="I59" s="4">
        <f t="shared" si="9"/>
        <v>0.53456495750844568</v>
      </c>
      <c r="J59" s="4">
        <f t="shared" si="10"/>
        <v>0.49168726931636447</v>
      </c>
      <c r="K59" s="4">
        <f t="shared" si="11"/>
        <v>0.39366825755019541</v>
      </c>
      <c r="L59" s="4">
        <f t="shared" si="12"/>
        <v>0.30566496221842493</v>
      </c>
      <c r="N59" s="2" t="s">
        <v>35</v>
      </c>
      <c r="O59" s="4">
        <f t="shared" si="13"/>
        <v>0.36995968397226631</v>
      </c>
      <c r="P59" s="4">
        <f t="shared" si="14"/>
        <v>0.35842461298295825</v>
      </c>
      <c r="Q59" s="4">
        <f t="shared" si="15"/>
        <v>0.34508297919347081</v>
      </c>
      <c r="R59" s="4">
        <f t="shared" si="16"/>
        <v>0.3349604717141747</v>
      </c>
      <c r="S59" s="4">
        <f t="shared" si="17"/>
        <v>0.32122023910055369</v>
      </c>
      <c r="T59" s="4">
        <f t="shared" si="18"/>
        <v>0.36387486625593318</v>
      </c>
      <c r="U59" s="4">
        <f t="shared" si="19"/>
        <v>0.39232199141193197</v>
      </c>
      <c r="V59" s="4">
        <f t="shared" si="20"/>
        <v>0.42155814494305094</v>
      </c>
      <c r="W59" s="4">
        <f t="shared" si="21"/>
        <v>0.47511050691777529</v>
      </c>
      <c r="X59" s="4">
        <f t="shared" si="22"/>
        <v>0.61979195768983375</v>
      </c>
      <c r="Z59" s="2" t="s">
        <v>35</v>
      </c>
      <c r="AA59" s="4">
        <f t="shared" si="23"/>
        <v>7.9074538497841185E-2</v>
      </c>
      <c r="AB59" s="4">
        <f t="shared" si="24"/>
        <v>7.6997528294523221E-2</v>
      </c>
      <c r="AC59" s="4">
        <f t="shared" si="25"/>
        <v>7.3891119861723004E-2</v>
      </c>
      <c r="AD59" s="4">
        <f t="shared" si="26"/>
        <v>7.0546585933570646E-2</v>
      </c>
      <c r="AE59" s="4">
        <f t="shared" si="27"/>
        <v>6.8530292912469246E-2</v>
      </c>
      <c r="AF59" s="4">
        <f t="shared" si="28"/>
        <v>7.4504058149255134E-2</v>
      </c>
      <c r="AG59" s="4">
        <f t="shared" si="29"/>
        <v>7.311305107962239E-2</v>
      </c>
      <c r="AH59" s="4">
        <f t="shared" si="30"/>
        <v>8.6754585740584603E-2</v>
      </c>
      <c r="AI59" s="4">
        <f t="shared" si="31"/>
        <v>0.1312212355320293</v>
      </c>
      <c r="AJ59" s="4">
        <f t="shared" si="32"/>
        <v>7.4543080091741334E-2</v>
      </c>
    </row>
    <row r="60" spans="2:36">
      <c r="B60" s="2" t="s">
        <v>36</v>
      </c>
      <c r="C60" s="4">
        <f t="shared" si="3"/>
        <v>1</v>
      </c>
      <c r="D60" s="4">
        <f t="shared" si="4"/>
        <v>1</v>
      </c>
      <c r="E60" s="4">
        <f t="shared" si="5"/>
        <v>1</v>
      </c>
      <c r="F60" s="4">
        <f t="shared" si="6"/>
        <v>1</v>
      </c>
      <c r="G60" s="4">
        <f t="shared" si="7"/>
        <v>1</v>
      </c>
      <c r="H60" s="4">
        <f t="shared" si="8"/>
        <v>1</v>
      </c>
      <c r="I60" s="4">
        <f t="shared" si="9"/>
        <v>1</v>
      </c>
      <c r="J60" s="4">
        <f t="shared" si="10"/>
        <v>1</v>
      </c>
      <c r="K60" s="4">
        <f t="shared" si="11"/>
        <v>0.92283613730819714</v>
      </c>
      <c r="L60" s="4">
        <f t="shared" si="12"/>
        <v>0.69132620266692291</v>
      </c>
      <c r="N60" s="2" t="s">
        <v>36</v>
      </c>
      <c r="O60" s="4">
        <f t="shared" si="13"/>
        <v>0</v>
      </c>
      <c r="P60" s="4">
        <f t="shared" si="14"/>
        <v>0</v>
      </c>
      <c r="Q60" s="4">
        <f t="shared" si="15"/>
        <v>0</v>
      </c>
      <c r="R60" s="4">
        <f t="shared" si="16"/>
        <v>0</v>
      </c>
      <c r="S60" s="4">
        <f t="shared" si="17"/>
        <v>0</v>
      </c>
      <c r="T60" s="4">
        <f t="shared" si="18"/>
        <v>0</v>
      </c>
      <c r="U60" s="4">
        <f t="shared" si="19"/>
        <v>0</v>
      </c>
      <c r="V60" s="4">
        <f t="shared" si="20"/>
        <v>0</v>
      </c>
      <c r="W60" s="4">
        <f t="shared" si="21"/>
        <v>0</v>
      </c>
      <c r="X60" s="4">
        <f t="shared" si="22"/>
        <v>0</v>
      </c>
      <c r="Z60" s="2" t="s">
        <v>36</v>
      </c>
      <c r="AA60" s="4">
        <f t="shared" si="23"/>
        <v>0</v>
      </c>
      <c r="AB60" s="4">
        <f t="shared" si="24"/>
        <v>0</v>
      </c>
      <c r="AC60" s="4">
        <f t="shared" si="25"/>
        <v>0</v>
      </c>
      <c r="AD60" s="4">
        <f t="shared" si="26"/>
        <v>0</v>
      </c>
      <c r="AE60" s="4">
        <f t="shared" si="27"/>
        <v>0</v>
      </c>
      <c r="AF60" s="4">
        <f t="shared" si="28"/>
        <v>0</v>
      </c>
      <c r="AG60" s="4">
        <f t="shared" si="29"/>
        <v>0</v>
      </c>
      <c r="AH60" s="4">
        <f t="shared" si="30"/>
        <v>0</v>
      </c>
      <c r="AI60" s="4">
        <f t="shared" si="31"/>
        <v>7.7163862691802865E-2</v>
      </c>
      <c r="AJ60" s="4">
        <f t="shared" si="32"/>
        <v>0.30867379733307709</v>
      </c>
    </row>
    <row r="62" spans="2:36">
      <c r="B62" s="8" t="s">
        <v>40</v>
      </c>
      <c r="C62" s="8"/>
      <c r="D62" s="8"/>
      <c r="E62" s="8"/>
      <c r="F62" s="8"/>
      <c r="G62" s="8"/>
      <c r="H62" s="8"/>
      <c r="I62" s="8"/>
      <c r="J62" s="8"/>
      <c r="K62" s="8"/>
      <c r="L62" s="8"/>
      <c r="N62" s="8" t="s">
        <v>41</v>
      </c>
      <c r="O62" s="8"/>
      <c r="P62" s="8"/>
      <c r="Q62" s="8"/>
      <c r="R62" s="8"/>
      <c r="S62" s="8"/>
      <c r="T62" s="8"/>
      <c r="U62" s="8"/>
      <c r="V62" s="8"/>
      <c r="W62" s="8"/>
      <c r="X62" s="8"/>
      <c r="Z62" s="8" t="s">
        <v>42</v>
      </c>
      <c r="AA62" s="8"/>
      <c r="AB62" s="8"/>
      <c r="AC62" s="8"/>
      <c r="AD62" s="8"/>
      <c r="AE62" s="8"/>
      <c r="AF62" s="8"/>
      <c r="AG62" s="8"/>
      <c r="AH62" s="8"/>
      <c r="AI62" s="8"/>
      <c r="AJ62" s="8"/>
    </row>
    <row r="63" spans="2:36">
      <c r="B63" s="1"/>
      <c r="C63" s="2">
        <v>2</v>
      </c>
      <c r="D63" s="2">
        <v>3</v>
      </c>
      <c r="E63" s="2">
        <v>4</v>
      </c>
      <c r="F63" s="2">
        <v>5</v>
      </c>
      <c r="G63" s="2">
        <v>6</v>
      </c>
      <c r="H63" s="2">
        <v>7</v>
      </c>
      <c r="I63" s="2">
        <v>8</v>
      </c>
      <c r="J63" s="2">
        <v>9</v>
      </c>
      <c r="K63" s="2">
        <v>10</v>
      </c>
      <c r="L63" s="2" t="s">
        <v>6</v>
      </c>
      <c r="N63" s="6"/>
      <c r="O63" s="6">
        <v>2</v>
      </c>
      <c r="P63" s="6">
        <v>3</v>
      </c>
      <c r="Q63" s="6">
        <v>4</v>
      </c>
      <c r="R63" s="6">
        <v>5</v>
      </c>
      <c r="S63" s="6">
        <v>6</v>
      </c>
      <c r="T63" s="6">
        <v>7</v>
      </c>
      <c r="U63" s="6">
        <v>8</v>
      </c>
      <c r="V63" s="6">
        <v>9</v>
      </c>
      <c r="W63" s="6">
        <v>10</v>
      </c>
      <c r="X63" s="6" t="s">
        <v>6</v>
      </c>
      <c r="Z63" s="5"/>
      <c r="AA63" s="6">
        <v>2</v>
      </c>
      <c r="AB63" s="6">
        <v>3</v>
      </c>
      <c r="AC63" s="6">
        <v>4</v>
      </c>
      <c r="AD63" s="6">
        <v>5</v>
      </c>
      <c r="AE63" s="6">
        <v>6</v>
      </c>
      <c r="AF63" s="6">
        <v>7</v>
      </c>
      <c r="AG63" s="6">
        <v>8</v>
      </c>
      <c r="AH63" s="6">
        <v>9</v>
      </c>
      <c r="AI63" s="6">
        <v>10</v>
      </c>
      <c r="AJ63" s="6" t="s">
        <v>6</v>
      </c>
    </row>
    <row r="64" spans="2:36">
      <c r="B64" s="2" t="s">
        <v>10</v>
      </c>
      <c r="C64" s="4">
        <f>2*(C34-O34)</f>
        <v>-0.58724764621412462</v>
      </c>
      <c r="D64" s="4">
        <f t="shared" ref="D64:L64" si="33">2*(D34-P34)</f>
        <v>-0.50030283731267622</v>
      </c>
      <c r="E64" s="4">
        <f t="shared" si="33"/>
        <v>-0.41949103505489227</v>
      </c>
      <c r="F64" s="4">
        <f t="shared" si="33"/>
        <v>-0.32578568920904472</v>
      </c>
      <c r="G64" s="4">
        <f t="shared" si="33"/>
        <v>-0.31168425897753949</v>
      </c>
      <c r="H64" s="4">
        <f t="shared" si="33"/>
        <v>-0.95357603386519052</v>
      </c>
      <c r="I64" s="4">
        <f t="shared" si="33"/>
        <v>-1.0242567120992128</v>
      </c>
      <c r="J64" s="4">
        <f t="shared" si="33"/>
        <v>-1.0809097969138386</v>
      </c>
      <c r="K64" s="4">
        <f t="shared" si="33"/>
        <v>-1.1506070192076598</v>
      </c>
      <c r="L64" s="4">
        <f t="shared" si="33"/>
        <v>-1.5372148156629861</v>
      </c>
      <c r="N64" s="5" t="s">
        <v>10</v>
      </c>
      <c r="O64" s="4">
        <v>-0.17875040287784738</v>
      </c>
      <c r="P64" s="4">
        <v>-0.16988139622494447</v>
      </c>
      <c r="Q64" s="4">
        <v>-0.15405666807309082</v>
      </c>
      <c r="R64" s="4">
        <v>-0.14331441892970209</v>
      </c>
      <c r="S64" s="4">
        <v>-0.11735991169404586</v>
      </c>
      <c r="T64" s="4">
        <v>-9.2720968283159899E-2</v>
      </c>
      <c r="U64" s="4">
        <v>-0.16185640164313286</v>
      </c>
      <c r="V64" s="4">
        <v>-0.24516774107985673</v>
      </c>
      <c r="W64" s="4">
        <v>-0.343110759391894</v>
      </c>
      <c r="X64" s="4">
        <v>-0.48856195343141395</v>
      </c>
      <c r="Z64" s="5" t="s">
        <v>10</v>
      </c>
      <c r="AA64" s="4">
        <v>-0.29343488733852552</v>
      </c>
      <c r="AB64" s="4">
        <v>-0.25379990314417888</v>
      </c>
      <c r="AC64" s="4">
        <v>-0.20855141085545292</v>
      </c>
      <c r="AD64" s="4">
        <v>-0.1631764877267099</v>
      </c>
      <c r="AE64" s="4">
        <v>-0.15431907727916983</v>
      </c>
      <c r="AF64" s="4">
        <v>-0.47739033205918302</v>
      </c>
      <c r="AG64" s="4">
        <v>-0.51190378495682531</v>
      </c>
      <c r="AH64" s="4">
        <v>-0.54141492329511509</v>
      </c>
      <c r="AI64" s="4">
        <v>-0.57480113432442193</v>
      </c>
      <c r="AJ64" s="4">
        <v>-0.76931502210761438</v>
      </c>
    </row>
    <row r="65" spans="2:36">
      <c r="B65" s="2" t="s">
        <v>11</v>
      </c>
      <c r="C65" s="4">
        <f t="shared" ref="C65:C90" si="34">2*(C35-O35)</f>
        <v>-0.58366578143828163</v>
      </c>
      <c r="D65" s="4">
        <f t="shared" ref="D65:D90" si="35">2*(D35-P35)</f>
        <v>-0.50240437995826259</v>
      </c>
      <c r="E65" s="4">
        <f t="shared" ref="E65:E90" si="36">2*(E35-Q35)</f>
        <v>-0.41141191506069597</v>
      </c>
      <c r="F65" s="4">
        <f t="shared" ref="F65:F90" si="37">2*(F35-R35)</f>
        <v>-0.32387496883570188</v>
      </c>
      <c r="G65" s="4">
        <f t="shared" ref="G65:G90" si="38">2*(G35-S35)</f>
        <v>-0.30716778663332811</v>
      </c>
      <c r="H65" s="4">
        <f t="shared" ref="H65:H90" si="39">2*(H35-T35)</f>
        <v>-0.95265075920780795</v>
      </c>
      <c r="I65" s="4">
        <f t="shared" ref="I65:I90" si="40">2*(I35-U35)</f>
        <v>-1.0241114670650111</v>
      </c>
      <c r="J65" s="4">
        <f t="shared" ref="J65:J90" si="41">2*(J35-V35)</f>
        <v>-1.082565276688912</v>
      </c>
      <c r="K65" s="4">
        <f t="shared" ref="K65:K90" si="42">2*(K35-W35)</f>
        <v>-1.1510173410479774</v>
      </c>
      <c r="L65" s="4">
        <f t="shared" ref="L65:L90" si="43">2*(L35-X35)</f>
        <v>-1.5390623883834351</v>
      </c>
      <c r="N65" s="5" t="s">
        <v>11</v>
      </c>
      <c r="O65" s="4">
        <v>-0.20675249858840489</v>
      </c>
      <c r="P65" s="4">
        <v>-0.19595741136911365</v>
      </c>
      <c r="Q65" s="4">
        <v>-0.187194336860249</v>
      </c>
      <c r="R65" s="4">
        <v>-0.17306331581546691</v>
      </c>
      <c r="S65" s="4">
        <v>-0.148602735457738</v>
      </c>
      <c r="T65" s="4">
        <v>-0.11876303295354684</v>
      </c>
      <c r="U65" s="4">
        <v>-0.18746778501476036</v>
      </c>
      <c r="V65" s="4">
        <v>-0.2673898217011465</v>
      </c>
      <c r="W65" s="4">
        <v>-0.36549880068910462</v>
      </c>
      <c r="X65" s="4">
        <v>-0.50211471618214198</v>
      </c>
      <c r="Z65" s="5" t="s">
        <v>11</v>
      </c>
      <c r="AA65" s="4">
        <v>-0.29135938245460768</v>
      </c>
      <c r="AB65" s="4">
        <v>-0.25437839972152809</v>
      </c>
      <c r="AC65" s="4">
        <v>-0.20707760896223476</v>
      </c>
      <c r="AD65" s="4">
        <v>-0.16195498355513221</v>
      </c>
      <c r="AE65" s="4">
        <v>-0.1554367633286311</v>
      </c>
      <c r="AF65" s="4">
        <v>-0.47551082979961756</v>
      </c>
      <c r="AG65" s="4">
        <v>-0.51415934376400441</v>
      </c>
      <c r="AH65" s="4">
        <v>-0.54199339741974706</v>
      </c>
      <c r="AI65" s="4">
        <v>-0.574497668691069</v>
      </c>
      <c r="AJ65" s="4">
        <v>-0.7704618257914404</v>
      </c>
    </row>
    <row r="66" spans="2:36">
      <c r="B66" s="2" t="s">
        <v>12</v>
      </c>
      <c r="C66" s="4">
        <f t="shared" si="34"/>
        <v>-0.56495947191145779</v>
      </c>
      <c r="D66" s="4">
        <f t="shared" si="35"/>
        <v>-0.4812936309406769</v>
      </c>
      <c r="E66" s="4">
        <f t="shared" si="36"/>
        <v>-0.39413195831366432</v>
      </c>
      <c r="F66" s="4">
        <f t="shared" si="37"/>
        <v>-0.30583989313362714</v>
      </c>
      <c r="G66" s="4">
        <f t="shared" si="38"/>
        <v>-0.28613081401769946</v>
      </c>
      <c r="H66" s="4">
        <f t="shared" si="39"/>
        <v>-0.89598484179008264</v>
      </c>
      <c r="I66" s="4">
        <f t="shared" si="40"/>
        <v>-1.0039718665952235</v>
      </c>
      <c r="J66" s="4">
        <f t="shared" si="41"/>
        <v>-1.0662438693743352</v>
      </c>
      <c r="K66" s="4">
        <f t="shared" si="42"/>
        <v>-1.1328009308916926</v>
      </c>
      <c r="L66" s="4">
        <f t="shared" si="43"/>
        <v>-1.5171779499736944</v>
      </c>
      <c r="N66" s="5" t="s">
        <v>12</v>
      </c>
      <c r="O66" s="4">
        <v>-0.24440662585205597</v>
      </c>
      <c r="P66" s="4">
        <v>-0.23427530218199627</v>
      </c>
      <c r="Q66" s="4">
        <v>-0.21968886702942958</v>
      </c>
      <c r="R66" s="4">
        <v>-0.20889816955358331</v>
      </c>
      <c r="S66" s="4">
        <v>-0.17869649059160236</v>
      </c>
      <c r="T66" s="4">
        <v>-0.16224449596095264</v>
      </c>
      <c r="U66" s="4">
        <v>-0.24165522299553693</v>
      </c>
      <c r="V66" s="4">
        <v>-0.31252971543331914</v>
      </c>
      <c r="W66" s="4">
        <v>-0.40237571545752232</v>
      </c>
      <c r="X66" s="4">
        <v>-0.53513399670825978</v>
      </c>
      <c r="Z66" s="5" t="s">
        <v>12</v>
      </c>
      <c r="AA66" s="4">
        <v>-0.2954924657854659</v>
      </c>
      <c r="AB66" s="4">
        <v>-0.25273906160924492</v>
      </c>
      <c r="AC66" s="4">
        <v>-0.20985695089605683</v>
      </c>
      <c r="AD66" s="4">
        <v>-0.16436869355684691</v>
      </c>
      <c r="AE66" s="4">
        <v>-0.15323744277411605</v>
      </c>
      <c r="AF66" s="4">
        <v>-0.47437576318729119</v>
      </c>
      <c r="AG66" s="4">
        <v>-0.51378782673870282</v>
      </c>
      <c r="AH66" s="4">
        <v>-0.54268853533927719</v>
      </c>
      <c r="AI66" s="4">
        <v>-0.57500039820084736</v>
      </c>
      <c r="AJ66" s="4">
        <v>-0.76971815599737825</v>
      </c>
    </row>
    <row r="67" spans="2:36">
      <c r="B67" s="2" t="s">
        <v>13</v>
      </c>
      <c r="C67" s="4">
        <f t="shared" si="34"/>
        <v>-0.43786571379530947</v>
      </c>
      <c r="D67" s="4">
        <f t="shared" si="35"/>
        <v>-0.35974022764549107</v>
      </c>
      <c r="E67" s="4">
        <f t="shared" si="36"/>
        <v>-0.27937448379540974</v>
      </c>
      <c r="F67" s="4">
        <f t="shared" si="37"/>
        <v>-0.19208056549582153</v>
      </c>
      <c r="G67" s="4">
        <f t="shared" si="38"/>
        <v>-0.14381221756233953</v>
      </c>
      <c r="H67" s="4">
        <f t="shared" si="39"/>
        <v>-0.58805197507901619</v>
      </c>
      <c r="I67" s="4">
        <f t="shared" si="40"/>
        <v>-0.84562421434285284</v>
      </c>
      <c r="J67" s="4">
        <f t="shared" si="41"/>
        <v>-0.95288354278314724</v>
      </c>
      <c r="K67" s="4">
        <f t="shared" si="42"/>
        <v>-1.0304025130596215</v>
      </c>
      <c r="L67" s="4">
        <f t="shared" si="43"/>
        <v>-1.4003821045946254</v>
      </c>
      <c r="N67" s="5" t="s">
        <v>13</v>
      </c>
      <c r="O67" s="4">
        <v>-0.15826542559343204</v>
      </c>
      <c r="P67" s="4">
        <v>-0.14030556901544217</v>
      </c>
      <c r="Q67" s="4">
        <v>-0.11862180813815759</v>
      </c>
      <c r="R67" s="4">
        <v>-9.6580403656392533E-2</v>
      </c>
      <c r="S67" s="4">
        <v>-5.7834365083493711E-2</v>
      </c>
      <c r="T67" s="4">
        <v>-6.8609768602741539E-2</v>
      </c>
      <c r="U67" s="4">
        <v>-0.21093950460175565</v>
      </c>
      <c r="V67" s="4">
        <v>-0.28916618514935694</v>
      </c>
      <c r="W67" s="4">
        <v>-0.37384486548319473</v>
      </c>
      <c r="X67" s="4">
        <v>-0.52428073461318347</v>
      </c>
      <c r="Z67" s="5" t="s">
        <v>13</v>
      </c>
      <c r="AA67" s="4">
        <v>-0.29129696446831099</v>
      </c>
      <c r="AB67" s="4">
        <v>-0.2502357185715065</v>
      </c>
      <c r="AC67" s="4">
        <v>-0.20927676927604016</v>
      </c>
      <c r="AD67" s="4">
        <v>-0.16480319474614014</v>
      </c>
      <c r="AE67" s="4">
        <v>-0.15356854267727088</v>
      </c>
      <c r="AF67" s="4">
        <v>-0.47689563678862029</v>
      </c>
      <c r="AG67" s="4">
        <v>-0.51177402825037532</v>
      </c>
      <c r="AH67" s="4">
        <v>-0.54087120542905542</v>
      </c>
      <c r="AI67" s="4">
        <v>-0.5752360036487989</v>
      </c>
      <c r="AJ67" s="4">
        <v>-0.76963467856107481</v>
      </c>
    </row>
    <row r="68" spans="2:36">
      <c r="B68" s="2" t="s">
        <v>14</v>
      </c>
      <c r="C68" s="4">
        <f t="shared" si="34"/>
        <v>-0.20511335074759662</v>
      </c>
      <c r="D68" s="4">
        <f t="shared" si="35"/>
        <v>-0.13644286783610504</v>
      </c>
      <c r="E68" s="4">
        <f t="shared" si="36"/>
        <v>-5.6585507841483751E-2</v>
      </c>
      <c r="F68" s="4">
        <f t="shared" si="37"/>
        <v>1.1740548689357588E-2</v>
      </c>
      <c r="G68" s="4">
        <f t="shared" si="38"/>
        <v>8.8194385713820989E-2</v>
      </c>
      <c r="H68" s="4">
        <f t="shared" si="39"/>
        <v>-0.19058291596925647</v>
      </c>
      <c r="I68" s="4">
        <f t="shared" si="40"/>
        <v>-0.45164106258981851</v>
      </c>
      <c r="J68" s="4">
        <f t="shared" si="41"/>
        <v>-0.71477773182145699</v>
      </c>
      <c r="K68" s="4">
        <f t="shared" si="42"/>
        <v>-0.84178950860085755</v>
      </c>
      <c r="L68" s="4">
        <f t="shared" si="43"/>
        <v>-1.175839463180004</v>
      </c>
      <c r="N68" s="5" t="s">
        <v>14</v>
      </c>
      <c r="O68" s="4">
        <v>-6.4813717998950804E-2</v>
      </c>
      <c r="P68" s="4">
        <v>-5.0571730166241113E-2</v>
      </c>
      <c r="Q68" s="4">
        <v>-3.2345664582237532E-2</v>
      </c>
      <c r="R68" s="4">
        <v>-1.137325963631064E-2</v>
      </c>
      <c r="S68" s="4">
        <v>3.3959825431781221E-2</v>
      </c>
      <c r="T68" s="4">
        <v>8.4009787699397098E-2</v>
      </c>
      <c r="U68" s="4">
        <v>-5.6211995667408698E-2</v>
      </c>
      <c r="V68" s="4">
        <v>-0.20947436712522544</v>
      </c>
      <c r="W68" s="4">
        <v>-0.30571862889791551</v>
      </c>
      <c r="X68" s="4">
        <v>-0.44621578099838977</v>
      </c>
      <c r="Z68" s="5" t="s">
        <v>14</v>
      </c>
      <c r="AA68" s="4">
        <v>-0.29330864162184467</v>
      </c>
      <c r="AB68" s="4">
        <v>-0.25150861508874972</v>
      </c>
      <c r="AC68" s="4">
        <v>-0.2098842144534992</v>
      </c>
      <c r="AD68" s="4">
        <v>-0.1634558919059374</v>
      </c>
      <c r="AE68" s="4">
        <v>-0.15565612155756364</v>
      </c>
      <c r="AF68" s="4">
        <v>-0.47606402328119318</v>
      </c>
      <c r="AG68" s="4">
        <v>-0.51223287455995803</v>
      </c>
      <c r="AH68" s="4">
        <v>-0.54218612093584317</v>
      </c>
      <c r="AI68" s="4">
        <v>-0.57505482809044794</v>
      </c>
      <c r="AJ68" s="4">
        <v>-0.76961556697214339</v>
      </c>
    </row>
    <row r="69" spans="2:36">
      <c r="B69" s="2" t="s">
        <v>15</v>
      </c>
      <c r="C69" s="4">
        <f t="shared" si="34"/>
        <v>6.4773202816542641E-2</v>
      </c>
      <c r="D69" s="4">
        <f t="shared" si="35"/>
        <v>0.1278016399843811</v>
      </c>
      <c r="E69" s="4">
        <f t="shared" si="36"/>
        <v>0.18522243532768867</v>
      </c>
      <c r="F69" s="4">
        <f t="shared" si="37"/>
        <v>0.25113098642816289</v>
      </c>
      <c r="G69" s="4">
        <f t="shared" si="38"/>
        <v>0.31778395366354129</v>
      </c>
      <c r="H69" s="4">
        <f t="shared" si="39"/>
        <v>0.10650136931817444</v>
      </c>
      <c r="I69" s="4">
        <f t="shared" si="40"/>
        <v>-2.874766229083825E-2</v>
      </c>
      <c r="J69" s="4">
        <f t="shared" si="41"/>
        <v>-0.29738304378944624</v>
      </c>
      <c r="K69" s="4">
        <f t="shared" si="42"/>
        <v>-0.58224094688592642</v>
      </c>
      <c r="L69" s="4">
        <f t="shared" si="43"/>
        <v>-0.91680875886206581</v>
      </c>
      <c r="N69" s="5" t="s">
        <v>15</v>
      </c>
      <c r="O69" s="4">
        <v>3.1192894424349804E-2</v>
      </c>
      <c r="P69" s="4">
        <v>4.8399985966498915E-2</v>
      </c>
      <c r="Q69" s="4">
        <v>6.2589490589033236E-2</v>
      </c>
      <c r="R69" s="4">
        <v>8.0752157797812474E-2</v>
      </c>
      <c r="S69" s="4">
        <v>0.11928585187074742</v>
      </c>
      <c r="T69" s="4">
        <v>0.1732738517692386</v>
      </c>
      <c r="U69" s="4">
        <v>9.7352815419665006E-2</v>
      </c>
      <c r="V69" s="4">
        <v>-5.200162030365113E-2</v>
      </c>
      <c r="W69" s="4">
        <v>-0.21632675223267994</v>
      </c>
      <c r="X69" s="4">
        <v>-0.35516960185410379</v>
      </c>
      <c r="Z69" s="5" t="s">
        <v>15</v>
      </c>
      <c r="AA69" s="4">
        <v>-0.29183514794715038</v>
      </c>
      <c r="AB69" s="4">
        <v>-0.25229882142731741</v>
      </c>
      <c r="AC69" s="4">
        <v>-0.20899284411831265</v>
      </c>
      <c r="AD69" s="4">
        <v>-0.16410295046022189</v>
      </c>
      <c r="AE69" s="4">
        <v>-0.15468524423302621</v>
      </c>
      <c r="AF69" s="4">
        <v>-0.47485857623872646</v>
      </c>
      <c r="AG69" s="4">
        <v>-0.51225088565319843</v>
      </c>
      <c r="AH69" s="4">
        <v>-0.54101592686344824</v>
      </c>
      <c r="AI69" s="4">
        <v>-0.57487331722381718</v>
      </c>
      <c r="AJ69" s="4">
        <v>-0.76852018950257528</v>
      </c>
    </row>
    <row r="70" spans="2:36">
      <c r="B70" s="2" t="s">
        <v>16</v>
      </c>
      <c r="C70" s="4">
        <f t="shared" si="34"/>
        <v>0.35855006294979219</v>
      </c>
      <c r="D70" s="4">
        <f t="shared" si="35"/>
        <v>0.41351889699918898</v>
      </c>
      <c r="E70" s="4">
        <f t="shared" si="36"/>
        <v>0.46594355693125877</v>
      </c>
      <c r="F70" s="4">
        <f t="shared" si="37"/>
        <v>0.52757955967398296</v>
      </c>
      <c r="G70" s="4">
        <f t="shared" si="38"/>
        <v>0.57741547215231437</v>
      </c>
      <c r="H70" s="4">
        <f t="shared" si="39"/>
        <v>0.39579783549277181</v>
      </c>
      <c r="I70" s="4">
        <f t="shared" si="40"/>
        <v>0.28471230367786138</v>
      </c>
      <c r="J70" s="4">
        <f t="shared" si="41"/>
        <v>0.14079153089798047</v>
      </c>
      <c r="K70" s="4">
        <f t="shared" si="42"/>
        <v>-0.1630627448597527</v>
      </c>
      <c r="L70" s="4">
        <f t="shared" si="43"/>
        <v>-0.63079357196438346</v>
      </c>
      <c r="N70" s="5" t="s">
        <v>16</v>
      </c>
      <c r="O70" s="4">
        <v>0.14379619134130733</v>
      </c>
      <c r="P70" s="4">
        <v>0.15749324967614059</v>
      </c>
      <c r="Q70" s="4">
        <v>0.16907378315551203</v>
      </c>
      <c r="R70" s="4">
        <v>0.18436900554947322</v>
      </c>
      <c r="S70" s="4">
        <v>0.21822522044229947</v>
      </c>
      <c r="T70" s="4">
        <v>0.25697309399488028</v>
      </c>
      <c r="U70" s="4">
        <v>0.19709579411027356</v>
      </c>
      <c r="V70" s="4">
        <v>0.11308400150395309</v>
      </c>
      <c r="W70" s="4">
        <v>-5.3838664626993549E-2</v>
      </c>
      <c r="X70" s="4">
        <v>-0.25316570834551538</v>
      </c>
      <c r="Z70" s="5" t="s">
        <v>16</v>
      </c>
      <c r="AA70" s="4">
        <v>-0.29543188126921804</v>
      </c>
      <c r="AB70" s="4">
        <v>-0.25185443812633929</v>
      </c>
      <c r="AC70" s="4">
        <v>-0.20917110149599988</v>
      </c>
      <c r="AD70" s="4">
        <v>-0.16033753079162105</v>
      </c>
      <c r="AE70" s="4">
        <v>-0.15599990642812767</v>
      </c>
      <c r="AF70" s="4">
        <v>-0.47369078198666886</v>
      </c>
      <c r="AG70" s="4">
        <v>-0.51091240538743499</v>
      </c>
      <c r="AH70" s="4">
        <v>-0.54145966183543481</v>
      </c>
      <c r="AI70" s="4">
        <v>-0.57557729086410636</v>
      </c>
      <c r="AJ70" s="4">
        <v>-0.7688643163783011</v>
      </c>
    </row>
    <row r="71" spans="2:36">
      <c r="B71" s="2" t="s">
        <v>17</v>
      </c>
      <c r="C71" s="4">
        <f t="shared" si="34"/>
        <v>0.47799973259845496</v>
      </c>
      <c r="D71" s="4">
        <f t="shared" si="35"/>
        <v>0.52386257424352534</v>
      </c>
      <c r="E71" s="4">
        <f t="shared" si="36"/>
        <v>0.57144307118151794</v>
      </c>
      <c r="F71" s="4">
        <f t="shared" si="37"/>
        <v>0.62384360725700982</v>
      </c>
      <c r="G71" s="4">
        <f t="shared" si="38"/>
        <v>0.66898862293432337</v>
      </c>
      <c r="H71" s="4">
        <f t="shared" si="39"/>
        <v>0.45961887004708146</v>
      </c>
      <c r="I71" s="4">
        <f t="shared" si="40"/>
        <v>0.34194424412523317</v>
      </c>
      <c r="J71" s="4">
        <f t="shared" si="41"/>
        <v>0.2225840516456592</v>
      </c>
      <c r="K71" s="4">
        <f t="shared" si="42"/>
        <v>5.272631193853905E-3</v>
      </c>
      <c r="L71" s="4">
        <f t="shared" si="43"/>
        <v>-0.53536624274038125</v>
      </c>
      <c r="N71" s="5" t="s">
        <v>17</v>
      </c>
      <c r="O71" s="4">
        <v>0.2003823262422032</v>
      </c>
      <c r="P71" s="4">
        <v>0.21153033810384742</v>
      </c>
      <c r="Q71" s="4">
        <v>0.22499934961887663</v>
      </c>
      <c r="R71" s="4">
        <v>0.23644011857939085</v>
      </c>
      <c r="S71" s="4">
        <v>0.26211494969975824</v>
      </c>
      <c r="T71" s="4">
        <v>0.29249315182526947</v>
      </c>
      <c r="U71" s="4">
        <v>0.22867719792182545</v>
      </c>
      <c r="V71" s="4">
        <v>0.15510138736494372</v>
      </c>
      <c r="W71" s="4">
        <v>2.9205216194098882E-2</v>
      </c>
      <c r="X71" s="4">
        <v>-0.21098211826576801</v>
      </c>
      <c r="Z71" s="5" t="s">
        <v>17</v>
      </c>
      <c r="AA71" s="4">
        <v>-0.29196753603276582</v>
      </c>
      <c r="AB71" s="4">
        <v>-0.25128498446579228</v>
      </c>
      <c r="AC71" s="4">
        <v>-0.20918864809349857</v>
      </c>
      <c r="AD71" s="4">
        <v>-0.16162074520577868</v>
      </c>
      <c r="AE71" s="4">
        <v>-0.15277387968940032</v>
      </c>
      <c r="AF71" s="4">
        <v>-0.47644604078915026</v>
      </c>
      <c r="AG71" s="4">
        <v>-0.51277698216378065</v>
      </c>
      <c r="AH71" s="4">
        <v>-0.54169780544706625</v>
      </c>
      <c r="AI71" s="4">
        <v>-0.57513968358853051</v>
      </c>
      <c r="AJ71" s="4">
        <v>-0.76914979883354651</v>
      </c>
    </row>
    <row r="72" spans="2:36">
      <c r="B72" s="2" t="s">
        <v>18</v>
      </c>
      <c r="C72" s="4">
        <f t="shared" si="34"/>
        <v>-0.50782187941025347</v>
      </c>
      <c r="D72" s="4">
        <f t="shared" si="35"/>
        <v>-0.4609668711401409</v>
      </c>
      <c r="E72" s="4">
        <f t="shared" si="36"/>
        <v>-0.42273437642206879</v>
      </c>
      <c r="F72" s="4">
        <f t="shared" si="37"/>
        <v>-0.38086481812357076</v>
      </c>
      <c r="G72" s="4">
        <f t="shared" si="38"/>
        <v>-0.34326434296287822</v>
      </c>
      <c r="H72" s="4">
        <f t="shared" si="39"/>
        <v>-0.51325571627162414</v>
      </c>
      <c r="I72" s="4">
        <f t="shared" si="40"/>
        <v>-0.62286454611594766</v>
      </c>
      <c r="J72" s="4">
        <f t="shared" si="41"/>
        <v>-0.74800897312878634</v>
      </c>
      <c r="K72" s="4">
        <f t="shared" si="42"/>
        <v>-0.88588626058723796</v>
      </c>
      <c r="L72" s="4">
        <f t="shared" si="43"/>
        <v>-1.1962550965218839</v>
      </c>
      <c r="N72" s="5" t="s">
        <v>18</v>
      </c>
      <c r="O72" s="4">
        <v>-0.28927123874594102</v>
      </c>
      <c r="P72" s="4">
        <v>-0.2781809536430036</v>
      </c>
      <c r="Q72" s="4">
        <v>-0.26738156933784873</v>
      </c>
      <c r="R72" s="4">
        <v>-0.26001708916323013</v>
      </c>
      <c r="S72" s="4">
        <v>-0.23769463201461183</v>
      </c>
      <c r="T72" s="4">
        <v>-0.21248733855437818</v>
      </c>
      <c r="U72" s="4">
        <v>-0.27579248472240275</v>
      </c>
      <c r="V72" s="4">
        <v>-0.34471032368894339</v>
      </c>
      <c r="W72" s="4">
        <v>-0.42686305249350143</v>
      </c>
      <c r="X72" s="4">
        <v>-0.55335313086410765</v>
      </c>
      <c r="Z72" s="5" t="s">
        <v>18</v>
      </c>
      <c r="AA72" s="4">
        <v>-0.29203133034503898</v>
      </c>
      <c r="AB72" s="4">
        <v>-0.25047098118805572</v>
      </c>
      <c r="AC72" s="4">
        <v>-0.20980623889185757</v>
      </c>
      <c r="AD72" s="4">
        <v>-0.1624974477487518</v>
      </c>
      <c r="AE72" s="4">
        <v>-0.15520238326195956</v>
      </c>
      <c r="AF72" s="4">
        <v>-0.47528026621551861</v>
      </c>
      <c r="AG72" s="4">
        <v>-0.5118241198770932</v>
      </c>
      <c r="AH72" s="4">
        <v>-0.54023137715098701</v>
      </c>
      <c r="AI72" s="4">
        <v>-0.5751820301192172</v>
      </c>
      <c r="AJ72" s="4">
        <v>-0.77013044382080875</v>
      </c>
    </row>
    <row r="73" spans="2:36">
      <c r="B73" s="2" t="s">
        <v>19</v>
      </c>
      <c r="C73" s="4">
        <f t="shared" si="34"/>
        <v>-0.61396026403928072</v>
      </c>
      <c r="D73" s="4">
        <f t="shared" si="35"/>
        <v>-0.57821350422413553</v>
      </c>
      <c r="E73" s="4">
        <f t="shared" si="36"/>
        <v>-0.54650052416885497</v>
      </c>
      <c r="F73" s="4">
        <f t="shared" si="37"/>
        <v>-0.50875540595489721</v>
      </c>
      <c r="G73" s="4">
        <f t="shared" si="38"/>
        <v>-0.47383560805434854</v>
      </c>
      <c r="H73" s="4">
        <f t="shared" si="39"/>
        <v>-0.5955092286015744</v>
      </c>
      <c r="I73" s="4">
        <f t="shared" si="40"/>
        <v>-0.70042809543681206</v>
      </c>
      <c r="J73" s="4">
        <f t="shared" si="41"/>
        <v>-0.80253829344351957</v>
      </c>
      <c r="K73" s="4">
        <f t="shared" si="42"/>
        <v>-0.95041714112174513</v>
      </c>
      <c r="L73" s="4">
        <f t="shared" si="43"/>
        <v>-1.230016003577729</v>
      </c>
      <c r="N73" s="5" t="s">
        <v>19</v>
      </c>
      <c r="O73" s="4">
        <v>-0.33886895649023568</v>
      </c>
      <c r="P73" s="4">
        <v>-0.33092197400001044</v>
      </c>
      <c r="Q73" s="4">
        <v>-0.32046262906497075</v>
      </c>
      <c r="R73" s="4">
        <v>-0.31433877075444211</v>
      </c>
      <c r="S73" s="4">
        <v>-0.29227716747561144</v>
      </c>
      <c r="T73" s="4">
        <v>-0.27200846314399563</v>
      </c>
      <c r="U73" s="4">
        <v>-0.32653615248130224</v>
      </c>
      <c r="V73" s="4">
        <v>-0.38469489647855465</v>
      </c>
      <c r="W73" s="4">
        <v>-0.46704559236321985</v>
      </c>
      <c r="X73" s="4">
        <v>-0.58404217130727931</v>
      </c>
      <c r="Z73" s="5" t="s">
        <v>19</v>
      </c>
      <c r="AA73" s="4">
        <v>-0.29250985271685087</v>
      </c>
      <c r="AB73" s="4">
        <v>-0.25409588641851943</v>
      </c>
      <c r="AC73" s="4">
        <v>-0.2088475037530213</v>
      </c>
      <c r="AD73" s="4">
        <v>-0.16422821705103985</v>
      </c>
      <c r="AE73" s="4">
        <v>-0.15517160771520438</v>
      </c>
      <c r="AF73" s="4">
        <v>-0.47666912398538086</v>
      </c>
      <c r="AG73" s="4">
        <v>-0.51015855579317493</v>
      </c>
      <c r="AH73" s="4">
        <v>-0.54236078336538207</v>
      </c>
      <c r="AI73" s="4">
        <v>-0.5745114134913758</v>
      </c>
      <c r="AJ73" s="4">
        <v>-0.76790659886882473</v>
      </c>
    </row>
    <row r="74" spans="2:36">
      <c r="B74" s="2" t="s">
        <v>20</v>
      </c>
      <c r="C74" s="4">
        <f t="shared" si="34"/>
        <v>-0.72536256293072832</v>
      </c>
      <c r="D74" s="4">
        <f t="shared" si="35"/>
        <v>-0.69846358829162669</v>
      </c>
      <c r="E74" s="4">
        <f t="shared" si="36"/>
        <v>-0.67260758993861647</v>
      </c>
      <c r="F74" s="4">
        <f t="shared" si="37"/>
        <v>-0.64103211104636648</v>
      </c>
      <c r="G74" s="4">
        <f t="shared" si="38"/>
        <v>-0.60578595552504944</v>
      </c>
      <c r="H74" s="4">
        <f t="shared" si="39"/>
        <v>-0.67162058621092668</v>
      </c>
      <c r="I74" s="4">
        <f t="shared" si="40"/>
        <v>-0.76726288786590302</v>
      </c>
      <c r="J74" s="4">
        <f t="shared" si="41"/>
        <v>-0.87647125359321965</v>
      </c>
      <c r="K74" s="4">
        <f t="shared" si="42"/>
        <v>-1.0161186893005874</v>
      </c>
      <c r="L74" s="4">
        <f t="shared" si="43"/>
        <v>-1.2584856329076128</v>
      </c>
      <c r="N74" s="5" t="s">
        <v>20</v>
      </c>
      <c r="O74" s="4">
        <v>-0.38724404713086741</v>
      </c>
      <c r="P74" s="4">
        <v>-0.38039355221585769</v>
      </c>
      <c r="Q74" s="4">
        <v>-0.37022291649623623</v>
      </c>
      <c r="R74" s="4">
        <v>-0.36381882826429213</v>
      </c>
      <c r="S74" s="4">
        <v>-0.34134597264803085</v>
      </c>
      <c r="T74" s="4">
        <v>-0.32517957753799459</v>
      </c>
      <c r="U74" s="4">
        <v>-0.36967005389983043</v>
      </c>
      <c r="V74" s="4">
        <v>-0.42838076846604384</v>
      </c>
      <c r="W74" s="4">
        <v>-0.50591383436584558</v>
      </c>
      <c r="X74" s="4">
        <v>-0.6131746075028599</v>
      </c>
      <c r="Z74" s="5" t="s">
        <v>20</v>
      </c>
      <c r="AA74" s="4">
        <v>-0.29476199285548649</v>
      </c>
      <c r="AB74" s="4">
        <v>-0.25182433328910703</v>
      </c>
      <c r="AC74" s="4">
        <v>-0.21001265089504434</v>
      </c>
      <c r="AD74" s="4">
        <v>-0.16150279701496029</v>
      </c>
      <c r="AE74" s="4">
        <v>-0.1535492924804116</v>
      </c>
      <c r="AF74" s="4">
        <v>-0.47621246632489661</v>
      </c>
      <c r="AG74" s="4">
        <v>-0.51267564300174384</v>
      </c>
      <c r="AH74" s="4">
        <v>-0.54107252756422963</v>
      </c>
      <c r="AI74" s="4">
        <v>-0.57554239681883623</v>
      </c>
      <c r="AJ74" s="4">
        <v>-0.76887653275970513</v>
      </c>
    </row>
    <row r="75" spans="2:36">
      <c r="B75" s="2" t="s">
        <v>21</v>
      </c>
      <c r="C75" s="4">
        <f t="shared" si="34"/>
        <v>-0.83620243620243628</v>
      </c>
      <c r="D75" s="4">
        <f t="shared" si="35"/>
        <v>-0.81803679178926048</v>
      </c>
      <c r="E75" s="4">
        <f t="shared" si="36"/>
        <v>-0.79438849219959895</v>
      </c>
      <c r="F75" s="4">
        <f t="shared" si="37"/>
        <v>-0.77145925400430848</v>
      </c>
      <c r="G75" s="4">
        <f t="shared" si="38"/>
        <v>-0.73614311058238036</v>
      </c>
      <c r="H75" s="4">
        <f t="shared" si="39"/>
        <v>-0.7461735822348049</v>
      </c>
      <c r="I75" s="4">
        <f t="shared" si="40"/>
        <v>-0.8373275481306347</v>
      </c>
      <c r="J75" s="4">
        <f t="shared" si="41"/>
        <v>-0.94600579604673229</v>
      </c>
      <c r="K75" s="4">
        <f t="shared" si="42"/>
        <v>-1.0831608389243632</v>
      </c>
      <c r="L75" s="4">
        <f t="shared" si="43"/>
        <v>-1.2971320572498177</v>
      </c>
      <c r="N75" s="5" t="s">
        <v>21</v>
      </c>
      <c r="O75" s="4">
        <v>-0.43336919936351892</v>
      </c>
      <c r="P75" s="4">
        <v>-0.42605330593025226</v>
      </c>
      <c r="Q75" s="4">
        <v>-0.41893454790033163</v>
      </c>
      <c r="R75" s="4">
        <v>-0.40999161045498345</v>
      </c>
      <c r="S75" s="4">
        <v>-0.38902981412581494</v>
      </c>
      <c r="T75" s="4">
        <v>-0.36720481865015348</v>
      </c>
      <c r="U75" s="4">
        <v>-0.41400014796566681</v>
      </c>
      <c r="V75" s="4">
        <v>-0.47058112214448156</v>
      </c>
      <c r="W75" s="4">
        <v>-0.53993560068917079</v>
      </c>
      <c r="X75" s="4">
        <v>-0.6405410714494788</v>
      </c>
      <c r="Z75" s="5" t="s">
        <v>21</v>
      </c>
      <c r="AA75" s="4">
        <v>-0.29228975185916911</v>
      </c>
      <c r="AB75" s="4">
        <v>-0.25079788822553289</v>
      </c>
      <c r="AC75" s="4">
        <v>-0.20950090073204003</v>
      </c>
      <c r="AD75" s="4">
        <v>-0.16258659849042018</v>
      </c>
      <c r="AE75" s="4">
        <v>-0.15272570207872027</v>
      </c>
      <c r="AF75" s="4">
        <v>-0.4776127545599318</v>
      </c>
      <c r="AG75" s="4">
        <v>-0.5108698196991257</v>
      </c>
      <c r="AH75" s="4">
        <v>-0.54092010440606053</v>
      </c>
      <c r="AI75" s="4">
        <v>-0.57562576285290334</v>
      </c>
      <c r="AJ75" s="4">
        <v>-0.77012540269006058</v>
      </c>
    </row>
    <row r="76" spans="2:36">
      <c r="B76" s="2" t="s">
        <v>22</v>
      </c>
      <c r="C76" s="4">
        <f t="shared" si="34"/>
        <v>-0.94803402393226444</v>
      </c>
      <c r="D76" s="4">
        <f t="shared" si="35"/>
        <v>-0.93125754925236359</v>
      </c>
      <c r="E76" s="4">
        <f t="shared" si="36"/>
        <v>-0.9181184668989546</v>
      </c>
      <c r="F76" s="4">
        <f t="shared" si="37"/>
        <v>-0.90383349198536678</v>
      </c>
      <c r="G76" s="4">
        <f t="shared" si="38"/>
        <v>-0.85758973612223455</v>
      </c>
      <c r="H76" s="4">
        <f t="shared" si="39"/>
        <v>-0.82387250461680828</v>
      </c>
      <c r="I76" s="4">
        <f t="shared" si="40"/>
        <v>-0.91340764351884918</v>
      </c>
      <c r="J76" s="4">
        <f t="shared" si="41"/>
        <v>-1.0151972365825321</v>
      </c>
      <c r="K76" s="4">
        <f t="shared" si="42"/>
        <v>-1.1482443017095034</v>
      </c>
      <c r="L76" s="4">
        <f t="shared" si="43"/>
        <v>-1.3325404871454938</v>
      </c>
      <c r="N76" s="5" t="s">
        <v>22</v>
      </c>
      <c r="O76" s="4">
        <v>-0.47277896768545563</v>
      </c>
      <c r="P76" s="4">
        <v>-0.46657989952364842</v>
      </c>
      <c r="Q76" s="4">
        <v>-0.46034439302483293</v>
      </c>
      <c r="R76" s="4">
        <v>-0.4523681045411696</v>
      </c>
      <c r="S76" s="4">
        <v>-0.4289974079295269</v>
      </c>
      <c r="T76" s="4">
        <v>-0.41019526067825751</v>
      </c>
      <c r="U76" s="4">
        <v>-0.45803232477299916</v>
      </c>
      <c r="V76" s="4">
        <v>-0.50746299692122954</v>
      </c>
      <c r="W76" s="4">
        <v>-0.57299635689433692</v>
      </c>
      <c r="X76" s="4">
        <v>-0.66656378279260697</v>
      </c>
      <c r="Z76" s="5" t="s">
        <v>22</v>
      </c>
      <c r="AA76" s="4">
        <v>-0.29262548222400153</v>
      </c>
      <c r="AB76" s="4">
        <v>-0.25194617778107725</v>
      </c>
      <c r="AC76" s="4">
        <v>-0.20965931191126946</v>
      </c>
      <c r="AD76" s="4">
        <v>-0.16092330401879457</v>
      </c>
      <c r="AE76" s="4">
        <v>-0.15530627160391069</v>
      </c>
      <c r="AF76" s="4">
        <v>-0.47485175181134465</v>
      </c>
      <c r="AG76" s="4">
        <v>-0.51040193952763024</v>
      </c>
      <c r="AH76" s="4">
        <v>-0.54047863990417322</v>
      </c>
      <c r="AI76" s="4">
        <v>-0.5754917286159611</v>
      </c>
      <c r="AJ76" s="4">
        <v>-0.76938177229257598</v>
      </c>
    </row>
    <row r="77" spans="2:36">
      <c r="B77" s="2" t="s">
        <v>23</v>
      </c>
      <c r="C77" s="4">
        <f t="shared" si="34"/>
        <v>-1.0775252325081248</v>
      </c>
      <c r="D77" s="4">
        <f t="shared" si="35"/>
        <v>-1.0727832328004112</v>
      </c>
      <c r="E77" s="4">
        <f t="shared" si="36"/>
        <v>-1.0618783813589008</v>
      </c>
      <c r="F77" s="4">
        <f t="shared" si="37"/>
        <v>-1.0412569998947823</v>
      </c>
      <c r="G77" s="4">
        <f t="shared" si="38"/>
        <v>-1.0152578145420641</v>
      </c>
      <c r="H77" s="4">
        <f t="shared" si="39"/>
        <v>-0.96222789628597272</v>
      </c>
      <c r="I77" s="4">
        <f t="shared" si="40"/>
        <v>-1.0102759289260177</v>
      </c>
      <c r="J77" s="4">
        <f t="shared" si="41"/>
        <v>-1.1053260314286941</v>
      </c>
      <c r="K77" s="4">
        <f t="shared" si="42"/>
        <v>-1.2301837788933749</v>
      </c>
      <c r="L77" s="4">
        <f t="shared" si="43"/>
        <v>-1.3915236897798535</v>
      </c>
      <c r="N77" s="5" t="s">
        <v>23</v>
      </c>
      <c r="O77" s="4">
        <v>-0.15240083236129254</v>
      </c>
      <c r="P77" s="4">
        <v>-0.11682321335969087</v>
      </c>
      <c r="Q77" s="4">
        <v>-7.7127808267445752E-2</v>
      </c>
      <c r="R77" s="4">
        <v>-4.2480424336454492E-2</v>
      </c>
      <c r="S77" s="4">
        <v>1.1258170677087009E-2</v>
      </c>
      <c r="T77" s="4">
        <v>-0.10612383300810435</v>
      </c>
      <c r="U77" s="4">
        <v>-0.38412164753572992</v>
      </c>
      <c r="V77" s="4">
        <v>-0.42080091360548999</v>
      </c>
      <c r="W77" s="4">
        <v>-0.46318063070619275</v>
      </c>
      <c r="X77" s="4">
        <v>-0.63970812271970878</v>
      </c>
      <c r="Z77" s="5" t="s">
        <v>23</v>
      </c>
      <c r="AA77" s="4">
        <v>-0.1531896541645611</v>
      </c>
      <c r="AB77" s="4">
        <v>-0.11582076763795218</v>
      </c>
      <c r="AC77" s="4">
        <v>-7.685614133519314E-2</v>
      </c>
      <c r="AD77" s="4">
        <v>-4.1151739736734805E-2</v>
      </c>
      <c r="AE77" s="4">
        <v>9.7486697493459618E-3</v>
      </c>
      <c r="AF77" s="4">
        <v>-0.10649651368508689</v>
      </c>
      <c r="AG77" s="4">
        <v>-0.38392731828271121</v>
      </c>
      <c r="AH77" s="4">
        <v>-0.42009008223485145</v>
      </c>
      <c r="AI77" s="4">
        <v>-0.46254658025653839</v>
      </c>
      <c r="AJ77" s="4">
        <v>-0.63797560626374916</v>
      </c>
    </row>
    <row r="78" spans="2:36">
      <c r="B78" s="2" t="s">
        <v>24</v>
      </c>
      <c r="C78" s="4">
        <f t="shared" si="34"/>
        <v>-1.2523598651208294</v>
      </c>
      <c r="D78" s="4">
        <f t="shared" si="35"/>
        <v>-1.2483389696676901</v>
      </c>
      <c r="E78" s="4">
        <f t="shared" si="36"/>
        <v>-1.2352094337687693</v>
      </c>
      <c r="F78" s="4">
        <f t="shared" si="37"/>
        <v>-1.2276458388864691</v>
      </c>
      <c r="G78" s="4">
        <f t="shared" si="38"/>
        <v>-1.2126199810294331</v>
      </c>
      <c r="H78" s="4">
        <f t="shared" si="39"/>
        <v>-1.1793470216594781</v>
      </c>
      <c r="I78" s="4">
        <f t="shared" si="40"/>
        <v>-1.1788370656872622</v>
      </c>
      <c r="J78" s="4">
        <f t="shared" si="41"/>
        <v>-1.2266530120858676</v>
      </c>
      <c r="K78" s="4">
        <f t="shared" si="42"/>
        <v>-1.3474506331689589</v>
      </c>
      <c r="L78" s="4">
        <f t="shared" si="43"/>
        <v>-1.4882036109354118</v>
      </c>
      <c r="N78" s="5" t="s">
        <v>24</v>
      </c>
      <c r="O78" s="4">
        <v>0.12171970385764386</v>
      </c>
      <c r="P78" s="4">
        <v>0.14692093028098985</v>
      </c>
      <c r="Q78" s="4">
        <v>0.17496216710956719</v>
      </c>
      <c r="R78" s="4">
        <v>0.20232595085058286</v>
      </c>
      <c r="S78" s="4">
        <v>0.28237348521223615</v>
      </c>
      <c r="T78" s="4">
        <v>0.40121571843232201</v>
      </c>
      <c r="U78" s="4">
        <v>0.1050710244606633</v>
      </c>
      <c r="V78" s="4">
        <v>-0.18462685072338031</v>
      </c>
      <c r="W78" s="4">
        <v>-0.2400395898177744</v>
      </c>
      <c r="X78" s="4">
        <v>-0.37699304371503223</v>
      </c>
      <c r="Z78" s="5" t="s">
        <v>24</v>
      </c>
      <c r="AA78" s="4">
        <v>0.12108683962374434</v>
      </c>
      <c r="AB78" s="4">
        <v>0.14751036831749093</v>
      </c>
      <c r="AC78" s="4">
        <v>0.17566686325503572</v>
      </c>
      <c r="AD78" s="4">
        <v>0.20329276183458339</v>
      </c>
      <c r="AE78" s="4">
        <v>0.28441150325166481</v>
      </c>
      <c r="AF78" s="4">
        <v>0.39981048805815156</v>
      </c>
      <c r="AG78" s="4">
        <v>0.10393598492047579</v>
      </c>
      <c r="AH78" s="4">
        <v>-0.1846033595696755</v>
      </c>
      <c r="AI78" s="4">
        <v>-0.24051325320157591</v>
      </c>
      <c r="AJ78" s="4">
        <v>-0.37900335524246898</v>
      </c>
    </row>
    <row r="79" spans="2:36">
      <c r="B79" s="2" t="s">
        <v>25</v>
      </c>
      <c r="C79" s="4">
        <f t="shared" si="34"/>
        <v>-1.466904931908424</v>
      </c>
      <c r="D79" s="4">
        <f t="shared" si="35"/>
        <v>-1.4558301866688843</v>
      </c>
      <c r="E79" s="4">
        <f t="shared" si="36"/>
        <v>-1.4515080820945028</v>
      </c>
      <c r="F79" s="4">
        <f t="shared" si="37"/>
        <v>-1.4494717865606686</v>
      </c>
      <c r="G79" s="4">
        <f t="shared" si="38"/>
        <v>-1.444793201708954</v>
      </c>
      <c r="H79" s="4">
        <f t="shared" si="39"/>
        <v>-1.4282737260037626</v>
      </c>
      <c r="I79" s="4">
        <f t="shared" si="40"/>
        <v>-1.4229496855673052</v>
      </c>
      <c r="J79" s="4">
        <f t="shared" si="41"/>
        <v>-1.4295139064614795</v>
      </c>
      <c r="K79" s="4">
        <f t="shared" si="42"/>
        <v>-1.4975838879937919</v>
      </c>
      <c r="L79" s="4">
        <f t="shared" si="43"/>
        <v>-1.6287235925575003</v>
      </c>
      <c r="N79" s="5" t="s">
        <v>25</v>
      </c>
      <c r="O79" s="4">
        <v>0.38601994402361772</v>
      </c>
      <c r="P79" s="4">
        <v>0.40295479184100552</v>
      </c>
      <c r="Q79" s="4">
        <v>0.42161840014126784</v>
      </c>
      <c r="R79" s="4">
        <v>0.4425090504942838</v>
      </c>
      <c r="S79" s="4">
        <v>0.49604174631286846</v>
      </c>
      <c r="T79" s="4">
        <v>0.61505973650402324</v>
      </c>
      <c r="U79" s="4">
        <v>0.59257332785444172</v>
      </c>
      <c r="V79" s="4">
        <v>0.28552263311359521</v>
      </c>
      <c r="W79" s="4">
        <v>-1.6226808866202591E-2</v>
      </c>
      <c r="X79" s="4">
        <v>-0.115349179786013</v>
      </c>
      <c r="Z79" s="5" t="s">
        <v>25</v>
      </c>
      <c r="AA79" s="4">
        <v>0.38432529218348144</v>
      </c>
      <c r="AB79" s="4">
        <v>0.40391598100381298</v>
      </c>
      <c r="AC79" s="4">
        <v>0.42212992174109798</v>
      </c>
      <c r="AD79" s="4">
        <v>0.44370293072130823</v>
      </c>
      <c r="AE79" s="4">
        <v>0.49451782324952542</v>
      </c>
      <c r="AF79" s="4">
        <v>0.61709998504677765</v>
      </c>
      <c r="AG79" s="4">
        <v>0.59244239798886389</v>
      </c>
      <c r="AH79" s="4">
        <v>0.28619563661909531</v>
      </c>
      <c r="AI79" s="4">
        <v>-1.5582102697299594E-2</v>
      </c>
      <c r="AJ79" s="4">
        <v>-0.11726931654886763</v>
      </c>
    </row>
    <row r="80" spans="2:36">
      <c r="B80" s="2" t="s">
        <v>26</v>
      </c>
      <c r="C80" s="4">
        <f t="shared" si="34"/>
        <v>-1.7085902584912191</v>
      </c>
      <c r="D80" s="4">
        <f t="shared" si="35"/>
        <v>-1.7105902868148457</v>
      </c>
      <c r="E80" s="4">
        <f t="shared" si="36"/>
        <v>-1.7066155645495975</v>
      </c>
      <c r="F80" s="4">
        <f t="shared" si="37"/>
        <v>-1.7079477154087723</v>
      </c>
      <c r="G80" s="4">
        <f t="shared" si="38"/>
        <v>-1.7071047021031829</v>
      </c>
      <c r="H80" s="4">
        <f t="shared" si="39"/>
        <v>-1.7042840858634773</v>
      </c>
      <c r="I80" s="4">
        <f t="shared" si="40"/>
        <v>-1.7036967743360476</v>
      </c>
      <c r="J80" s="4">
        <f t="shared" si="41"/>
        <v>-1.702335819665429</v>
      </c>
      <c r="K80" s="4">
        <f t="shared" si="42"/>
        <v>-1.7198650522542023</v>
      </c>
      <c r="L80" s="4">
        <f t="shared" si="43"/>
        <v>-1.8021237866442847</v>
      </c>
      <c r="N80" s="5" t="s">
        <v>26</v>
      </c>
      <c r="O80" s="4">
        <v>0.63828247982917796</v>
      </c>
      <c r="P80" s="4">
        <v>0.64841467879426784</v>
      </c>
      <c r="Q80" s="4">
        <v>0.65944307895288123</v>
      </c>
      <c r="R80" s="4">
        <v>0.67283579833662766</v>
      </c>
      <c r="S80" s="4">
        <v>0.70293198625143216</v>
      </c>
      <c r="T80" s="4">
        <v>0.77533090565292828</v>
      </c>
      <c r="U80" s="4">
        <v>0.79153265123051519</v>
      </c>
      <c r="V80" s="4">
        <v>0.75775734711840292</v>
      </c>
      <c r="W80" s="4">
        <v>0.43609374964449121</v>
      </c>
      <c r="X80" s="4">
        <v>0.14320183046381363</v>
      </c>
      <c r="Z80" s="5" t="s">
        <v>26</v>
      </c>
      <c r="AA80" s="4">
        <v>0.63864322523554207</v>
      </c>
      <c r="AB80" s="4">
        <v>0.6483267165619282</v>
      </c>
      <c r="AC80" s="4">
        <v>0.6594576069643151</v>
      </c>
      <c r="AD80" s="4">
        <v>0.67188247281196056</v>
      </c>
      <c r="AE80" s="4">
        <v>0.70314070564125508</v>
      </c>
      <c r="AF80" s="4">
        <v>0.77306952066373635</v>
      </c>
      <c r="AG80" s="4">
        <v>0.79200329557371696</v>
      </c>
      <c r="AH80" s="4">
        <v>0.75821385979804501</v>
      </c>
      <c r="AI80" s="4">
        <v>0.43634568812657659</v>
      </c>
      <c r="AJ80" s="4">
        <v>0.14533955584583536</v>
      </c>
    </row>
    <row r="81" spans="2:36">
      <c r="B81" s="2" t="s">
        <v>27</v>
      </c>
      <c r="C81" s="4">
        <f t="shared" si="34"/>
        <v>-7.0260602631390778E-2</v>
      </c>
      <c r="D81" s="4">
        <f t="shared" si="35"/>
        <v>-3.882183273350881E-3</v>
      </c>
      <c r="E81" s="4">
        <f t="shared" si="36"/>
        <v>6.6992109864358218E-2</v>
      </c>
      <c r="F81" s="4">
        <f t="shared" si="37"/>
        <v>0.13591720446746347</v>
      </c>
      <c r="G81" s="4">
        <f t="shared" si="38"/>
        <v>0.18142868099256071</v>
      </c>
      <c r="H81" s="4">
        <f t="shared" si="39"/>
        <v>-0.18561872692372161</v>
      </c>
      <c r="I81" s="4">
        <f t="shared" si="40"/>
        <v>-0.32410734576999756</v>
      </c>
      <c r="J81" s="4">
        <f t="shared" si="41"/>
        <v>-0.46198198572571336</v>
      </c>
      <c r="K81" s="4">
        <f t="shared" si="42"/>
        <v>-0.62630410369671263</v>
      </c>
      <c r="L81" s="4">
        <f t="shared" si="43"/>
        <v>-1.0452512223031314</v>
      </c>
      <c r="N81" s="5" t="s">
        <v>27</v>
      </c>
      <c r="O81" s="4">
        <v>3.8252502925497367E-2</v>
      </c>
      <c r="P81" s="4">
        <v>5.4122802566334449E-2</v>
      </c>
      <c r="Q81" s="4">
        <v>6.995134771521988E-2</v>
      </c>
      <c r="R81" s="4">
        <v>8.0849985049207596E-2</v>
      </c>
      <c r="S81" s="4">
        <v>0.11504050602939431</v>
      </c>
      <c r="T81" s="4">
        <v>0.14854446114521153</v>
      </c>
      <c r="U81" s="4">
        <v>5.8350966212457556E-2</v>
      </c>
      <c r="V81" s="4">
        <v>-4.0751279408190011E-2</v>
      </c>
      <c r="W81" s="4">
        <v>-0.16322703944433015</v>
      </c>
      <c r="X81" s="4">
        <v>-0.34633641698478856</v>
      </c>
      <c r="Z81" s="5" t="s">
        <v>27</v>
      </c>
      <c r="AA81" s="4">
        <v>-0.29254514746004934</v>
      </c>
      <c r="AB81" s="4">
        <v>-0.25102295289150778</v>
      </c>
      <c r="AC81" s="4">
        <v>-0.20858908492168532</v>
      </c>
      <c r="AD81" s="4">
        <v>-0.16369301069685327</v>
      </c>
      <c r="AE81" s="4">
        <v>-0.15474432438616015</v>
      </c>
      <c r="AF81" s="4">
        <v>-0.47695375392260608</v>
      </c>
      <c r="AG81" s="4">
        <v>-0.51334607235242879</v>
      </c>
      <c r="AH81" s="4">
        <v>-0.54164384562018486</v>
      </c>
      <c r="AI81" s="4">
        <v>-0.57442762901339939</v>
      </c>
      <c r="AJ81" s="4">
        <v>-0.76975611530511889</v>
      </c>
    </row>
    <row r="82" spans="2:36">
      <c r="B82" s="2" t="s">
        <v>28</v>
      </c>
      <c r="C82" s="4">
        <f t="shared" si="34"/>
        <v>-7.5739574284642175E-2</v>
      </c>
      <c r="D82" s="4">
        <f t="shared" si="35"/>
        <v>-9.3964563792581224E-3</v>
      </c>
      <c r="E82" s="4">
        <f t="shared" si="36"/>
        <v>6.2867001319905635E-2</v>
      </c>
      <c r="F82" s="4">
        <f t="shared" si="37"/>
        <v>0.12995769193809359</v>
      </c>
      <c r="G82" s="4">
        <f t="shared" si="38"/>
        <v>0.17807841115606726</v>
      </c>
      <c r="H82" s="4">
        <f t="shared" si="39"/>
        <v>-0.19463477219815228</v>
      </c>
      <c r="I82" s="4">
        <f t="shared" si="40"/>
        <v>-0.32018710661536931</v>
      </c>
      <c r="J82" s="4">
        <f t="shared" si="41"/>
        <v>-0.45559773307047835</v>
      </c>
      <c r="K82" s="4">
        <f t="shared" si="42"/>
        <v>-0.62667218969387517</v>
      </c>
      <c r="L82" s="4">
        <f t="shared" si="43"/>
        <v>-1.048947542099615</v>
      </c>
      <c r="N82" s="5" t="s">
        <v>28</v>
      </c>
      <c r="O82" s="4">
        <v>-1.5588424036310222E-3</v>
      </c>
      <c r="P82" s="4">
        <v>1.5056218386106712E-2</v>
      </c>
      <c r="Q82" s="4">
        <v>3.0980664079524045E-2</v>
      </c>
      <c r="R82" s="4">
        <v>4.213857039441421E-2</v>
      </c>
      <c r="S82" s="4">
        <v>7.4682864193933218E-2</v>
      </c>
      <c r="T82" s="4">
        <v>0.10337640359028399</v>
      </c>
      <c r="U82" s="4">
        <v>2.1365668503066149E-2</v>
      </c>
      <c r="V82" s="4">
        <v>-7.0086114450979731E-2</v>
      </c>
      <c r="W82" s="4">
        <v>-0.19395020051159984</v>
      </c>
      <c r="X82" s="4">
        <v>-0.36967322163555477</v>
      </c>
      <c r="Z82" s="5" t="s">
        <v>28</v>
      </c>
      <c r="AA82" s="4">
        <v>-0.2925063410283712</v>
      </c>
      <c r="AB82" s="4">
        <v>-0.25157889398752492</v>
      </c>
      <c r="AC82" s="4">
        <v>-0.20969576841403414</v>
      </c>
      <c r="AD82" s="4">
        <v>-0.16301488552895532</v>
      </c>
      <c r="AE82" s="4">
        <v>-0.15384555327404881</v>
      </c>
      <c r="AF82" s="4">
        <v>-0.47513677179577146</v>
      </c>
      <c r="AG82" s="4">
        <v>-0.51409701366407945</v>
      </c>
      <c r="AH82" s="4">
        <v>-0.54208988161692173</v>
      </c>
      <c r="AI82" s="4">
        <v>-0.57489082479878251</v>
      </c>
      <c r="AJ82" s="4">
        <v>-0.76926977687626774</v>
      </c>
    </row>
    <row r="83" spans="2:36">
      <c r="B83" s="2" t="s">
        <v>29</v>
      </c>
      <c r="C83" s="4">
        <f t="shared" si="34"/>
        <v>-7.2365275063412171E-2</v>
      </c>
      <c r="D83" s="4">
        <f t="shared" si="35"/>
        <v>-7.57637824151558E-3</v>
      </c>
      <c r="E83" s="4">
        <f t="shared" si="36"/>
        <v>6.0267883223998009E-2</v>
      </c>
      <c r="F83" s="4">
        <f t="shared" si="37"/>
        <v>0.13052200741880071</v>
      </c>
      <c r="G83" s="4">
        <f t="shared" si="38"/>
        <v>0.17918202562752317</v>
      </c>
      <c r="H83" s="4">
        <f t="shared" si="39"/>
        <v>-0.18771836909435635</v>
      </c>
      <c r="I83" s="4">
        <f t="shared" si="40"/>
        <v>-0.31853400533834142</v>
      </c>
      <c r="J83" s="4">
        <f t="shared" si="41"/>
        <v>-0.44902459446949483</v>
      </c>
      <c r="K83" s="4">
        <f t="shared" si="42"/>
        <v>-0.62522975567445349</v>
      </c>
      <c r="L83" s="4">
        <f t="shared" si="43"/>
        <v>-1.0478705421185843</v>
      </c>
      <c r="N83" s="5" t="s">
        <v>29</v>
      </c>
      <c r="O83" s="4">
        <v>-3.7459672601266591E-2</v>
      </c>
      <c r="P83" s="4">
        <v>-2.4957676848457178E-2</v>
      </c>
      <c r="Q83" s="4">
        <v>-9.4961477155419693E-3</v>
      </c>
      <c r="R83" s="4">
        <v>4.376987178154601E-4</v>
      </c>
      <c r="S83" s="4">
        <v>3.1656157173380606E-2</v>
      </c>
      <c r="T83" s="4">
        <v>6.0740095097471691E-2</v>
      </c>
      <c r="U83" s="4">
        <v>-1.1933654855574849E-2</v>
      </c>
      <c r="V83" s="4">
        <v>-0.10569232387534622</v>
      </c>
      <c r="W83" s="4">
        <v>-0.22370912722497988</v>
      </c>
      <c r="X83" s="4">
        <v>-0.39227011662471301</v>
      </c>
      <c r="Z83" s="5" t="s">
        <v>29</v>
      </c>
      <c r="AA83" s="4">
        <v>-0.29335406736481628</v>
      </c>
      <c r="AB83" s="4">
        <v>-0.25146509348877705</v>
      </c>
      <c r="AC83" s="4">
        <v>-0.20930159875298049</v>
      </c>
      <c r="AD83" s="4">
        <v>-0.16267238681647433</v>
      </c>
      <c r="AE83" s="4">
        <v>-0.15715198879354902</v>
      </c>
      <c r="AF83" s="4">
        <v>-0.47555524424001394</v>
      </c>
      <c r="AG83" s="4">
        <v>-0.51179104089122562</v>
      </c>
      <c r="AH83" s="4">
        <v>-0.54021685136396846</v>
      </c>
      <c r="AI83" s="4">
        <v>-0.57528211791456885</v>
      </c>
      <c r="AJ83" s="4">
        <v>-0.7699664056372979</v>
      </c>
    </row>
    <row r="84" spans="2:36">
      <c r="B84" s="2" t="s">
        <v>30</v>
      </c>
      <c r="C84" s="4">
        <f t="shared" si="34"/>
        <v>-7.3394519279296189E-2</v>
      </c>
      <c r="D84" s="4">
        <f t="shared" si="35"/>
        <v>-1.0375234619124041E-2</v>
      </c>
      <c r="E84" s="4">
        <f t="shared" si="36"/>
        <v>5.8738402620988173E-2</v>
      </c>
      <c r="F84" s="4">
        <f t="shared" si="37"/>
        <v>0.12542208104475938</v>
      </c>
      <c r="G84" s="4">
        <f t="shared" si="38"/>
        <v>0.17495794217828364</v>
      </c>
      <c r="H84" s="4">
        <f t="shared" si="39"/>
        <v>-0.18197729613862468</v>
      </c>
      <c r="I84" s="4">
        <f t="shared" si="40"/>
        <v>-0.31740280802798682</v>
      </c>
      <c r="J84" s="4">
        <f t="shared" si="41"/>
        <v>-0.45568283127409681</v>
      </c>
      <c r="K84" s="4">
        <f t="shared" si="42"/>
        <v>-0.62437350815919046</v>
      </c>
      <c r="L84" s="4">
        <f t="shared" si="43"/>
        <v>-1.050435483451629</v>
      </c>
      <c r="N84" s="5" t="s">
        <v>30</v>
      </c>
      <c r="O84" s="4">
        <v>-7.6439032178092559E-2</v>
      </c>
      <c r="P84" s="4">
        <v>-6.4190424392725598E-2</v>
      </c>
      <c r="Q84" s="4">
        <v>-5.1786829776158227E-2</v>
      </c>
      <c r="R84" s="4">
        <v>-3.9431645880459054E-2</v>
      </c>
      <c r="S84" s="4">
        <v>-7.9363737237215792E-3</v>
      </c>
      <c r="T84" s="4">
        <v>2.5553253577585311E-2</v>
      </c>
      <c r="U84" s="4">
        <v>-5.0987231408290645E-2</v>
      </c>
      <c r="V84" s="4">
        <v>-0.14180716896264545</v>
      </c>
      <c r="W84" s="4">
        <v>-0.25401430108980488</v>
      </c>
      <c r="X84" s="4">
        <v>-0.41588250229487705</v>
      </c>
      <c r="Z84" s="5" t="s">
        <v>30</v>
      </c>
      <c r="AA84" s="4">
        <v>-0.29284443861251463</v>
      </c>
      <c r="AB84" s="4">
        <v>-0.24943495045749531</v>
      </c>
      <c r="AC84" s="4">
        <v>-0.20857101943580192</v>
      </c>
      <c r="AD84" s="4">
        <v>-0.16351866193339815</v>
      </c>
      <c r="AE84" s="4">
        <v>-0.15459097976609582</v>
      </c>
      <c r="AF84" s="4">
        <v>-0.4747788168308405</v>
      </c>
      <c r="AG84" s="4">
        <v>-0.51225888522547325</v>
      </c>
      <c r="AH84" s="4">
        <v>-0.54050988553590007</v>
      </c>
      <c r="AI84" s="4">
        <v>-0.57470335315586829</v>
      </c>
      <c r="AJ84" s="4">
        <v>-0.768471672074023</v>
      </c>
    </row>
    <row r="85" spans="2:36">
      <c r="B85" s="2" t="s">
        <v>31</v>
      </c>
      <c r="C85" s="4">
        <f t="shared" si="34"/>
        <v>-7.3875466995511396E-2</v>
      </c>
      <c r="D85" s="4">
        <f t="shared" si="35"/>
        <v>-8.7457808288126104E-3</v>
      </c>
      <c r="E85" s="4">
        <f t="shared" si="36"/>
        <v>5.3251318788159585E-2</v>
      </c>
      <c r="F85" s="4">
        <f t="shared" si="37"/>
        <v>0.12736487189626811</v>
      </c>
      <c r="G85" s="4">
        <f t="shared" si="38"/>
        <v>0.18069446588177918</v>
      </c>
      <c r="H85" s="4">
        <f t="shared" si="39"/>
        <v>-0.18282934784866933</v>
      </c>
      <c r="I85" s="4">
        <f t="shared" si="40"/>
        <v>-0.31513135028956818</v>
      </c>
      <c r="J85" s="4">
        <f t="shared" si="41"/>
        <v>-0.44957546961153461</v>
      </c>
      <c r="K85" s="4">
        <f t="shared" si="42"/>
        <v>-0.62452224425547764</v>
      </c>
      <c r="L85" s="4">
        <f t="shared" si="43"/>
        <v>-1.0508955816238232</v>
      </c>
      <c r="N85" s="5" t="s">
        <v>31</v>
      </c>
      <c r="O85" s="4">
        <v>-0.11583832587967258</v>
      </c>
      <c r="P85" s="4">
        <v>-0.1021340116717161</v>
      </c>
      <c r="Q85" s="4">
        <v>-8.8766236299098911E-2</v>
      </c>
      <c r="R85" s="4">
        <v>-7.9887802919774431E-2</v>
      </c>
      <c r="S85" s="4">
        <v>-4.2482683335715865E-2</v>
      </c>
      <c r="T85" s="4">
        <v>-1.4879356046093972E-2</v>
      </c>
      <c r="U85" s="4">
        <v>-8.9500533562374751E-2</v>
      </c>
      <c r="V85" s="4">
        <v>-0.17356273080496437</v>
      </c>
      <c r="W85" s="4">
        <v>-0.28380372117869318</v>
      </c>
      <c r="X85" s="4">
        <v>-0.43937845207117782</v>
      </c>
      <c r="Z85" s="5" t="s">
        <v>31</v>
      </c>
      <c r="AA85" s="4">
        <v>-0.29040969141241263</v>
      </c>
      <c r="AB85" s="4">
        <v>-0.25161545014440362</v>
      </c>
      <c r="AC85" s="4">
        <v>-0.21043077486015616</v>
      </c>
      <c r="AD85" s="4">
        <v>-0.16304019891388033</v>
      </c>
      <c r="AE85" s="4">
        <v>-0.15422443786674972</v>
      </c>
      <c r="AF85" s="4">
        <v>-0.47545403209647152</v>
      </c>
      <c r="AG85" s="4">
        <v>-0.5109530586919353</v>
      </c>
      <c r="AH85" s="4">
        <v>-0.54034206920245009</v>
      </c>
      <c r="AI85" s="4">
        <v>-0.57492409707124059</v>
      </c>
      <c r="AJ85" s="4">
        <v>-0.7695120872718193</v>
      </c>
    </row>
    <row r="86" spans="2:36">
      <c r="B86" s="2" t="s">
        <v>32</v>
      </c>
      <c r="C86" s="4">
        <f t="shared" si="34"/>
        <v>-9.1088089100901382E-3</v>
      </c>
      <c r="D86" s="4">
        <f t="shared" si="35"/>
        <v>4.7879332650951123E-2</v>
      </c>
      <c r="E86" s="4">
        <f t="shared" si="36"/>
        <v>0.11464443651089407</v>
      </c>
      <c r="F86" s="4">
        <f t="shared" si="37"/>
        <v>0.18877269439491795</v>
      </c>
      <c r="G86" s="4">
        <f t="shared" si="38"/>
        <v>0.25103796796383926</v>
      </c>
      <c r="H86" s="4">
        <f t="shared" si="39"/>
        <v>-1.2797378731270626E-2</v>
      </c>
      <c r="I86" s="4">
        <f t="shared" si="40"/>
        <v>-0.25689567482982745</v>
      </c>
      <c r="J86" s="4">
        <f t="shared" si="41"/>
        <v>-0.3952730554276902</v>
      </c>
      <c r="K86" s="4">
        <f t="shared" si="42"/>
        <v>-0.5735487617545334</v>
      </c>
      <c r="L86" s="4">
        <f t="shared" si="43"/>
        <v>-0.98822734654108479</v>
      </c>
      <c r="N86" s="5" t="s">
        <v>32</v>
      </c>
      <c r="O86" s="4">
        <v>-0.15376162079112521</v>
      </c>
      <c r="P86" s="4">
        <v>-0.11624775816806593</v>
      </c>
      <c r="Q86" s="4">
        <v>-7.6693674130689171E-2</v>
      </c>
      <c r="R86" s="4">
        <v>-4.1033014935358769E-2</v>
      </c>
      <c r="S86" s="4">
        <v>1.1122138277198712E-2</v>
      </c>
      <c r="T86" s="4">
        <v>-0.10831320382846282</v>
      </c>
      <c r="U86" s="4">
        <v>-0.38304927261630395</v>
      </c>
      <c r="V86" s="4">
        <v>-0.42023460677547703</v>
      </c>
      <c r="W86" s="4">
        <v>-0.46292808932046914</v>
      </c>
      <c r="X86" s="4">
        <v>-0.63902083379360619</v>
      </c>
      <c r="Z86" s="5" t="s">
        <v>32</v>
      </c>
      <c r="AA86" s="4">
        <v>-0.15434128312557832</v>
      </c>
      <c r="AB86" s="4">
        <v>-0.1169463327137788</v>
      </c>
      <c r="AC86" s="4">
        <v>-7.9445530043966761E-2</v>
      </c>
      <c r="AD86" s="4">
        <v>-4.3004001279161319E-2</v>
      </c>
      <c r="AE86" s="4">
        <v>1.1470190871347763E-2</v>
      </c>
      <c r="AF86" s="4">
        <v>-0.1087971335416737</v>
      </c>
      <c r="AG86" s="4">
        <v>-0.38387297714678748</v>
      </c>
      <c r="AH86" s="4">
        <v>-0.42101119106276708</v>
      </c>
      <c r="AI86" s="4">
        <v>-0.4626254998530035</v>
      </c>
      <c r="AJ86" s="4">
        <v>-0.63917474844647826</v>
      </c>
    </row>
    <row r="87" spans="2:36">
      <c r="B87" s="2" t="s">
        <v>33</v>
      </c>
      <c r="C87" s="4">
        <f t="shared" si="34"/>
        <v>0.11416348722853487</v>
      </c>
      <c r="D87" s="4">
        <f t="shared" si="35"/>
        <v>0.17624859127619319</v>
      </c>
      <c r="E87" s="4">
        <f t="shared" si="36"/>
        <v>0.24160344583327376</v>
      </c>
      <c r="F87" s="4">
        <f t="shared" si="37"/>
        <v>0.29990498491700468</v>
      </c>
      <c r="G87" s="4">
        <f t="shared" si="38"/>
        <v>0.3837579597145222</v>
      </c>
      <c r="H87" s="4">
        <f t="shared" si="39"/>
        <v>0.22257634741240928</v>
      </c>
      <c r="I87" s="4">
        <f t="shared" si="40"/>
        <v>-2.8247165961552301E-2</v>
      </c>
      <c r="J87" s="4">
        <f t="shared" si="41"/>
        <v>-0.28483832907376871</v>
      </c>
      <c r="K87" s="4">
        <f t="shared" si="42"/>
        <v>-0.47008089512104045</v>
      </c>
      <c r="L87" s="4">
        <f t="shared" si="43"/>
        <v>-0.86938618373648335</v>
      </c>
      <c r="N87" s="5" t="s">
        <v>33</v>
      </c>
      <c r="O87" s="4">
        <v>0.12086240783685692</v>
      </c>
      <c r="P87" s="4">
        <v>0.14988429674968445</v>
      </c>
      <c r="Q87" s="4">
        <v>0.17820964187112776</v>
      </c>
      <c r="R87" s="4">
        <v>0.20312985909518527</v>
      </c>
      <c r="S87" s="4">
        <v>0.28264524930068879</v>
      </c>
      <c r="T87" s="4">
        <v>0.39999947943508296</v>
      </c>
      <c r="U87" s="4">
        <v>0.10572245935527852</v>
      </c>
      <c r="V87" s="4">
        <v>-0.18243545942913686</v>
      </c>
      <c r="W87" s="4">
        <v>-0.23995178926134397</v>
      </c>
      <c r="X87" s="4">
        <v>-0.37767977522976937</v>
      </c>
      <c r="Z87" s="5" t="s">
        <v>33</v>
      </c>
      <c r="AA87" s="4">
        <v>0.1230188777266204</v>
      </c>
      <c r="AB87" s="4">
        <v>0.1473520484202806</v>
      </c>
      <c r="AC87" s="4">
        <v>0.17701992189379578</v>
      </c>
      <c r="AD87" s="4">
        <v>0.20251753412625612</v>
      </c>
      <c r="AE87" s="4">
        <v>0.28340944910559634</v>
      </c>
      <c r="AF87" s="4">
        <v>0.39880138704460733</v>
      </c>
      <c r="AG87" s="4">
        <v>0.10535798895300158</v>
      </c>
      <c r="AH87" s="4">
        <v>-0.18371548217463934</v>
      </c>
      <c r="AI87" s="4">
        <v>-0.23992549993210133</v>
      </c>
      <c r="AJ87" s="4">
        <v>-0.37878882310169315</v>
      </c>
    </row>
    <row r="88" spans="2:36">
      <c r="B88" s="2" t="s">
        <v>34</v>
      </c>
      <c r="C88" s="4">
        <f t="shared" si="34"/>
        <v>0.23697580566549048</v>
      </c>
      <c r="D88" s="4">
        <f t="shared" si="35"/>
        <v>0.29546345554196807</v>
      </c>
      <c r="E88" s="4">
        <f t="shared" si="36"/>
        <v>0.35404888101738208</v>
      </c>
      <c r="F88" s="4">
        <f t="shared" si="37"/>
        <v>0.41516300858131461</v>
      </c>
      <c r="G88" s="4">
        <f t="shared" si="38"/>
        <v>0.47719395824101285</v>
      </c>
      <c r="H88" s="4">
        <f t="shared" si="39"/>
        <v>0.32578756563046918</v>
      </c>
      <c r="I88" s="4">
        <f t="shared" si="40"/>
        <v>0.19138927723770205</v>
      </c>
      <c r="J88" s="4">
        <f t="shared" si="41"/>
        <v>-7.2618007192248757E-2</v>
      </c>
      <c r="K88" s="4">
        <f t="shared" si="42"/>
        <v>-0.36776362895408932</v>
      </c>
      <c r="L88" s="4">
        <f t="shared" si="43"/>
        <v>-0.74835275634862952</v>
      </c>
      <c r="N88" s="5" t="s">
        <v>34</v>
      </c>
      <c r="O88" s="4">
        <v>0.38711288451434012</v>
      </c>
      <c r="P88" s="4">
        <v>0.40369654857237813</v>
      </c>
      <c r="Q88" s="4">
        <v>0.42212382021537564</v>
      </c>
      <c r="R88" s="4">
        <v>0.44255009675199031</v>
      </c>
      <c r="S88" s="4">
        <v>0.49644755593929113</v>
      </c>
      <c r="T88" s="4">
        <v>0.6191013593376764</v>
      </c>
      <c r="U88" s="4">
        <v>0.59422712031814517</v>
      </c>
      <c r="V88" s="4">
        <v>0.28559129899573832</v>
      </c>
      <c r="W88" s="4">
        <v>-1.6385685882105816E-2</v>
      </c>
      <c r="X88" s="4">
        <v>-0.11503050557851535</v>
      </c>
      <c r="Z88" s="5" t="s">
        <v>34</v>
      </c>
      <c r="AA88" s="4">
        <v>0.38588074379756976</v>
      </c>
      <c r="AB88" s="4">
        <v>0.40333325972850209</v>
      </c>
      <c r="AC88" s="4">
        <v>0.42167234451603008</v>
      </c>
      <c r="AD88" s="4">
        <v>0.44266612589143417</v>
      </c>
      <c r="AE88" s="4">
        <v>0.49649168432961005</v>
      </c>
      <c r="AF88" s="4">
        <v>0.6163255308201645</v>
      </c>
      <c r="AG88" s="4">
        <v>0.59384136000915555</v>
      </c>
      <c r="AH88" s="4">
        <v>0.28613131276322157</v>
      </c>
      <c r="AI88" s="4">
        <v>-1.6553072249819556E-2</v>
      </c>
      <c r="AJ88" s="4">
        <v>-0.11558251934443636</v>
      </c>
    </row>
    <row r="89" spans="2:36">
      <c r="B89" s="2" t="s">
        <v>35</v>
      </c>
      <c r="C89" s="4">
        <f t="shared" si="34"/>
        <v>0.3620121871152524</v>
      </c>
      <c r="D89" s="4">
        <f t="shared" si="35"/>
        <v>0.41230649147912057</v>
      </c>
      <c r="E89" s="4">
        <f t="shared" si="36"/>
        <v>0.47188584350267082</v>
      </c>
      <c r="F89" s="4">
        <f t="shared" si="37"/>
        <v>0.51906494127615999</v>
      </c>
      <c r="G89" s="4">
        <f t="shared" si="38"/>
        <v>0.57805845777284681</v>
      </c>
      <c r="H89" s="4">
        <f t="shared" si="39"/>
        <v>0.39549241867775697</v>
      </c>
      <c r="I89" s="4">
        <f t="shared" si="40"/>
        <v>0.28448593219302742</v>
      </c>
      <c r="J89" s="4">
        <f t="shared" si="41"/>
        <v>0.14025824874662707</v>
      </c>
      <c r="K89" s="4">
        <f t="shared" si="42"/>
        <v>-0.16288449873515976</v>
      </c>
      <c r="L89" s="4">
        <f t="shared" si="43"/>
        <v>-0.62825399094281764</v>
      </c>
      <c r="N89" s="5" t="s">
        <v>35</v>
      </c>
      <c r="O89" s="4">
        <v>0.63916377885693521</v>
      </c>
      <c r="P89" s="4">
        <v>0.65019710462786584</v>
      </c>
      <c r="Q89" s="4">
        <v>0.65833646490665743</v>
      </c>
      <c r="R89" s="4">
        <v>0.67270739658639112</v>
      </c>
      <c r="S89" s="4">
        <v>0.70349514462354301</v>
      </c>
      <c r="T89" s="4">
        <v>0.77412169779304585</v>
      </c>
      <c r="U89" s="4">
        <v>0.79209560306050508</v>
      </c>
      <c r="V89" s="4">
        <v>0.75845075364737258</v>
      </c>
      <c r="W89" s="4">
        <v>0.43599926195474148</v>
      </c>
      <c r="X89" s="4">
        <v>0.14376231387664912</v>
      </c>
      <c r="Z89" s="5" t="s">
        <v>35</v>
      </c>
      <c r="AA89" s="4">
        <v>0.63880948202458254</v>
      </c>
      <c r="AB89" s="4">
        <v>0.64916395137845595</v>
      </c>
      <c r="AC89" s="4">
        <v>0.65891232154828783</v>
      </c>
      <c r="AD89" s="4">
        <v>0.6714487018828289</v>
      </c>
      <c r="AE89" s="4">
        <v>0.70452858781339678</v>
      </c>
      <c r="AF89" s="4">
        <v>0.77458451861130295</v>
      </c>
      <c r="AG89" s="4">
        <v>0.791361170400257</v>
      </c>
      <c r="AH89" s="4">
        <v>0.75832465302581231</v>
      </c>
      <c r="AI89" s="4">
        <v>0.43604231485625339</v>
      </c>
      <c r="AJ89" s="4">
        <v>0.14424320406746644</v>
      </c>
    </row>
    <row r="90" spans="2:36">
      <c r="B90" s="2" t="s">
        <v>36</v>
      </c>
      <c r="C90" s="4">
        <f t="shared" si="34"/>
        <v>2</v>
      </c>
      <c r="D90" s="4">
        <f t="shared" si="35"/>
        <v>2</v>
      </c>
      <c r="E90" s="4">
        <f t="shared" si="36"/>
        <v>2</v>
      </c>
      <c r="F90" s="4">
        <f t="shared" si="37"/>
        <v>2</v>
      </c>
      <c r="G90" s="4">
        <f t="shared" si="38"/>
        <v>2</v>
      </c>
      <c r="H90" s="4">
        <f t="shared" si="39"/>
        <v>2</v>
      </c>
      <c r="I90" s="4">
        <f t="shared" si="40"/>
        <v>2</v>
      </c>
      <c r="J90" s="4">
        <f t="shared" si="41"/>
        <v>2</v>
      </c>
      <c r="K90" s="4">
        <f t="shared" si="42"/>
        <v>1.8456722746163943</v>
      </c>
      <c r="L90" s="4">
        <f t="shared" si="43"/>
        <v>1.3826524053338458</v>
      </c>
      <c r="N90" s="5" t="s">
        <v>36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0.92285585978448281</v>
      </c>
      <c r="X90" s="4">
        <v>0.69209585140221463</v>
      </c>
      <c r="Z90" s="5" t="s">
        <v>36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0.9226142521148174</v>
      </c>
      <c r="AJ90" s="4">
        <v>0.69167442518773026</v>
      </c>
    </row>
    <row r="92" spans="2:36">
      <c r="B92" s="8" t="s">
        <v>43</v>
      </c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2:36">
      <c r="B93" s="1"/>
      <c r="C93" s="2">
        <v>2</v>
      </c>
      <c r="D93" s="2">
        <v>3</v>
      </c>
      <c r="E93" s="2">
        <v>4</v>
      </c>
      <c r="F93" s="2">
        <v>5</v>
      </c>
      <c r="G93" s="2">
        <v>6</v>
      </c>
      <c r="H93" s="2">
        <v>7</v>
      </c>
      <c r="I93" s="2">
        <v>8</v>
      </c>
      <c r="J93" s="2">
        <v>9</v>
      </c>
      <c r="K93" s="2">
        <v>10</v>
      </c>
      <c r="L93" s="2" t="s">
        <v>6</v>
      </c>
    </row>
    <row r="94" spans="2:36">
      <c r="B94" s="2" t="s">
        <v>10</v>
      </c>
      <c r="C94" s="4" t="str">
        <f>IF(MAX(C64,O64,AA64)-AA64 &lt; 0.01,"PARE",IF(C64&gt;O64,"DOBRE","PEÇA"))</f>
        <v>PEÇA</v>
      </c>
      <c r="D94" s="4" t="str">
        <f t="shared" ref="D94:L94" si="44">IF(MAX(D64,P64,AB64)-AB64 &lt; 0.01,"PARE",IF(D64&gt;P64,"DOBRE","PEÇA"))</f>
        <v>PEÇA</v>
      </c>
      <c r="E94" s="4" t="str">
        <f t="shared" si="44"/>
        <v>PEÇA</v>
      </c>
      <c r="F94" s="4" t="str">
        <f t="shared" si="44"/>
        <v>PEÇA</v>
      </c>
      <c r="G94" s="4" t="str">
        <f t="shared" si="44"/>
        <v>PEÇA</v>
      </c>
      <c r="H94" s="4" t="str">
        <f t="shared" si="44"/>
        <v>PEÇA</v>
      </c>
      <c r="I94" s="4" t="str">
        <f t="shared" si="44"/>
        <v>PEÇA</v>
      </c>
      <c r="J94" s="4" t="str">
        <f t="shared" si="44"/>
        <v>PEÇA</v>
      </c>
      <c r="K94" s="4" t="str">
        <f t="shared" si="44"/>
        <v>PEÇA</v>
      </c>
      <c r="L94" s="4" t="str">
        <f t="shared" si="44"/>
        <v>PEÇA</v>
      </c>
    </row>
    <row r="95" spans="2:36">
      <c r="B95" s="2" t="s">
        <v>11</v>
      </c>
      <c r="C95" s="4" t="str">
        <f t="shared" ref="C95:C120" si="45">IF(MAX(C65,O65,AA65)-AA65 &lt; 0.01,"PARE",IF(C65&gt;O65,"DOBRE","PEÇA"))</f>
        <v>PEÇA</v>
      </c>
      <c r="D95" s="4" t="str">
        <f t="shared" ref="D95:D120" si="46">IF(MAX(D65,P65,AB65)-AB65 &lt; 0.01,"PARE",IF(D65&gt;P65,"DOBRE","PEÇA"))</f>
        <v>PEÇA</v>
      </c>
      <c r="E95" s="4" t="str">
        <f t="shared" ref="E95:E120" si="47">IF(MAX(E65,Q65,AC65)-AC65 &lt; 0.01,"PARE",IF(E65&gt;Q65,"DOBRE","PEÇA"))</f>
        <v>PEÇA</v>
      </c>
      <c r="F95" s="4" t="str">
        <f t="shared" ref="F95:F120" si="48">IF(MAX(F65,R65,AD65)-AD65 &lt; 0.01,"PARE",IF(F65&gt;R65,"DOBRE","PEÇA"))</f>
        <v>PARE</v>
      </c>
      <c r="G95" s="4" t="str">
        <f t="shared" ref="G95:G120" si="49">IF(MAX(G65,S65,AE65)-AE65 &lt; 0.01,"PARE",IF(G65&gt;S65,"DOBRE","PEÇA"))</f>
        <v>PARE</v>
      </c>
      <c r="H95" s="4" t="str">
        <f t="shared" ref="H95:H120" si="50">IF(MAX(H65,T65,AF65)-AF65 &lt; 0.01,"PARE",IF(H65&gt;T65,"DOBRE","PEÇA"))</f>
        <v>PEÇA</v>
      </c>
      <c r="I95" s="4" t="str">
        <f t="shared" ref="I95:I120" si="51">IF(MAX(I65,U65,AG65)-AG65 &lt; 0.01,"PARE",IF(I65&gt;U65,"DOBRE","PEÇA"))</f>
        <v>PEÇA</v>
      </c>
      <c r="J95" s="4" t="str">
        <f t="shared" ref="J95:J120" si="52">IF(MAX(J65,V65,AH65)-AH65 &lt; 0.01,"PARE",IF(J65&gt;V65,"DOBRE","PEÇA"))</f>
        <v>PEÇA</v>
      </c>
      <c r="K95" s="4" t="str">
        <f t="shared" ref="K95:K120" si="53">IF(MAX(K65,W65,AI65)-AI65 &lt; 0.01,"PARE",IF(K65&gt;W65,"DOBRE","PEÇA"))</f>
        <v>PEÇA</v>
      </c>
      <c r="L95" s="4" t="str">
        <f t="shared" ref="L95:L120" si="54">IF(MAX(L65,X65,AJ65)-AJ65 &lt; 0.01,"PARE",IF(L65&gt;X65,"DOBRE","PEÇA"))</f>
        <v>PEÇA</v>
      </c>
    </row>
    <row r="96" spans="2:36">
      <c r="B96" s="2" t="s">
        <v>12</v>
      </c>
      <c r="C96" s="4" t="str">
        <f t="shared" si="45"/>
        <v>PEÇA</v>
      </c>
      <c r="D96" s="4" t="str">
        <f t="shared" si="46"/>
        <v>PEÇA</v>
      </c>
      <c r="E96" s="4" t="str">
        <f t="shared" si="47"/>
        <v>PARE</v>
      </c>
      <c r="F96" s="4" t="str">
        <f t="shared" si="48"/>
        <v>PARE</v>
      </c>
      <c r="G96" s="4" t="str">
        <f t="shared" si="49"/>
        <v>PARE</v>
      </c>
      <c r="H96" s="4" t="str">
        <f t="shared" si="50"/>
        <v>PEÇA</v>
      </c>
      <c r="I96" s="4" t="str">
        <f t="shared" si="51"/>
        <v>PEÇA</v>
      </c>
      <c r="J96" s="4" t="str">
        <f t="shared" si="52"/>
        <v>PEÇA</v>
      </c>
      <c r="K96" s="4" t="str">
        <f t="shared" si="53"/>
        <v>PEÇA</v>
      </c>
      <c r="L96" s="4" t="str">
        <f t="shared" si="54"/>
        <v>PEÇA</v>
      </c>
    </row>
    <row r="97" spans="2:12">
      <c r="B97" s="2" t="s">
        <v>13</v>
      </c>
      <c r="C97" s="4" t="str">
        <f t="shared" si="45"/>
        <v>PEÇA</v>
      </c>
      <c r="D97" s="4" t="str">
        <f t="shared" si="46"/>
        <v>PEÇA</v>
      </c>
      <c r="E97" s="4" t="str">
        <f t="shared" si="47"/>
        <v>PEÇA</v>
      </c>
      <c r="F97" s="4" t="str">
        <f t="shared" si="48"/>
        <v>PEÇA</v>
      </c>
      <c r="G97" s="4" t="str">
        <f t="shared" si="49"/>
        <v>PEÇA</v>
      </c>
      <c r="H97" s="4" t="str">
        <f t="shared" si="50"/>
        <v>PEÇA</v>
      </c>
      <c r="I97" s="4" t="str">
        <f t="shared" si="51"/>
        <v>PEÇA</v>
      </c>
      <c r="J97" s="4" t="str">
        <f t="shared" si="52"/>
        <v>PEÇA</v>
      </c>
      <c r="K97" s="4" t="str">
        <f t="shared" si="53"/>
        <v>PEÇA</v>
      </c>
      <c r="L97" s="4" t="str">
        <f t="shared" si="54"/>
        <v>PEÇA</v>
      </c>
    </row>
    <row r="98" spans="2:12">
      <c r="B98" s="2" t="s">
        <v>14</v>
      </c>
      <c r="C98" s="4" t="str">
        <f t="shared" si="45"/>
        <v>PEÇA</v>
      </c>
      <c r="D98" s="4" t="str">
        <f t="shared" si="46"/>
        <v>PEÇA</v>
      </c>
      <c r="E98" s="4" t="str">
        <f t="shared" si="47"/>
        <v>PEÇA</v>
      </c>
      <c r="F98" s="4" t="str">
        <f t="shared" si="48"/>
        <v>DOBRE</v>
      </c>
      <c r="G98" s="4" t="str">
        <f t="shared" si="49"/>
        <v>DOBRE</v>
      </c>
      <c r="H98" s="4" t="str">
        <f t="shared" si="50"/>
        <v>PEÇA</v>
      </c>
      <c r="I98" s="4" t="str">
        <f t="shared" si="51"/>
        <v>PEÇA</v>
      </c>
      <c r="J98" s="4" t="str">
        <f t="shared" si="52"/>
        <v>PEÇA</v>
      </c>
      <c r="K98" s="4" t="str">
        <f t="shared" si="53"/>
        <v>PEÇA</v>
      </c>
      <c r="L98" s="4" t="str">
        <f t="shared" si="54"/>
        <v>PEÇA</v>
      </c>
    </row>
    <row r="99" spans="2:12">
      <c r="B99" s="2" t="s">
        <v>15</v>
      </c>
      <c r="C99" s="4" t="str">
        <f t="shared" si="45"/>
        <v>DOBRE</v>
      </c>
      <c r="D99" s="4" t="str">
        <f t="shared" si="46"/>
        <v>DOBRE</v>
      </c>
      <c r="E99" s="4" t="str">
        <f t="shared" si="47"/>
        <v>DOBRE</v>
      </c>
      <c r="F99" s="4" t="str">
        <f t="shared" si="48"/>
        <v>DOBRE</v>
      </c>
      <c r="G99" s="4" t="str">
        <f t="shared" si="49"/>
        <v>DOBRE</v>
      </c>
      <c r="H99" s="4" t="str">
        <f t="shared" si="50"/>
        <v>PEÇA</v>
      </c>
      <c r="I99" s="4" t="str">
        <f t="shared" si="51"/>
        <v>PEÇA</v>
      </c>
      <c r="J99" s="4" t="str">
        <f t="shared" si="52"/>
        <v>PEÇA</v>
      </c>
      <c r="K99" s="4" t="str">
        <f t="shared" si="53"/>
        <v>PEÇA</v>
      </c>
      <c r="L99" s="4" t="str">
        <f t="shared" si="54"/>
        <v>PEÇA</v>
      </c>
    </row>
    <row r="100" spans="2:12">
      <c r="B100" s="2" t="s">
        <v>16</v>
      </c>
      <c r="C100" s="4" t="str">
        <f t="shared" si="45"/>
        <v>DOBRE</v>
      </c>
      <c r="D100" s="4" t="str">
        <f t="shared" si="46"/>
        <v>DOBRE</v>
      </c>
      <c r="E100" s="4" t="str">
        <f t="shared" si="47"/>
        <v>DOBRE</v>
      </c>
      <c r="F100" s="4" t="str">
        <f t="shared" si="48"/>
        <v>DOBRE</v>
      </c>
      <c r="G100" s="4" t="str">
        <f t="shared" si="49"/>
        <v>DOBRE</v>
      </c>
      <c r="H100" s="4" t="str">
        <f t="shared" si="50"/>
        <v>DOBRE</v>
      </c>
      <c r="I100" s="4" t="str">
        <f t="shared" si="51"/>
        <v>DOBRE</v>
      </c>
      <c r="J100" s="4" t="str">
        <f t="shared" si="52"/>
        <v>DOBRE</v>
      </c>
      <c r="K100" s="4" t="str">
        <f t="shared" si="53"/>
        <v>PEÇA</v>
      </c>
      <c r="L100" s="4" t="str">
        <f t="shared" si="54"/>
        <v>PEÇA</v>
      </c>
    </row>
    <row r="101" spans="2:12">
      <c r="B101" s="2" t="s">
        <v>17</v>
      </c>
      <c r="C101" s="4" t="str">
        <f t="shared" si="45"/>
        <v>DOBRE</v>
      </c>
      <c r="D101" s="4" t="str">
        <f t="shared" si="46"/>
        <v>DOBRE</v>
      </c>
      <c r="E101" s="4" t="str">
        <f t="shared" si="47"/>
        <v>DOBRE</v>
      </c>
      <c r="F101" s="4" t="str">
        <f t="shared" si="48"/>
        <v>DOBRE</v>
      </c>
      <c r="G101" s="4" t="str">
        <f t="shared" si="49"/>
        <v>DOBRE</v>
      </c>
      <c r="H101" s="4" t="str">
        <f t="shared" si="50"/>
        <v>DOBRE</v>
      </c>
      <c r="I101" s="4" t="str">
        <f t="shared" si="51"/>
        <v>DOBRE</v>
      </c>
      <c r="J101" s="4" t="str">
        <f t="shared" si="52"/>
        <v>DOBRE</v>
      </c>
      <c r="K101" s="4" t="str">
        <f t="shared" si="53"/>
        <v>PEÇA</v>
      </c>
      <c r="L101" s="4" t="str">
        <f t="shared" si="54"/>
        <v>PEÇA</v>
      </c>
    </row>
    <row r="102" spans="2:12">
      <c r="B102" s="2" t="s">
        <v>18</v>
      </c>
      <c r="C102" s="4" t="str">
        <f t="shared" si="45"/>
        <v>PARE</v>
      </c>
      <c r="D102" s="4" t="str">
        <f t="shared" si="46"/>
        <v>PARE</v>
      </c>
      <c r="E102" s="4" t="str">
        <f t="shared" si="47"/>
        <v>PARE</v>
      </c>
      <c r="F102" s="4" t="str">
        <f t="shared" si="48"/>
        <v>PARE</v>
      </c>
      <c r="G102" s="4" t="str">
        <f t="shared" si="49"/>
        <v>PARE</v>
      </c>
      <c r="H102" s="4" t="str">
        <f t="shared" si="50"/>
        <v>PEÇA</v>
      </c>
      <c r="I102" s="4" t="str">
        <f t="shared" si="51"/>
        <v>PEÇA</v>
      </c>
      <c r="J102" s="4" t="str">
        <f t="shared" si="52"/>
        <v>PEÇA</v>
      </c>
      <c r="K102" s="4" t="str">
        <f t="shared" si="53"/>
        <v>PEÇA</v>
      </c>
      <c r="L102" s="4" t="str">
        <f t="shared" si="54"/>
        <v>PEÇA</v>
      </c>
    </row>
    <row r="103" spans="2:12">
      <c r="B103" s="2" t="s">
        <v>19</v>
      </c>
      <c r="C103" s="4" t="str">
        <f t="shared" si="45"/>
        <v>PARE</v>
      </c>
      <c r="D103" s="4" t="str">
        <f t="shared" si="46"/>
        <v>PARE</v>
      </c>
      <c r="E103" s="4" t="str">
        <f t="shared" si="47"/>
        <v>PARE</v>
      </c>
      <c r="F103" s="4" t="str">
        <f t="shared" si="48"/>
        <v>PARE</v>
      </c>
      <c r="G103" s="4" t="str">
        <f t="shared" si="49"/>
        <v>PARE</v>
      </c>
      <c r="H103" s="4" t="str">
        <f t="shared" si="50"/>
        <v>PEÇA</v>
      </c>
      <c r="I103" s="4" t="str">
        <f t="shared" si="51"/>
        <v>PEÇA</v>
      </c>
      <c r="J103" s="4" t="str">
        <f t="shared" si="52"/>
        <v>PEÇA</v>
      </c>
      <c r="K103" s="4" t="str">
        <f t="shared" si="53"/>
        <v>PEÇA</v>
      </c>
      <c r="L103" s="4" t="str">
        <f t="shared" si="54"/>
        <v>PEÇA</v>
      </c>
    </row>
    <row r="104" spans="2:12">
      <c r="B104" s="2" t="s">
        <v>20</v>
      </c>
      <c r="C104" s="4" t="str">
        <f t="shared" si="45"/>
        <v>PARE</v>
      </c>
      <c r="D104" s="4" t="str">
        <f t="shared" si="46"/>
        <v>PARE</v>
      </c>
      <c r="E104" s="4" t="str">
        <f t="shared" si="47"/>
        <v>PARE</v>
      </c>
      <c r="F104" s="4" t="str">
        <f t="shared" si="48"/>
        <v>PARE</v>
      </c>
      <c r="G104" s="4" t="str">
        <f t="shared" si="49"/>
        <v>PARE</v>
      </c>
      <c r="H104" s="4" t="str">
        <f t="shared" si="50"/>
        <v>PEÇA</v>
      </c>
      <c r="I104" s="4" t="str">
        <f t="shared" si="51"/>
        <v>PEÇA</v>
      </c>
      <c r="J104" s="4" t="str">
        <f t="shared" si="52"/>
        <v>PEÇA</v>
      </c>
      <c r="K104" s="4" t="str">
        <f t="shared" si="53"/>
        <v>PEÇA</v>
      </c>
      <c r="L104" s="4" t="str">
        <f t="shared" si="54"/>
        <v>PEÇA</v>
      </c>
    </row>
    <row r="105" spans="2:12">
      <c r="B105" s="2" t="s">
        <v>21</v>
      </c>
      <c r="C105" s="4" t="str">
        <f t="shared" si="45"/>
        <v>PARE</v>
      </c>
      <c r="D105" s="4" t="str">
        <f t="shared" si="46"/>
        <v>PARE</v>
      </c>
      <c r="E105" s="4" t="str">
        <f t="shared" si="47"/>
        <v>PARE</v>
      </c>
      <c r="F105" s="4" t="str">
        <f t="shared" si="48"/>
        <v>PARE</v>
      </c>
      <c r="G105" s="4" t="str">
        <f t="shared" si="49"/>
        <v>PARE</v>
      </c>
      <c r="H105" s="4" t="str">
        <f t="shared" si="50"/>
        <v>PEÇA</v>
      </c>
      <c r="I105" s="4" t="str">
        <f t="shared" si="51"/>
        <v>PEÇA</v>
      </c>
      <c r="J105" s="4" t="str">
        <f t="shared" si="52"/>
        <v>PEÇA</v>
      </c>
      <c r="K105" s="4" t="str">
        <f t="shared" si="53"/>
        <v>PEÇA</v>
      </c>
      <c r="L105" s="4" t="str">
        <f t="shared" si="54"/>
        <v>PEÇA</v>
      </c>
    </row>
    <row r="106" spans="2:12">
      <c r="B106" s="2" t="s">
        <v>22</v>
      </c>
      <c r="C106" s="4" t="str">
        <f t="shared" si="45"/>
        <v>PARE</v>
      </c>
      <c r="D106" s="4" t="str">
        <f t="shared" si="46"/>
        <v>PARE</v>
      </c>
      <c r="E106" s="4" t="str">
        <f t="shared" si="47"/>
        <v>PARE</v>
      </c>
      <c r="F106" s="4" t="str">
        <f t="shared" si="48"/>
        <v>PARE</v>
      </c>
      <c r="G106" s="4" t="str">
        <f t="shared" si="49"/>
        <v>PARE</v>
      </c>
      <c r="H106" s="4" t="str">
        <f t="shared" si="50"/>
        <v>PEÇA</v>
      </c>
      <c r="I106" s="4" t="str">
        <f t="shared" si="51"/>
        <v>PEÇA</v>
      </c>
      <c r="J106" s="4" t="str">
        <f t="shared" si="52"/>
        <v>PEÇA</v>
      </c>
      <c r="K106" s="4" t="str">
        <f t="shared" si="53"/>
        <v>PARE</v>
      </c>
      <c r="L106" s="4" t="str">
        <f t="shared" si="54"/>
        <v>PEÇA</v>
      </c>
    </row>
    <row r="107" spans="2:12">
      <c r="B107" s="2" t="s">
        <v>23</v>
      </c>
      <c r="C107" s="4" t="str">
        <f t="shared" si="45"/>
        <v>PARE</v>
      </c>
      <c r="D107" s="4" t="str">
        <f t="shared" si="46"/>
        <v>PARE</v>
      </c>
      <c r="E107" s="4" t="str">
        <f t="shared" si="47"/>
        <v>PARE</v>
      </c>
      <c r="F107" s="4" t="str">
        <f t="shared" si="48"/>
        <v>PARE</v>
      </c>
      <c r="G107" s="4" t="str">
        <f t="shared" si="49"/>
        <v>PARE</v>
      </c>
      <c r="H107" s="4" t="str">
        <f t="shared" si="50"/>
        <v>PARE</v>
      </c>
      <c r="I107" s="4" t="str">
        <f t="shared" si="51"/>
        <v>PARE</v>
      </c>
      <c r="J107" s="4" t="str">
        <f t="shared" si="52"/>
        <v>PARE</v>
      </c>
      <c r="K107" s="4" t="str">
        <f t="shared" si="53"/>
        <v>PARE</v>
      </c>
      <c r="L107" s="4" t="str">
        <f t="shared" si="54"/>
        <v>PARE</v>
      </c>
    </row>
    <row r="108" spans="2:12">
      <c r="B108" s="2" t="s">
        <v>24</v>
      </c>
      <c r="C108" s="4" t="str">
        <f t="shared" si="45"/>
        <v>PARE</v>
      </c>
      <c r="D108" s="4" t="str">
        <f t="shared" si="46"/>
        <v>PARE</v>
      </c>
      <c r="E108" s="4" t="str">
        <f t="shared" si="47"/>
        <v>PARE</v>
      </c>
      <c r="F108" s="4" t="str">
        <f t="shared" si="48"/>
        <v>PARE</v>
      </c>
      <c r="G108" s="4" t="str">
        <f t="shared" si="49"/>
        <v>PARE</v>
      </c>
      <c r="H108" s="4" t="str">
        <f t="shared" si="50"/>
        <v>PARE</v>
      </c>
      <c r="I108" s="4" t="str">
        <f t="shared" si="51"/>
        <v>PARE</v>
      </c>
      <c r="J108" s="4" t="str">
        <f t="shared" si="52"/>
        <v>PARE</v>
      </c>
      <c r="K108" s="4" t="str">
        <f t="shared" si="53"/>
        <v>PARE</v>
      </c>
      <c r="L108" s="4" t="str">
        <f t="shared" si="54"/>
        <v>PARE</v>
      </c>
    </row>
    <row r="109" spans="2:12">
      <c r="B109" s="2" t="s">
        <v>25</v>
      </c>
      <c r="C109" s="4" t="str">
        <f t="shared" si="45"/>
        <v>PARE</v>
      </c>
      <c r="D109" s="4" t="str">
        <f t="shared" si="46"/>
        <v>PARE</v>
      </c>
      <c r="E109" s="4" t="str">
        <f t="shared" si="47"/>
        <v>PARE</v>
      </c>
      <c r="F109" s="4" t="str">
        <f t="shared" si="48"/>
        <v>PARE</v>
      </c>
      <c r="G109" s="4" t="str">
        <f t="shared" si="49"/>
        <v>PARE</v>
      </c>
      <c r="H109" s="4" t="str">
        <f t="shared" si="50"/>
        <v>PARE</v>
      </c>
      <c r="I109" s="4" t="str">
        <f t="shared" si="51"/>
        <v>PARE</v>
      </c>
      <c r="J109" s="4" t="str">
        <f t="shared" si="52"/>
        <v>PARE</v>
      </c>
      <c r="K109" s="4" t="str">
        <f t="shared" si="53"/>
        <v>PARE</v>
      </c>
      <c r="L109" s="4" t="str">
        <f t="shared" si="54"/>
        <v>PARE</v>
      </c>
    </row>
    <row r="110" spans="2:12">
      <c r="B110" s="2" t="s">
        <v>26</v>
      </c>
      <c r="C110" s="4" t="str">
        <f t="shared" si="45"/>
        <v>PARE</v>
      </c>
      <c r="D110" s="4" t="str">
        <f t="shared" si="46"/>
        <v>PARE</v>
      </c>
      <c r="E110" s="4" t="str">
        <f t="shared" si="47"/>
        <v>PARE</v>
      </c>
      <c r="F110" s="4" t="str">
        <f t="shared" si="48"/>
        <v>PARE</v>
      </c>
      <c r="G110" s="4" t="str">
        <f t="shared" si="49"/>
        <v>PARE</v>
      </c>
      <c r="H110" s="4" t="str">
        <f t="shared" si="50"/>
        <v>PARE</v>
      </c>
      <c r="I110" s="4" t="str">
        <f t="shared" si="51"/>
        <v>PARE</v>
      </c>
      <c r="J110" s="4" t="str">
        <f t="shared" si="52"/>
        <v>PARE</v>
      </c>
      <c r="K110" s="4" t="str">
        <f t="shared" si="53"/>
        <v>PARE</v>
      </c>
      <c r="L110" s="4" t="str">
        <f t="shared" si="54"/>
        <v>PARE</v>
      </c>
    </row>
    <row r="111" spans="2:12">
      <c r="B111" s="2" t="s">
        <v>27</v>
      </c>
      <c r="C111" s="4" t="str">
        <f t="shared" si="45"/>
        <v>PEÇA</v>
      </c>
      <c r="D111" s="4" t="str">
        <f t="shared" si="46"/>
        <v>PEÇA</v>
      </c>
      <c r="E111" s="4" t="str">
        <f t="shared" si="47"/>
        <v>PEÇA</v>
      </c>
      <c r="F111" s="4" t="str">
        <f t="shared" si="48"/>
        <v>DOBRE</v>
      </c>
      <c r="G111" s="4" t="str">
        <f t="shared" si="49"/>
        <v>DOBRE</v>
      </c>
      <c r="H111" s="4" t="str">
        <f t="shared" si="50"/>
        <v>PEÇA</v>
      </c>
      <c r="I111" s="4" t="str">
        <f t="shared" si="51"/>
        <v>PEÇA</v>
      </c>
      <c r="J111" s="4" t="str">
        <f t="shared" si="52"/>
        <v>PEÇA</v>
      </c>
      <c r="K111" s="4" t="str">
        <f t="shared" si="53"/>
        <v>PEÇA</v>
      </c>
      <c r="L111" s="4" t="str">
        <f t="shared" si="54"/>
        <v>PEÇA</v>
      </c>
    </row>
    <row r="112" spans="2:12">
      <c r="B112" s="2" t="s">
        <v>28</v>
      </c>
      <c r="C112" s="4" t="str">
        <f t="shared" si="45"/>
        <v>PEÇA</v>
      </c>
      <c r="D112" s="4" t="str">
        <f t="shared" si="46"/>
        <v>PEÇA</v>
      </c>
      <c r="E112" s="4" t="str">
        <f t="shared" si="47"/>
        <v>DOBRE</v>
      </c>
      <c r="F112" s="4" t="str">
        <f t="shared" si="48"/>
        <v>DOBRE</v>
      </c>
      <c r="G112" s="4" t="str">
        <f t="shared" si="49"/>
        <v>DOBRE</v>
      </c>
      <c r="H112" s="4" t="str">
        <f t="shared" si="50"/>
        <v>PEÇA</v>
      </c>
      <c r="I112" s="4" t="str">
        <f t="shared" si="51"/>
        <v>PEÇA</v>
      </c>
      <c r="J112" s="4" t="str">
        <f t="shared" si="52"/>
        <v>PEÇA</v>
      </c>
      <c r="K112" s="4" t="str">
        <f t="shared" si="53"/>
        <v>PEÇA</v>
      </c>
      <c r="L112" s="4" t="str">
        <f t="shared" si="54"/>
        <v>PEÇA</v>
      </c>
    </row>
    <row r="113" spans="2:12">
      <c r="B113" s="2" t="s">
        <v>29</v>
      </c>
      <c r="C113" s="4" t="str">
        <f t="shared" si="45"/>
        <v>PEÇA</v>
      </c>
      <c r="D113" s="4" t="str">
        <f t="shared" si="46"/>
        <v>DOBRE</v>
      </c>
      <c r="E113" s="4" t="str">
        <f t="shared" si="47"/>
        <v>DOBRE</v>
      </c>
      <c r="F113" s="4" t="str">
        <f t="shared" si="48"/>
        <v>DOBRE</v>
      </c>
      <c r="G113" s="4" t="str">
        <f t="shared" si="49"/>
        <v>DOBRE</v>
      </c>
      <c r="H113" s="4" t="str">
        <f t="shared" si="50"/>
        <v>PEÇA</v>
      </c>
      <c r="I113" s="4" t="str">
        <f t="shared" si="51"/>
        <v>PEÇA</v>
      </c>
      <c r="J113" s="4" t="str">
        <f t="shared" si="52"/>
        <v>PEÇA</v>
      </c>
      <c r="K113" s="4" t="str">
        <f t="shared" si="53"/>
        <v>PEÇA</v>
      </c>
      <c r="L113" s="4" t="str">
        <f t="shared" si="54"/>
        <v>PEÇA</v>
      </c>
    </row>
    <row r="114" spans="2:12">
      <c r="B114" s="2" t="s">
        <v>30</v>
      </c>
      <c r="C114" s="4" t="str">
        <f t="shared" si="45"/>
        <v>DOBRE</v>
      </c>
      <c r="D114" s="4" t="str">
        <f t="shared" si="46"/>
        <v>DOBRE</v>
      </c>
      <c r="E114" s="4" t="str">
        <f t="shared" si="47"/>
        <v>DOBRE</v>
      </c>
      <c r="F114" s="4" t="str">
        <f t="shared" si="48"/>
        <v>DOBRE</v>
      </c>
      <c r="G114" s="4" t="str">
        <f t="shared" si="49"/>
        <v>DOBRE</v>
      </c>
      <c r="H114" s="4" t="str">
        <f t="shared" si="50"/>
        <v>PEÇA</v>
      </c>
      <c r="I114" s="4" t="str">
        <f t="shared" si="51"/>
        <v>PEÇA</v>
      </c>
      <c r="J114" s="4" t="str">
        <f t="shared" si="52"/>
        <v>PEÇA</v>
      </c>
      <c r="K114" s="4" t="str">
        <f t="shared" si="53"/>
        <v>PEÇA</v>
      </c>
      <c r="L114" s="4" t="str">
        <f t="shared" si="54"/>
        <v>PEÇA</v>
      </c>
    </row>
    <row r="115" spans="2:12">
      <c r="B115" s="2" t="s">
        <v>31</v>
      </c>
      <c r="C115" s="4" t="str">
        <f t="shared" si="45"/>
        <v>DOBRE</v>
      </c>
      <c r="D115" s="4" t="str">
        <f t="shared" si="46"/>
        <v>DOBRE</v>
      </c>
      <c r="E115" s="4" t="str">
        <f t="shared" si="47"/>
        <v>DOBRE</v>
      </c>
      <c r="F115" s="4" t="str">
        <f t="shared" si="48"/>
        <v>DOBRE</v>
      </c>
      <c r="G115" s="4" t="str">
        <f t="shared" si="49"/>
        <v>DOBRE</v>
      </c>
      <c r="H115" s="4" t="str">
        <f t="shared" si="50"/>
        <v>PEÇA</v>
      </c>
      <c r="I115" s="4" t="str">
        <f t="shared" si="51"/>
        <v>PEÇA</v>
      </c>
      <c r="J115" s="4" t="str">
        <f t="shared" si="52"/>
        <v>PEÇA</v>
      </c>
      <c r="K115" s="4" t="str">
        <f t="shared" si="53"/>
        <v>PEÇA</v>
      </c>
      <c r="L115" s="4" t="str">
        <f t="shared" si="54"/>
        <v>PEÇA</v>
      </c>
    </row>
    <row r="116" spans="2:12">
      <c r="B116" s="2" t="s">
        <v>32</v>
      </c>
      <c r="C116" s="4" t="str">
        <f t="shared" si="45"/>
        <v>DOBRE</v>
      </c>
      <c r="D116" s="4" t="str">
        <f t="shared" si="46"/>
        <v>DOBRE</v>
      </c>
      <c r="E116" s="4" t="str">
        <f t="shared" si="47"/>
        <v>DOBRE</v>
      </c>
      <c r="F116" s="4" t="str">
        <f t="shared" si="48"/>
        <v>DOBRE</v>
      </c>
      <c r="G116" s="4" t="str">
        <f t="shared" si="49"/>
        <v>DOBRE</v>
      </c>
      <c r="H116" s="4" t="str">
        <f t="shared" si="50"/>
        <v>DOBRE</v>
      </c>
      <c r="I116" s="4" t="str">
        <f t="shared" si="51"/>
        <v>DOBRE</v>
      </c>
      <c r="J116" s="4" t="str">
        <f t="shared" si="52"/>
        <v>DOBRE</v>
      </c>
      <c r="K116" s="4" t="str">
        <f t="shared" si="53"/>
        <v>PARE</v>
      </c>
      <c r="L116" s="4" t="str">
        <f t="shared" si="54"/>
        <v>PARE</v>
      </c>
    </row>
    <row r="117" spans="2:12">
      <c r="B117" s="2" t="s">
        <v>33</v>
      </c>
      <c r="C117" s="4" t="str">
        <f t="shared" si="45"/>
        <v>PARE</v>
      </c>
      <c r="D117" s="4" t="str">
        <f t="shared" si="46"/>
        <v>DOBRE</v>
      </c>
      <c r="E117" s="4" t="str">
        <f t="shared" si="47"/>
        <v>DOBRE</v>
      </c>
      <c r="F117" s="4" t="str">
        <f t="shared" si="48"/>
        <v>DOBRE</v>
      </c>
      <c r="G117" s="4" t="str">
        <f t="shared" si="49"/>
        <v>DOBRE</v>
      </c>
      <c r="H117" s="4" t="str">
        <f t="shared" si="50"/>
        <v>PARE</v>
      </c>
      <c r="I117" s="4" t="str">
        <f t="shared" si="51"/>
        <v>PARE</v>
      </c>
      <c r="J117" s="4" t="str">
        <f t="shared" si="52"/>
        <v>PARE</v>
      </c>
      <c r="K117" s="4" t="str">
        <f t="shared" si="53"/>
        <v>PARE</v>
      </c>
      <c r="L117" s="4" t="str">
        <f t="shared" si="54"/>
        <v>PARE</v>
      </c>
    </row>
    <row r="118" spans="2:12">
      <c r="B118" s="2" t="s">
        <v>34</v>
      </c>
      <c r="C118" s="4" t="str">
        <f t="shared" si="45"/>
        <v>PARE</v>
      </c>
      <c r="D118" s="4" t="str">
        <f t="shared" si="46"/>
        <v>PARE</v>
      </c>
      <c r="E118" s="4" t="str">
        <f t="shared" si="47"/>
        <v>PARE</v>
      </c>
      <c r="F118" s="4" t="str">
        <f t="shared" si="48"/>
        <v>PARE</v>
      </c>
      <c r="G118" s="4" t="str">
        <f t="shared" si="49"/>
        <v>PARE</v>
      </c>
      <c r="H118" s="4" t="str">
        <f t="shared" si="50"/>
        <v>PARE</v>
      </c>
      <c r="I118" s="4" t="str">
        <f t="shared" si="51"/>
        <v>PARE</v>
      </c>
      <c r="J118" s="4" t="str">
        <f t="shared" si="52"/>
        <v>PARE</v>
      </c>
      <c r="K118" s="4" t="str">
        <f t="shared" si="53"/>
        <v>PARE</v>
      </c>
      <c r="L118" s="4" t="str">
        <f t="shared" si="54"/>
        <v>PARE</v>
      </c>
    </row>
    <row r="119" spans="2:12">
      <c r="B119" s="2" t="s">
        <v>35</v>
      </c>
      <c r="C119" s="4" t="str">
        <f t="shared" si="45"/>
        <v>PARE</v>
      </c>
      <c r="D119" s="4" t="str">
        <f t="shared" si="46"/>
        <v>PARE</v>
      </c>
      <c r="E119" s="4" t="str">
        <f t="shared" si="47"/>
        <v>PARE</v>
      </c>
      <c r="F119" s="4" t="str">
        <f t="shared" si="48"/>
        <v>PARE</v>
      </c>
      <c r="G119" s="4" t="str">
        <f t="shared" si="49"/>
        <v>PARE</v>
      </c>
      <c r="H119" s="4" t="str">
        <f t="shared" si="50"/>
        <v>PARE</v>
      </c>
      <c r="I119" s="4" t="str">
        <f t="shared" si="51"/>
        <v>PARE</v>
      </c>
      <c r="J119" s="4" t="str">
        <f t="shared" si="52"/>
        <v>PARE</v>
      </c>
      <c r="K119" s="4" t="str">
        <f t="shared" si="53"/>
        <v>PARE</v>
      </c>
      <c r="L119" s="4" t="str">
        <f t="shared" si="54"/>
        <v>PARE</v>
      </c>
    </row>
    <row r="120" spans="2:12">
      <c r="B120" s="2" t="s">
        <v>36</v>
      </c>
      <c r="C120" s="4" t="str">
        <f t="shared" si="45"/>
        <v>DOBRE</v>
      </c>
      <c r="D120" s="4" t="str">
        <f t="shared" si="46"/>
        <v>DOBRE</v>
      </c>
      <c r="E120" s="4" t="str">
        <f t="shared" si="47"/>
        <v>DOBRE</v>
      </c>
      <c r="F120" s="4" t="str">
        <f t="shared" si="48"/>
        <v>DOBRE</v>
      </c>
      <c r="G120" s="4" t="str">
        <f t="shared" si="49"/>
        <v>DOBRE</v>
      </c>
      <c r="H120" s="4" t="str">
        <f t="shared" si="50"/>
        <v>DOBRE</v>
      </c>
      <c r="I120" s="4" t="str">
        <f t="shared" si="51"/>
        <v>DOBRE</v>
      </c>
      <c r="J120" s="4" t="str">
        <f t="shared" si="52"/>
        <v>DOBRE</v>
      </c>
      <c r="K120" s="4" t="str">
        <f t="shared" si="53"/>
        <v>DOBRE</v>
      </c>
      <c r="L120" s="4" t="str">
        <f t="shared" si="54"/>
        <v>DOBRE</v>
      </c>
    </row>
  </sheetData>
  <mergeCells count="180">
    <mergeCell ref="AL1:AX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U22:AV22"/>
    <mergeCell ref="AU23:AV23"/>
    <mergeCell ref="AU24:AV24"/>
    <mergeCell ref="AU25:AV25"/>
    <mergeCell ref="AU26:AV26"/>
    <mergeCell ref="AU27:AV27"/>
    <mergeCell ref="AU28:AV28"/>
    <mergeCell ref="AU29:AV29"/>
    <mergeCell ref="AU30:AV30"/>
    <mergeCell ref="AS24:AT24"/>
    <mergeCell ref="AS25:AT25"/>
    <mergeCell ref="AS26:AT26"/>
    <mergeCell ref="AS27:AT27"/>
    <mergeCell ref="AS28:AT28"/>
    <mergeCell ref="AS29:AT29"/>
    <mergeCell ref="AS30:AT30"/>
    <mergeCell ref="AU3:AV3"/>
    <mergeCell ref="AU4:AV4"/>
    <mergeCell ref="AU5:AV5"/>
    <mergeCell ref="AU6:AV6"/>
    <mergeCell ref="AU7:AV7"/>
    <mergeCell ref="AU8:AV8"/>
    <mergeCell ref="AU9:AV9"/>
    <mergeCell ref="AU10:AV10"/>
    <mergeCell ref="AU11:AV11"/>
    <mergeCell ref="AU12:AV12"/>
    <mergeCell ref="AU13:AV13"/>
    <mergeCell ref="AU14:AV14"/>
    <mergeCell ref="AU15:AV15"/>
    <mergeCell ref="AU16:AV16"/>
    <mergeCell ref="AU17:AV17"/>
    <mergeCell ref="AU18:AV18"/>
    <mergeCell ref="AU19:AV19"/>
    <mergeCell ref="AQ24:AR24"/>
    <mergeCell ref="AQ25:AR25"/>
    <mergeCell ref="AQ26:AR26"/>
    <mergeCell ref="AQ27:AR27"/>
    <mergeCell ref="AQ28:AR28"/>
    <mergeCell ref="AQ29:AR29"/>
    <mergeCell ref="AQ30:AR30"/>
    <mergeCell ref="AQ3:AR3"/>
    <mergeCell ref="AS3:AT3"/>
    <mergeCell ref="AS4:AT4"/>
    <mergeCell ref="AS5:AT5"/>
    <mergeCell ref="AS6:AT6"/>
    <mergeCell ref="AS7:AT7"/>
    <mergeCell ref="AS8:AT8"/>
    <mergeCell ref="AS9:AT9"/>
    <mergeCell ref="AS10:AT10"/>
    <mergeCell ref="AS11:AT11"/>
    <mergeCell ref="AS12:AT12"/>
    <mergeCell ref="AS13:AT13"/>
    <mergeCell ref="AS14:AT14"/>
    <mergeCell ref="AS15:AT15"/>
    <mergeCell ref="AS16:AT16"/>
    <mergeCell ref="AS17:AT17"/>
    <mergeCell ref="AS18:AT18"/>
    <mergeCell ref="AO26:AP26"/>
    <mergeCell ref="AO27:AP27"/>
    <mergeCell ref="AO28:AP28"/>
    <mergeCell ref="AO29:AP29"/>
    <mergeCell ref="AO30:AP30"/>
    <mergeCell ref="AQ4:AR4"/>
    <mergeCell ref="AQ5:AR5"/>
    <mergeCell ref="AQ6:AR6"/>
    <mergeCell ref="AQ7:AR7"/>
    <mergeCell ref="AQ8:AR8"/>
    <mergeCell ref="AQ9:AR9"/>
    <mergeCell ref="AQ10:AR10"/>
    <mergeCell ref="AQ11:AR11"/>
    <mergeCell ref="AQ12:AR12"/>
    <mergeCell ref="AQ13:AR13"/>
    <mergeCell ref="AQ14:AR14"/>
    <mergeCell ref="AQ15:AR15"/>
    <mergeCell ref="AQ16:AR16"/>
    <mergeCell ref="AQ17:AR17"/>
    <mergeCell ref="AQ18:AR18"/>
    <mergeCell ref="AQ19:AR19"/>
    <mergeCell ref="AQ20:AR20"/>
    <mergeCell ref="AQ21:AR21"/>
    <mergeCell ref="AQ22:AR22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5:AP25"/>
    <mergeCell ref="AM3:AN3"/>
    <mergeCell ref="AM2:AR2"/>
    <mergeCell ref="AS2:AX2"/>
    <mergeCell ref="AO3:AP3"/>
    <mergeCell ref="AO4:AP4"/>
    <mergeCell ref="AO5:AP5"/>
    <mergeCell ref="AO6:AP6"/>
    <mergeCell ref="AO7:AP7"/>
    <mergeCell ref="AO8:AP8"/>
    <mergeCell ref="AW4:AX4"/>
    <mergeCell ref="AW5:AX5"/>
    <mergeCell ref="AW6:AX6"/>
    <mergeCell ref="AW7:AX7"/>
    <mergeCell ref="AW8:AX8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4:AN4"/>
    <mergeCell ref="AM5:AN5"/>
    <mergeCell ref="AM6:AN6"/>
    <mergeCell ref="AM7:AN7"/>
    <mergeCell ref="AM8:AN8"/>
    <mergeCell ref="AM9:AN9"/>
    <mergeCell ref="AM10:AN10"/>
    <mergeCell ref="AM11:AN11"/>
    <mergeCell ref="AM12:AN12"/>
    <mergeCell ref="B92:L92"/>
    <mergeCell ref="AS19:AT19"/>
    <mergeCell ref="AS20:AT20"/>
    <mergeCell ref="AS21:AT21"/>
    <mergeCell ref="AU20:AV20"/>
    <mergeCell ref="AU21:AV21"/>
    <mergeCell ref="AW18:AX18"/>
    <mergeCell ref="AW19:AX19"/>
    <mergeCell ref="AW20:AX20"/>
    <mergeCell ref="AW21:AX21"/>
    <mergeCell ref="AQ23:AR23"/>
    <mergeCell ref="AS22:AT22"/>
    <mergeCell ref="AS23:AT23"/>
    <mergeCell ref="AO9:AP9"/>
    <mergeCell ref="AO10:AP10"/>
    <mergeCell ref="AO11:AP11"/>
    <mergeCell ref="AO12:AP12"/>
    <mergeCell ref="AO13:AP13"/>
    <mergeCell ref="AO14:AP14"/>
    <mergeCell ref="AO15:AP15"/>
    <mergeCell ref="AO16:AP16"/>
    <mergeCell ref="B62:L62"/>
    <mergeCell ref="B2:L2"/>
    <mergeCell ref="N2:X2"/>
    <mergeCell ref="Z2:AJ2"/>
    <mergeCell ref="B32:L32"/>
    <mergeCell ref="N32:X32"/>
    <mergeCell ref="Z32:AJ32"/>
    <mergeCell ref="N62:X62"/>
    <mergeCell ref="Z62:AJ62"/>
  </mergeCells>
  <conditionalFormatting sqref="C4:L3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X3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:AJ30">
    <cfRule type="colorScale" priority="18">
      <colorScale>
        <cfvo type="min"/>
        <cfvo type="max"/>
        <color rgb="FFFCFCFF"/>
        <color rgb="FF63BE7B"/>
      </colorScale>
    </cfRule>
  </conditionalFormatting>
  <conditionalFormatting sqref="C34:L6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4:X6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4:AJ60">
    <cfRule type="colorScale" priority="15">
      <colorScale>
        <cfvo type="min"/>
        <cfvo type="max"/>
        <color rgb="FFFCFCFF"/>
        <color rgb="FF63BE7B"/>
      </colorScale>
    </cfRule>
  </conditionalFormatting>
  <conditionalFormatting sqref="C64:L9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:AM3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4:AO3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Q3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:AS3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:AW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4:X9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4:AJ9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4:L1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4:L120">
    <cfRule type="cellIs" dxfId="1" priority="2" operator="equal">
      <formula>"DOBRE"</formula>
    </cfRule>
  </conditionalFormatting>
  <conditionalFormatting sqref="C94:L120">
    <cfRule type="cellIs" dxfId="0" priority="1" operator="equal">
      <formula>"PEÇA"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Jonas Travassos</cp:lastModifiedBy>
  <cp:revision/>
  <dcterms:created xsi:type="dcterms:W3CDTF">2026-02-13T03:29:13Z</dcterms:created>
  <dcterms:modified xsi:type="dcterms:W3CDTF">2026-02-14T03:27:14Z</dcterms:modified>
  <cp:category/>
  <cp:contentStatus/>
</cp:coreProperties>
</file>