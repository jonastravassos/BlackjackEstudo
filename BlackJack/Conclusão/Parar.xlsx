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429" documentId="11_67673F1B905D240E62355476585DCE3A37C1094E" xr6:coauthVersionLast="47" xr6:coauthVersionMax="47" xr10:uidLastSave="{0AAF21B4-B751-4BDD-A7E9-8B54EE6613B0}"/>
  <bookViews>
    <workbookView xWindow="0" yWindow="0" windowWidth="0" windowHeight="0" xr2:uid="{00000000-000D-0000-FFFF-FFFF00000000}"/>
  </bookViews>
  <sheets>
    <sheet name="Parar Em Du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4" i="1" l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64" i="1"/>
  <c r="AA34" i="1"/>
  <c r="AB34" i="1"/>
  <c r="AC34" i="1"/>
  <c r="AD34" i="1"/>
  <c r="AE34" i="1"/>
  <c r="AF34" i="1"/>
  <c r="AG34" i="1"/>
  <c r="AH34" i="1"/>
  <c r="AI34" i="1"/>
  <c r="AJ34" i="1"/>
  <c r="AA35" i="1"/>
  <c r="AB35" i="1"/>
  <c r="AC35" i="1"/>
  <c r="AD35" i="1"/>
  <c r="AE35" i="1"/>
  <c r="AF35" i="1"/>
  <c r="AG35" i="1"/>
  <c r="AH35" i="1"/>
  <c r="AI35" i="1"/>
  <c r="AJ35" i="1"/>
  <c r="AA36" i="1"/>
  <c r="AB36" i="1"/>
  <c r="AC36" i="1"/>
  <c r="AD36" i="1"/>
  <c r="AE36" i="1"/>
  <c r="AF36" i="1"/>
  <c r="AG36" i="1"/>
  <c r="AH36" i="1"/>
  <c r="AI36" i="1"/>
  <c r="AJ36" i="1"/>
  <c r="AA37" i="1"/>
  <c r="AB37" i="1"/>
  <c r="AC37" i="1"/>
  <c r="AD37" i="1"/>
  <c r="AE37" i="1"/>
  <c r="AF37" i="1"/>
  <c r="AG37" i="1"/>
  <c r="AH37" i="1"/>
  <c r="AI37" i="1"/>
  <c r="AJ37" i="1"/>
  <c r="AA38" i="1"/>
  <c r="AB38" i="1"/>
  <c r="AC38" i="1"/>
  <c r="AD38" i="1"/>
  <c r="AE38" i="1"/>
  <c r="AF38" i="1"/>
  <c r="AG38" i="1"/>
  <c r="AH38" i="1"/>
  <c r="AI38" i="1"/>
  <c r="AJ38" i="1"/>
  <c r="AA39" i="1"/>
  <c r="AB39" i="1"/>
  <c r="AC39" i="1"/>
  <c r="AD39" i="1"/>
  <c r="AE39" i="1"/>
  <c r="AF39" i="1"/>
  <c r="AG39" i="1"/>
  <c r="AH39" i="1"/>
  <c r="AI39" i="1"/>
  <c r="AJ39" i="1"/>
  <c r="AA40" i="1"/>
  <c r="AB40" i="1"/>
  <c r="AC40" i="1"/>
  <c r="AD40" i="1"/>
  <c r="AE40" i="1"/>
  <c r="AF40" i="1"/>
  <c r="AG40" i="1"/>
  <c r="AH40" i="1"/>
  <c r="AI40" i="1"/>
  <c r="AJ40" i="1"/>
  <c r="AA41" i="1"/>
  <c r="AB41" i="1"/>
  <c r="AC41" i="1"/>
  <c r="AD41" i="1"/>
  <c r="AE41" i="1"/>
  <c r="AF41" i="1"/>
  <c r="AG41" i="1"/>
  <c r="AH41" i="1"/>
  <c r="AI41" i="1"/>
  <c r="AJ41" i="1"/>
  <c r="AA42" i="1"/>
  <c r="AB42" i="1"/>
  <c r="AC42" i="1"/>
  <c r="AD42" i="1"/>
  <c r="AE42" i="1"/>
  <c r="AF42" i="1"/>
  <c r="AG42" i="1"/>
  <c r="AH42" i="1"/>
  <c r="AI42" i="1"/>
  <c r="AJ42" i="1"/>
  <c r="AA43" i="1"/>
  <c r="AB43" i="1"/>
  <c r="AC43" i="1"/>
  <c r="AD43" i="1"/>
  <c r="AE43" i="1"/>
  <c r="AF43" i="1"/>
  <c r="AG43" i="1"/>
  <c r="AH43" i="1"/>
  <c r="AI43" i="1"/>
  <c r="AJ43" i="1"/>
  <c r="AA44" i="1"/>
  <c r="AB44" i="1"/>
  <c r="AC44" i="1"/>
  <c r="AD44" i="1"/>
  <c r="AE44" i="1"/>
  <c r="AF44" i="1"/>
  <c r="AG44" i="1"/>
  <c r="AH44" i="1"/>
  <c r="AI44" i="1"/>
  <c r="AJ44" i="1"/>
  <c r="AA45" i="1"/>
  <c r="AB45" i="1"/>
  <c r="AC45" i="1"/>
  <c r="AD45" i="1"/>
  <c r="AE45" i="1"/>
  <c r="AF45" i="1"/>
  <c r="AG45" i="1"/>
  <c r="AH45" i="1"/>
  <c r="AI45" i="1"/>
  <c r="AJ45" i="1"/>
  <c r="AA46" i="1"/>
  <c r="AB46" i="1"/>
  <c r="AC46" i="1"/>
  <c r="AD46" i="1"/>
  <c r="AE46" i="1"/>
  <c r="AF46" i="1"/>
  <c r="AG46" i="1"/>
  <c r="AH46" i="1"/>
  <c r="AI46" i="1"/>
  <c r="AJ46" i="1"/>
  <c r="AA47" i="1"/>
  <c r="AB47" i="1"/>
  <c r="AC47" i="1"/>
  <c r="AD47" i="1"/>
  <c r="AE47" i="1"/>
  <c r="AF47" i="1"/>
  <c r="AG47" i="1"/>
  <c r="AH47" i="1"/>
  <c r="AI47" i="1"/>
  <c r="AJ47" i="1"/>
  <c r="AA48" i="1"/>
  <c r="AB48" i="1"/>
  <c r="AC48" i="1"/>
  <c r="AD48" i="1"/>
  <c r="AE48" i="1"/>
  <c r="AF48" i="1"/>
  <c r="AG48" i="1"/>
  <c r="AH48" i="1"/>
  <c r="AI48" i="1"/>
  <c r="AJ48" i="1"/>
  <c r="AA49" i="1"/>
  <c r="AB49" i="1"/>
  <c r="AC49" i="1"/>
  <c r="AD49" i="1"/>
  <c r="AE49" i="1"/>
  <c r="AF49" i="1"/>
  <c r="AG49" i="1"/>
  <c r="AH49" i="1"/>
  <c r="AI49" i="1"/>
  <c r="AJ49" i="1"/>
  <c r="AA50" i="1"/>
  <c r="AB50" i="1"/>
  <c r="AC50" i="1"/>
  <c r="AD50" i="1"/>
  <c r="AE50" i="1"/>
  <c r="AF50" i="1"/>
  <c r="AG50" i="1"/>
  <c r="AH50" i="1"/>
  <c r="AI50" i="1"/>
  <c r="AJ50" i="1"/>
  <c r="AA51" i="1"/>
  <c r="AB51" i="1"/>
  <c r="AC51" i="1"/>
  <c r="AD51" i="1"/>
  <c r="AE51" i="1"/>
  <c r="AF51" i="1"/>
  <c r="AG51" i="1"/>
  <c r="AH51" i="1"/>
  <c r="AI51" i="1"/>
  <c r="AJ51" i="1"/>
  <c r="AA52" i="1"/>
  <c r="AB52" i="1"/>
  <c r="AC52" i="1"/>
  <c r="AD52" i="1"/>
  <c r="AE52" i="1"/>
  <c r="AF52" i="1"/>
  <c r="AG52" i="1"/>
  <c r="AH52" i="1"/>
  <c r="AI52" i="1"/>
  <c r="AJ52" i="1"/>
  <c r="AA53" i="1"/>
  <c r="AB53" i="1"/>
  <c r="AC53" i="1"/>
  <c r="AD53" i="1"/>
  <c r="AE53" i="1"/>
  <c r="AF53" i="1"/>
  <c r="AG53" i="1"/>
  <c r="AH53" i="1"/>
  <c r="AI53" i="1"/>
  <c r="AJ53" i="1"/>
  <c r="AA54" i="1"/>
  <c r="AB54" i="1"/>
  <c r="AC54" i="1"/>
  <c r="AD54" i="1"/>
  <c r="AE54" i="1"/>
  <c r="AF54" i="1"/>
  <c r="AG54" i="1"/>
  <c r="AH54" i="1"/>
  <c r="AI54" i="1"/>
  <c r="AJ54" i="1"/>
  <c r="AA55" i="1"/>
  <c r="AB55" i="1"/>
  <c r="AC55" i="1"/>
  <c r="AD55" i="1"/>
  <c r="AE55" i="1"/>
  <c r="AF55" i="1"/>
  <c r="AG55" i="1"/>
  <c r="AH55" i="1"/>
  <c r="AI55" i="1"/>
  <c r="AJ55" i="1"/>
  <c r="AA56" i="1"/>
  <c r="AB56" i="1"/>
  <c r="AC56" i="1"/>
  <c r="AD56" i="1"/>
  <c r="AE56" i="1"/>
  <c r="AF56" i="1"/>
  <c r="AG56" i="1"/>
  <c r="AH56" i="1"/>
  <c r="AI56" i="1"/>
  <c r="AJ56" i="1"/>
  <c r="AA57" i="1"/>
  <c r="AB57" i="1"/>
  <c r="AC57" i="1"/>
  <c r="AD57" i="1"/>
  <c r="AE57" i="1"/>
  <c r="AF57" i="1"/>
  <c r="AG57" i="1"/>
  <c r="AH57" i="1"/>
  <c r="AI57" i="1"/>
  <c r="AJ57" i="1"/>
  <c r="AA58" i="1"/>
  <c r="AB58" i="1"/>
  <c r="AC58" i="1"/>
  <c r="AD58" i="1"/>
  <c r="AE58" i="1"/>
  <c r="AF58" i="1"/>
  <c r="AG58" i="1"/>
  <c r="AH58" i="1"/>
  <c r="AI58" i="1"/>
  <c r="AJ58" i="1"/>
  <c r="AA59" i="1"/>
  <c r="AB59" i="1"/>
  <c r="AC59" i="1"/>
  <c r="AD59" i="1"/>
  <c r="AE59" i="1"/>
  <c r="AF59" i="1"/>
  <c r="AG59" i="1"/>
  <c r="AH59" i="1"/>
  <c r="AI59" i="1"/>
  <c r="AJ59" i="1"/>
  <c r="AB33" i="1"/>
  <c r="AC33" i="1"/>
  <c r="AD33" i="1"/>
  <c r="AE33" i="1"/>
  <c r="AF33" i="1"/>
  <c r="AG33" i="1"/>
  <c r="AH33" i="1"/>
  <c r="AI33" i="1"/>
  <c r="AJ33" i="1"/>
  <c r="AA33" i="1"/>
  <c r="O34" i="1"/>
  <c r="P34" i="1"/>
  <c r="Q34" i="1"/>
  <c r="R34" i="1"/>
  <c r="S34" i="1"/>
  <c r="T34" i="1"/>
  <c r="U34" i="1"/>
  <c r="V34" i="1"/>
  <c r="W34" i="1"/>
  <c r="X34" i="1"/>
  <c r="O35" i="1"/>
  <c r="P35" i="1"/>
  <c r="Q35" i="1"/>
  <c r="R35" i="1"/>
  <c r="S35" i="1"/>
  <c r="T35" i="1"/>
  <c r="U35" i="1"/>
  <c r="V35" i="1"/>
  <c r="W35" i="1"/>
  <c r="X35" i="1"/>
  <c r="O36" i="1"/>
  <c r="P36" i="1"/>
  <c r="Q36" i="1"/>
  <c r="R36" i="1"/>
  <c r="S36" i="1"/>
  <c r="T36" i="1"/>
  <c r="U36" i="1"/>
  <c r="V36" i="1"/>
  <c r="W36" i="1"/>
  <c r="X36" i="1"/>
  <c r="O37" i="1"/>
  <c r="P37" i="1"/>
  <c r="Q37" i="1"/>
  <c r="R37" i="1"/>
  <c r="S37" i="1"/>
  <c r="T37" i="1"/>
  <c r="U37" i="1"/>
  <c r="V37" i="1"/>
  <c r="W37" i="1"/>
  <c r="X37" i="1"/>
  <c r="O38" i="1"/>
  <c r="P38" i="1"/>
  <c r="Q38" i="1"/>
  <c r="R38" i="1"/>
  <c r="S38" i="1"/>
  <c r="T38" i="1"/>
  <c r="U38" i="1"/>
  <c r="V38" i="1"/>
  <c r="W38" i="1"/>
  <c r="X38" i="1"/>
  <c r="O39" i="1"/>
  <c r="P39" i="1"/>
  <c r="Q39" i="1"/>
  <c r="R39" i="1"/>
  <c r="S39" i="1"/>
  <c r="T39" i="1"/>
  <c r="U39" i="1"/>
  <c r="V39" i="1"/>
  <c r="W39" i="1"/>
  <c r="X39" i="1"/>
  <c r="O40" i="1"/>
  <c r="P40" i="1"/>
  <c r="Q40" i="1"/>
  <c r="R40" i="1"/>
  <c r="S40" i="1"/>
  <c r="T40" i="1"/>
  <c r="U40" i="1"/>
  <c r="V40" i="1"/>
  <c r="W40" i="1"/>
  <c r="X40" i="1"/>
  <c r="O41" i="1"/>
  <c r="P41" i="1"/>
  <c r="Q41" i="1"/>
  <c r="R41" i="1"/>
  <c r="S41" i="1"/>
  <c r="T41" i="1"/>
  <c r="U41" i="1"/>
  <c r="V41" i="1"/>
  <c r="W41" i="1"/>
  <c r="X41" i="1"/>
  <c r="O42" i="1"/>
  <c r="P42" i="1"/>
  <c r="Q42" i="1"/>
  <c r="R42" i="1"/>
  <c r="S42" i="1"/>
  <c r="T42" i="1"/>
  <c r="U42" i="1"/>
  <c r="V42" i="1"/>
  <c r="W42" i="1"/>
  <c r="X42" i="1"/>
  <c r="O43" i="1"/>
  <c r="P43" i="1"/>
  <c r="Q43" i="1"/>
  <c r="R43" i="1"/>
  <c r="S43" i="1"/>
  <c r="T43" i="1"/>
  <c r="U43" i="1"/>
  <c r="V43" i="1"/>
  <c r="W43" i="1"/>
  <c r="X43" i="1"/>
  <c r="O44" i="1"/>
  <c r="P44" i="1"/>
  <c r="Q44" i="1"/>
  <c r="R44" i="1"/>
  <c r="S44" i="1"/>
  <c r="T44" i="1"/>
  <c r="U44" i="1"/>
  <c r="V44" i="1"/>
  <c r="W44" i="1"/>
  <c r="X44" i="1"/>
  <c r="O45" i="1"/>
  <c r="P45" i="1"/>
  <c r="Q45" i="1"/>
  <c r="R45" i="1"/>
  <c r="S45" i="1"/>
  <c r="T45" i="1"/>
  <c r="U45" i="1"/>
  <c r="V45" i="1"/>
  <c r="W45" i="1"/>
  <c r="X45" i="1"/>
  <c r="O46" i="1"/>
  <c r="P46" i="1"/>
  <c r="Q46" i="1"/>
  <c r="R46" i="1"/>
  <c r="S46" i="1"/>
  <c r="T46" i="1"/>
  <c r="U46" i="1"/>
  <c r="V46" i="1"/>
  <c r="W46" i="1"/>
  <c r="X46" i="1"/>
  <c r="O47" i="1"/>
  <c r="P47" i="1"/>
  <c r="Q47" i="1"/>
  <c r="R47" i="1"/>
  <c r="S47" i="1"/>
  <c r="T47" i="1"/>
  <c r="U47" i="1"/>
  <c r="V47" i="1"/>
  <c r="W47" i="1"/>
  <c r="X47" i="1"/>
  <c r="O48" i="1"/>
  <c r="P48" i="1"/>
  <c r="Q48" i="1"/>
  <c r="R48" i="1"/>
  <c r="S48" i="1"/>
  <c r="T48" i="1"/>
  <c r="U48" i="1"/>
  <c r="V48" i="1"/>
  <c r="W48" i="1"/>
  <c r="X48" i="1"/>
  <c r="O49" i="1"/>
  <c r="P49" i="1"/>
  <c r="Q49" i="1"/>
  <c r="R49" i="1"/>
  <c r="S49" i="1"/>
  <c r="T49" i="1"/>
  <c r="U49" i="1"/>
  <c r="V49" i="1"/>
  <c r="W49" i="1"/>
  <c r="X49" i="1"/>
  <c r="O50" i="1"/>
  <c r="P50" i="1"/>
  <c r="Q50" i="1"/>
  <c r="R50" i="1"/>
  <c r="S50" i="1"/>
  <c r="T50" i="1"/>
  <c r="U50" i="1"/>
  <c r="V50" i="1"/>
  <c r="W50" i="1"/>
  <c r="X50" i="1"/>
  <c r="O51" i="1"/>
  <c r="P51" i="1"/>
  <c r="Q51" i="1"/>
  <c r="R51" i="1"/>
  <c r="S51" i="1"/>
  <c r="T51" i="1"/>
  <c r="U51" i="1"/>
  <c r="V51" i="1"/>
  <c r="W51" i="1"/>
  <c r="X51" i="1"/>
  <c r="O52" i="1"/>
  <c r="P52" i="1"/>
  <c r="Q52" i="1"/>
  <c r="R52" i="1"/>
  <c r="S52" i="1"/>
  <c r="T52" i="1"/>
  <c r="U52" i="1"/>
  <c r="V52" i="1"/>
  <c r="W52" i="1"/>
  <c r="X52" i="1"/>
  <c r="O53" i="1"/>
  <c r="P53" i="1"/>
  <c r="Q53" i="1"/>
  <c r="R53" i="1"/>
  <c r="S53" i="1"/>
  <c r="T53" i="1"/>
  <c r="U53" i="1"/>
  <c r="V53" i="1"/>
  <c r="W53" i="1"/>
  <c r="X53" i="1"/>
  <c r="O54" i="1"/>
  <c r="P54" i="1"/>
  <c r="Q54" i="1"/>
  <c r="R54" i="1"/>
  <c r="S54" i="1"/>
  <c r="T54" i="1"/>
  <c r="U54" i="1"/>
  <c r="V54" i="1"/>
  <c r="W54" i="1"/>
  <c r="X54" i="1"/>
  <c r="O55" i="1"/>
  <c r="P55" i="1"/>
  <c r="Q55" i="1"/>
  <c r="R55" i="1"/>
  <c r="S55" i="1"/>
  <c r="T55" i="1"/>
  <c r="U55" i="1"/>
  <c r="V55" i="1"/>
  <c r="W55" i="1"/>
  <c r="X55" i="1"/>
  <c r="O56" i="1"/>
  <c r="P56" i="1"/>
  <c r="Q56" i="1"/>
  <c r="R56" i="1"/>
  <c r="S56" i="1"/>
  <c r="T56" i="1"/>
  <c r="U56" i="1"/>
  <c r="V56" i="1"/>
  <c r="W56" i="1"/>
  <c r="X56" i="1"/>
  <c r="O57" i="1"/>
  <c r="P57" i="1"/>
  <c r="Q57" i="1"/>
  <c r="R57" i="1"/>
  <c r="S57" i="1"/>
  <c r="T57" i="1"/>
  <c r="U57" i="1"/>
  <c r="V57" i="1"/>
  <c r="W57" i="1"/>
  <c r="X57" i="1"/>
  <c r="O58" i="1"/>
  <c r="P58" i="1"/>
  <c r="Q58" i="1"/>
  <c r="R58" i="1"/>
  <c r="S58" i="1"/>
  <c r="T58" i="1"/>
  <c r="U58" i="1"/>
  <c r="V58" i="1"/>
  <c r="W58" i="1"/>
  <c r="X58" i="1"/>
  <c r="O59" i="1"/>
  <c r="P59" i="1"/>
  <c r="Q59" i="1"/>
  <c r="R59" i="1"/>
  <c r="S59" i="1"/>
  <c r="T59" i="1"/>
  <c r="U59" i="1"/>
  <c r="V59" i="1"/>
  <c r="W59" i="1"/>
  <c r="X59" i="1"/>
  <c r="P33" i="1"/>
  <c r="Q33" i="1"/>
  <c r="R33" i="1"/>
  <c r="S33" i="1"/>
  <c r="T33" i="1"/>
  <c r="U33" i="1"/>
  <c r="V33" i="1"/>
  <c r="W33" i="1"/>
  <c r="X33" i="1"/>
  <c r="O33" i="1"/>
  <c r="C34" i="1"/>
  <c r="C65" i="1" s="1"/>
  <c r="D34" i="1"/>
  <c r="D65" i="1" s="1"/>
  <c r="E34" i="1"/>
  <c r="E65" i="1" s="1"/>
  <c r="F34" i="1"/>
  <c r="F65" i="1" s="1"/>
  <c r="G34" i="1"/>
  <c r="G65" i="1" s="1"/>
  <c r="H34" i="1"/>
  <c r="H65" i="1" s="1"/>
  <c r="I34" i="1"/>
  <c r="I65" i="1" s="1"/>
  <c r="J34" i="1"/>
  <c r="J65" i="1" s="1"/>
  <c r="K34" i="1"/>
  <c r="K65" i="1" s="1"/>
  <c r="L34" i="1"/>
  <c r="L65" i="1" s="1"/>
  <c r="C35" i="1"/>
  <c r="C66" i="1" s="1"/>
  <c r="D35" i="1"/>
  <c r="D66" i="1" s="1"/>
  <c r="E35" i="1"/>
  <c r="E66" i="1" s="1"/>
  <c r="F35" i="1"/>
  <c r="F66" i="1" s="1"/>
  <c r="G35" i="1"/>
  <c r="G66" i="1" s="1"/>
  <c r="H35" i="1"/>
  <c r="H66" i="1" s="1"/>
  <c r="I35" i="1"/>
  <c r="I66" i="1" s="1"/>
  <c r="J35" i="1"/>
  <c r="J66" i="1" s="1"/>
  <c r="K35" i="1"/>
  <c r="K66" i="1" s="1"/>
  <c r="L35" i="1"/>
  <c r="L66" i="1" s="1"/>
  <c r="C36" i="1"/>
  <c r="C67" i="1" s="1"/>
  <c r="D36" i="1"/>
  <c r="D67" i="1" s="1"/>
  <c r="E36" i="1"/>
  <c r="E67" i="1" s="1"/>
  <c r="F36" i="1"/>
  <c r="F67" i="1" s="1"/>
  <c r="G36" i="1"/>
  <c r="G67" i="1" s="1"/>
  <c r="H36" i="1"/>
  <c r="H67" i="1" s="1"/>
  <c r="I36" i="1"/>
  <c r="I67" i="1" s="1"/>
  <c r="J36" i="1"/>
  <c r="J67" i="1" s="1"/>
  <c r="K36" i="1"/>
  <c r="K67" i="1" s="1"/>
  <c r="L36" i="1"/>
  <c r="L67" i="1" s="1"/>
  <c r="C37" i="1"/>
  <c r="C68" i="1" s="1"/>
  <c r="D37" i="1"/>
  <c r="D68" i="1" s="1"/>
  <c r="E37" i="1"/>
  <c r="E68" i="1" s="1"/>
  <c r="F37" i="1"/>
  <c r="F68" i="1" s="1"/>
  <c r="G37" i="1"/>
  <c r="G68" i="1" s="1"/>
  <c r="H37" i="1"/>
  <c r="H68" i="1" s="1"/>
  <c r="I37" i="1"/>
  <c r="I68" i="1" s="1"/>
  <c r="J37" i="1"/>
  <c r="J68" i="1" s="1"/>
  <c r="K37" i="1"/>
  <c r="K68" i="1" s="1"/>
  <c r="L37" i="1"/>
  <c r="L68" i="1" s="1"/>
  <c r="C38" i="1"/>
  <c r="C69" i="1" s="1"/>
  <c r="D38" i="1"/>
  <c r="D69" i="1" s="1"/>
  <c r="E38" i="1"/>
  <c r="E69" i="1" s="1"/>
  <c r="F38" i="1"/>
  <c r="F69" i="1" s="1"/>
  <c r="G38" i="1"/>
  <c r="G69" i="1" s="1"/>
  <c r="H38" i="1"/>
  <c r="H69" i="1" s="1"/>
  <c r="I38" i="1"/>
  <c r="I69" i="1" s="1"/>
  <c r="J38" i="1"/>
  <c r="J69" i="1" s="1"/>
  <c r="K38" i="1"/>
  <c r="K69" i="1" s="1"/>
  <c r="L38" i="1"/>
  <c r="L69" i="1" s="1"/>
  <c r="C39" i="1"/>
  <c r="C70" i="1" s="1"/>
  <c r="D39" i="1"/>
  <c r="D70" i="1" s="1"/>
  <c r="E39" i="1"/>
  <c r="E70" i="1" s="1"/>
  <c r="F39" i="1"/>
  <c r="F70" i="1" s="1"/>
  <c r="G39" i="1"/>
  <c r="G70" i="1" s="1"/>
  <c r="H39" i="1"/>
  <c r="H70" i="1" s="1"/>
  <c r="I39" i="1"/>
  <c r="I70" i="1" s="1"/>
  <c r="J39" i="1"/>
  <c r="J70" i="1" s="1"/>
  <c r="K39" i="1"/>
  <c r="K70" i="1" s="1"/>
  <c r="L39" i="1"/>
  <c r="L70" i="1" s="1"/>
  <c r="C40" i="1"/>
  <c r="C71" i="1" s="1"/>
  <c r="D40" i="1"/>
  <c r="D71" i="1" s="1"/>
  <c r="E40" i="1"/>
  <c r="E71" i="1" s="1"/>
  <c r="F40" i="1"/>
  <c r="F71" i="1" s="1"/>
  <c r="G40" i="1"/>
  <c r="G71" i="1" s="1"/>
  <c r="H40" i="1"/>
  <c r="H71" i="1" s="1"/>
  <c r="I40" i="1"/>
  <c r="I71" i="1" s="1"/>
  <c r="J40" i="1"/>
  <c r="J71" i="1" s="1"/>
  <c r="K40" i="1"/>
  <c r="K71" i="1" s="1"/>
  <c r="L40" i="1"/>
  <c r="L71" i="1" s="1"/>
  <c r="C41" i="1"/>
  <c r="C72" i="1" s="1"/>
  <c r="D41" i="1"/>
  <c r="D72" i="1" s="1"/>
  <c r="E41" i="1"/>
  <c r="E72" i="1" s="1"/>
  <c r="F41" i="1"/>
  <c r="F72" i="1" s="1"/>
  <c r="G41" i="1"/>
  <c r="G72" i="1" s="1"/>
  <c r="H41" i="1"/>
  <c r="H72" i="1" s="1"/>
  <c r="I41" i="1"/>
  <c r="I72" i="1" s="1"/>
  <c r="J41" i="1"/>
  <c r="J72" i="1" s="1"/>
  <c r="K41" i="1"/>
  <c r="K72" i="1" s="1"/>
  <c r="L41" i="1"/>
  <c r="L72" i="1" s="1"/>
  <c r="C42" i="1"/>
  <c r="C73" i="1" s="1"/>
  <c r="D42" i="1"/>
  <c r="D73" i="1" s="1"/>
  <c r="E42" i="1"/>
  <c r="E73" i="1" s="1"/>
  <c r="F42" i="1"/>
  <c r="F73" i="1" s="1"/>
  <c r="G42" i="1"/>
  <c r="G73" i="1" s="1"/>
  <c r="H42" i="1"/>
  <c r="H73" i="1" s="1"/>
  <c r="I42" i="1"/>
  <c r="I73" i="1" s="1"/>
  <c r="J42" i="1"/>
  <c r="J73" i="1" s="1"/>
  <c r="K42" i="1"/>
  <c r="K73" i="1" s="1"/>
  <c r="L42" i="1"/>
  <c r="L73" i="1" s="1"/>
  <c r="C43" i="1"/>
  <c r="C74" i="1" s="1"/>
  <c r="D43" i="1"/>
  <c r="D74" i="1" s="1"/>
  <c r="E43" i="1"/>
  <c r="E74" i="1" s="1"/>
  <c r="F43" i="1"/>
  <c r="F74" i="1" s="1"/>
  <c r="G43" i="1"/>
  <c r="G74" i="1" s="1"/>
  <c r="H43" i="1"/>
  <c r="H74" i="1" s="1"/>
  <c r="I43" i="1"/>
  <c r="I74" i="1" s="1"/>
  <c r="J43" i="1"/>
  <c r="J74" i="1" s="1"/>
  <c r="K43" i="1"/>
  <c r="K74" i="1" s="1"/>
  <c r="L43" i="1"/>
  <c r="L74" i="1" s="1"/>
  <c r="C44" i="1"/>
  <c r="C75" i="1" s="1"/>
  <c r="D44" i="1"/>
  <c r="D75" i="1" s="1"/>
  <c r="E44" i="1"/>
  <c r="E75" i="1" s="1"/>
  <c r="F44" i="1"/>
  <c r="F75" i="1" s="1"/>
  <c r="G44" i="1"/>
  <c r="G75" i="1" s="1"/>
  <c r="H44" i="1"/>
  <c r="H75" i="1" s="1"/>
  <c r="I44" i="1"/>
  <c r="I75" i="1" s="1"/>
  <c r="J44" i="1"/>
  <c r="J75" i="1" s="1"/>
  <c r="K44" i="1"/>
  <c r="K75" i="1" s="1"/>
  <c r="L44" i="1"/>
  <c r="L75" i="1" s="1"/>
  <c r="C45" i="1"/>
  <c r="C76" i="1" s="1"/>
  <c r="D45" i="1"/>
  <c r="D76" i="1" s="1"/>
  <c r="E45" i="1"/>
  <c r="E76" i="1" s="1"/>
  <c r="F45" i="1"/>
  <c r="F76" i="1" s="1"/>
  <c r="G45" i="1"/>
  <c r="G76" i="1" s="1"/>
  <c r="H45" i="1"/>
  <c r="H76" i="1" s="1"/>
  <c r="I45" i="1"/>
  <c r="I76" i="1" s="1"/>
  <c r="J45" i="1"/>
  <c r="J76" i="1" s="1"/>
  <c r="K45" i="1"/>
  <c r="K76" i="1" s="1"/>
  <c r="L45" i="1"/>
  <c r="L76" i="1" s="1"/>
  <c r="C46" i="1"/>
  <c r="C77" i="1" s="1"/>
  <c r="D46" i="1"/>
  <c r="D77" i="1" s="1"/>
  <c r="E46" i="1"/>
  <c r="E77" i="1" s="1"/>
  <c r="F46" i="1"/>
  <c r="F77" i="1" s="1"/>
  <c r="G46" i="1"/>
  <c r="G77" i="1" s="1"/>
  <c r="H46" i="1"/>
  <c r="H77" i="1" s="1"/>
  <c r="I46" i="1"/>
  <c r="I77" i="1" s="1"/>
  <c r="J46" i="1"/>
  <c r="J77" i="1" s="1"/>
  <c r="K46" i="1"/>
  <c r="K77" i="1" s="1"/>
  <c r="L46" i="1"/>
  <c r="L77" i="1" s="1"/>
  <c r="C47" i="1"/>
  <c r="C78" i="1" s="1"/>
  <c r="D47" i="1"/>
  <c r="D78" i="1" s="1"/>
  <c r="E47" i="1"/>
  <c r="E78" i="1" s="1"/>
  <c r="F47" i="1"/>
  <c r="F78" i="1" s="1"/>
  <c r="G47" i="1"/>
  <c r="G78" i="1" s="1"/>
  <c r="H47" i="1"/>
  <c r="H78" i="1" s="1"/>
  <c r="I47" i="1"/>
  <c r="I78" i="1" s="1"/>
  <c r="J47" i="1"/>
  <c r="J78" i="1" s="1"/>
  <c r="K47" i="1"/>
  <c r="K78" i="1" s="1"/>
  <c r="L47" i="1"/>
  <c r="L78" i="1" s="1"/>
  <c r="C48" i="1"/>
  <c r="C79" i="1" s="1"/>
  <c r="D48" i="1"/>
  <c r="D79" i="1" s="1"/>
  <c r="E48" i="1"/>
  <c r="E79" i="1" s="1"/>
  <c r="F48" i="1"/>
  <c r="F79" i="1" s="1"/>
  <c r="G48" i="1"/>
  <c r="G79" i="1" s="1"/>
  <c r="H48" i="1"/>
  <c r="H79" i="1" s="1"/>
  <c r="I48" i="1"/>
  <c r="I79" i="1" s="1"/>
  <c r="J48" i="1"/>
  <c r="J79" i="1" s="1"/>
  <c r="K48" i="1"/>
  <c r="K79" i="1" s="1"/>
  <c r="L48" i="1"/>
  <c r="L79" i="1" s="1"/>
  <c r="C49" i="1"/>
  <c r="C80" i="1" s="1"/>
  <c r="D49" i="1"/>
  <c r="D80" i="1" s="1"/>
  <c r="E49" i="1"/>
  <c r="E80" i="1" s="1"/>
  <c r="F49" i="1"/>
  <c r="F80" i="1" s="1"/>
  <c r="G49" i="1"/>
  <c r="G80" i="1" s="1"/>
  <c r="H49" i="1"/>
  <c r="H80" i="1" s="1"/>
  <c r="I49" i="1"/>
  <c r="I80" i="1" s="1"/>
  <c r="J49" i="1"/>
  <c r="J80" i="1" s="1"/>
  <c r="K49" i="1"/>
  <c r="K80" i="1" s="1"/>
  <c r="L49" i="1"/>
  <c r="L80" i="1" s="1"/>
  <c r="C50" i="1"/>
  <c r="C81" i="1" s="1"/>
  <c r="D50" i="1"/>
  <c r="D81" i="1" s="1"/>
  <c r="E50" i="1"/>
  <c r="E81" i="1" s="1"/>
  <c r="F50" i="1"/>
  <c r="F81" i="1" s="1"/>
  <c r="G50" i="1"/>
  <c r="G81" i="1" s="1"/>
  <c r="H50" i="1"/>
  <c r="H81" i="1" s="1"/>
  <c r="I50" i="1"/>
  <c r="I81" i="1" s="1"/>
  <c r="J50" i="1"/>
  <c r="J81" i="1" s="1"/>
  <c r="K50" i="1"/>
  <c r="K81" i="1" s="1"/>
  <c r="L50" i="1"/>
  <c r="L81" i="1" s="1"/>
  <c r="C51" i="1"/>
  <c r="C82" i="1" s="1"/>
  <c r="D51" i="1"/>
  <c r="D82" i="1" s="1"/>
  <c r="E51" i="1"/>
  <c r="E82" i="1" s="1"/>
  <c r="F51" i="1"/>
  <c r="F82" i="1" s="1"/>
  <c r="G51" i="1"/>
  <c r="G82" i="1" s="1"/>
  <c r="H51" i="1"/>
  <c r="H82" i="1" s="1"/>
  <c r="I51" i="1"/>
  <c r="I82" i="1" s="1"/>
  <c r="J51" i="1"/>
  <c r="J82" i="1" s="1"/>
  <c r="K51" i="1"/>
  <c r="K82" i="1" s="1"/>
  <c r="L51" i="1"/>
  <c r="L82" i="1" s="1"/>
  <c r="C52" i="1"/>
  <c r="C83" i="1" s="1"/>
  <c r="D52" i="1"/>
  <c r="D83" i="1" s="1"/>
  <c r="E52" i="1"/>
  <c r="E83" i="1" s="1"/>
  <c r="F52" i="1"/>
  <c r="F83" i="1" s="1"/>
  <c r="G52" i="1"/>
  <c r="G83" i="1" s="1"/>
  <c r="H52" i="1"/>
  <c r="H83" i="1" s="1"/>
  <c r="I52" i="1"/>
  <c r="I83" i="1" s="1"/>
  <c r="J52" i="1"/>
  <c r="J83" i="1" s="1"/>
  <c r="K52" i="1"/>
  <c r="K83" i="1" s="1"/>
  <c r="L52" i="1"/>
  <c r="L83" i="1" s="1"/>
  <c r="C53" i="1"/>
  <c r="C84" i="1" s="1"/>
  <c r="D53" i="1"/>
  <c r="D84" i="1" s="1"/>
  <c r="E53" i="1"/>
  <c r="E84" i="1" s="1"/>
  <c r="F53" i="1"/>
  <c r="F84" i="1" s="1"/>
  <c r="G53" i="1"/>
  <c r="G84" i="1" s="1"/>
  <c r="H53" i="1"/>
  <c r="H84" i="1" s="1"/>
  <c r="I53" i="1"/>
  <c r="I84" i="1" s="1"/>
  <c r="J53" i="1"/>
  <c r="J84" i="1" s="1"/>
  <c r="K53" i="1"/>
  <c r="K84" i="1" s="1"/>
  <c r="L53" i="1"/>
  <c r="L84" i="1" s="1"/>
  <c r="C54" i="1"/>
  <c r="C85" i="1" s="1"/>
  <c r="D54" i="1"/>
  <c r="D85" i="1" s="1"/>
  <c r="E54" i="1"/>
  <c r="E85" i="1" s="1"/>
  <c r="F54" i="1"/>
  <c r="F85" i="1" s="1"/>
  <c r="G54" i="1"/>
  <c r="G85" i="1" s="1"/>
  <c r="H54" i="1"/>
  <c r="H85" i="1" s="1"/>
  <c r="I54" i="1"/>
  <c r="I85" i="1" s="1"/>
  <c r="J54" i="1"/>
  <c r="J85" i="1" s="1"/>
  <c r="K54" i="1"/>
  <c r="K85" i="1" s="1"/>
  <c r="L54" i="1"/>
  <c r="L85" i="1" s="1"/>
  <c r="C55" i="1"/>
  <c r="C86" i="1" s="1"/>
  <c r="D55" i="1"/>
  <c r="D86" i="1" s="1"/>
  <c r="E55" i="1"/>
  <c r="E86" i="1" s="1"/>
  <c r="F55" i="1"/>
  <c r="F86" i="1" s="1"/>
  <c r="G55" i="1"/>
  <c r="G86" i="1" s="1"/>
  <c r="H55" i="1"/>
  <c r="H86" i="1" s="1"/>
  <c r="I55" i="1"/>
  <c r="I86" i="1" s="1"/>
  <c r="J55" i="1"/>
  <c r="J86" i="1" s="1"/>
  <c r="K55" i="1"/>
  <c r="K86" i="1" s="1"/>
  <c r="L55" i="1"/>
  <c r="L86" i="1" s="1"/>
  <c r="C56" i="1"/>
  <c r="C87" i="1" s="1"/>
  <c r="D56" i="1"/>
  <c r="D87" i="1" s="1"/>
  <c r="E56" i="1"/>
  <c r="E87" i="1" s="1"/>
  <c r="F56" i="1"/>
  <c r="F87" i="1" s="1"/>
  <c r="G56" i="1"/>
  <c r="G87" i="1" s="1"/>
  <c r="H56" i="1"/>
  <c r="H87" i="1" s="1"/>
  <c r="I56" i="1"/>
  <c r="I87" i="1" s="1"/>
  <c r="J56" i="1"/>
  <c r="J87" i="1" s="1"/>
  <c r="K56" i="1"/>
  <c r="K87" i="1" s="1"/>
  <c r="L56" i="1"/>
  <c r="L87" i="1" s="1"/>
  <c r="C57" i="1"/>
  <c r="C88" i="1" s="1"/>
  <c r="D57" i="1"/>
  <c r="D88" i="1" s="1"/>
  <c r="E57" i="1"/>
  <c r="E88" i="1" s="1"/>
  <c r="F57" i="1"/>
  <c r="F88" i="1" s="1"/>
  <c r="G57" i="1"/>
  <c r="G88" i="1" s="1"/>
  <c r="H57" i="1"/>
  <c r="H88" i="1" s="1"/>
  <c r="I57" i="1"/>
  <c r="I88" i="1" s="1"/>
  <c r="J57" i="1"/>
  <c r="J88" i="1" s="1"/>
  <c r="K57" i="1"/>
  <c r="K88" i="1" s="1"/>
  <c r="L57" i="1"/>
  <c r="L88" i="1" s="1"/>
  <c r="C58" i="1"/>
  <c r="C89" i="1" s="1"/>
  <c r="D58" i="1"/>
  <c r="D89" i="1" s="1"/>
  <c r="E58" i="1"/>
  <c r="E89" i="1" s="1"/>
  <c r="F58" i="1"/>
  <c r="F89" i="1" s="1"/>
  <c r="G58" i="1"/>
  <c r="G89" i="1" s="1"/>
  <c r="H58" i="1"/>
  <c r="H89" i="1" s="1"/>
  <c r="I58" i="1"/>
  <c r="I89" i="1" s="1"/>
  <c r="J58" i="1"/>
  <c r="J89" i="1" s="1"/>
  <c r="K58" i="1"/>
  <c r="K89" i="1" s="1"/>
  <c r="L58" i="1"/>
  <c r="L89" i="1" s="1"/>
  <c r="C59" i="1"/>
  <c r="C90" i="1" s="1"/>
  <c r="D59" i="1"/>
  <c r="D90" i="1" s="1"/>
  <c r="E59" i="1"/>
  <c r="E90" i="1" s="1"/>
  <c r="F59" i="1"/>
  <c r="F90" i="1" s="1"/>
  <c r="G59" i="1"/>
  <c r="G90" i="1" s="1"/>
  <c r="H59" i="1"/>
  <c r="H90" i="1" s="1"/>
  <c r="I59" i="1"/>
  <c r="I90" i="1" s="1"/>
  <c r="J59" i="1"/>
  <c r="J90" i="1" s="1"/>
  <c r="K59" i="1"/>
  <c r="K90" i="1" s="1"/>
  <c r="L59" i="1"/>
  <c r="L90" i="1" s="1"/>
  <c r="D33" i="1"/>
  <c r="D64" i="1" s="1"/>
  <c r="E33" i="1"/>
  <c r="E64" i="1" s="1"/>
  <c r="F33" i="1"/>
  <c r="F64" i="1" s="1"/>
  <c r="G33" i="1"/>
  <c r="G64" i="1" s="1"/>
  <c r="H33" i="1"/>
  <c r="H64" i="1" s="1"/>
  <c r="I33" i="1"/>
  <c r="I64" i="1" s="1"/>
  <c r="J33" i="1"/>
  <c r="J64" i="1" s="1"/>
  <c r="K33" i="1"/>
  <c r="K64" i="1" s="1"/>
  <c r="L33" i="1"/>
  <c r="L64" i="1" s="1"/>
  <c r="C33" i="1"/>
  <c r="C64" i="1" s="1"/>
</calcChain>
</file>

<file path=xl/sharedStrings.xml><?xml version="1.0" encoding="utf-8"?>
<sst xmlns="http://schemas.openxmlformats.org/spreadsheetml/2006/main" count="308" uniqueCount="45">
  <si>
    <t>RESULTADOS NUMÉRICOS DE VITÓRIAS COM 270 MILHÕES DE RODADAS</t>
  </si>
  <si>
    <t>RESULTADOS NUMÉRICOS DE DERROTAS COM 270 MILHÕES DE RODADAS</t>
  </si>
  <si>
    <t>RESULTADOS NUMÉRICOS DE EMPATES COM 270 MILHÕES DE RODADAS</t>
  </si>
  <si>
    <t>RESULTADOS NUMÉRICOS DE VITÓRIAS COM 100 MILHÕES DE RODADAS</t>
  </si>
  <si>
    <t>RESULTADOS NUMÉRICOS DE DERROTAS COM 100 MILHÕES DE RODADAS</t>
  </si>
  <si>
    <t>RESULTADOS NUMÉRICOS DE EMPATES COM 100 MILHÕES DE RODADAS</t>
  </si>
  <si>
    <t>A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</si>
  <si>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</si>
  <si>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</si>
  <si>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</si>
  <si>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</si>
  <si>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</si>
  <si>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</si>
  <si>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</si>
  <si>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</si>
  <si>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</si>
  <si>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</si>
  <si>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</si>
  <si>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</si>
  <si>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</si>
  <si>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</si>
  <si>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</si>
  <si>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</si>
  <si>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</si>
  <si>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</si>
  <si>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</si>
  <si>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</si>
  <si>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</si>
  <si>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</si>
  <si>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</si>
  <si>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</si>
  <si>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</si>
  <si>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</si>
  <si>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</si>
  <si>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 COM 270 MILHÕES DE RODADAS</t>
  </si>
  <si>
    <t>RESULTADOS PERCENTUAIS DE DERROTAS COM 270 MILHÕES DE RODADAS</t>
  </si>
  <si>
    <t>RESULTADOS PERCENTUAIS DE EMPATES COM 270 MILHÕES DE RODADAS</t>
  </si>
  <si>
    <t>ESTATÍSTICAS COM PONTUAÇÃO NÃO FIXADA COM 100 MILHÕES DE RODADAS</t>
  </si>
  <si>
    <t>JOGADOR</t>
  </si>
  <si>
    <t>DEALER</t>
  </si>
  <si>
    <t>BUSTS</t>
  </si>
  <si>
    <t>BLACKJACKS</t>
  </si>
  <si>
    <t>SALDO</t>
  </si>
  <si>
    <t>ESTATÍSTICAS POR PONTUAÇÃO FIXADA</t>
  </si>
  <si>
    <t>PROBABILIDADE DE VENCER MENOS PROBABILIDADE DE PERDER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</si>
</sst>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10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164" fontId="0" fillId="0" borderId="2" xfId="0" applyNumberFormat="1" applyBorder="1" applyAlignment="1"/>
    <xf numFmtId="164" fontId="0" fillId="3" borderId="1" xfId="0" applyNumberFormat="1" applyFill="1" applyBorder="1" applyAlignment="1"/>
    <xf numFmtId="164" fontId="0" fillId="3" borderId="2" xfId="0" applyNumberFormat="1" applyFill="1" applyBorder="1" applyAlignment="1"/>
    <xf numFmtId="3" fontId="0" fillId="0" borderId="1" xfId="0" applyNumberFormat="1" applyBorder="1" applyAlignment="1"/>
    <xf numFmtId="3" fontId="0" fillId="3" borderId="1" xfId="0" applyNumberFormat="1" applyFill="1" applyBorder="1" applyAlignment="1"/>
    <xf numFmtId="0" fontId="3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T90"/>
  <sheetViews>
    <sheetView tabSelected="1" topLeftCell="A61" workbookViewId="0">
      <selection activeCell="AK7" sqref="AK7"/>
    </sheetView>
  </sheetViews>
  <sheetFormatPr defaultRowHeight="15"/>
  <cols>
    <col min="11" max="11" width="9.5703125" bestFit="1" customWidth="1"/>
    <col min="14" max="14" width="9.42578125" bestFit="1" customWidth="1"/>
    <col min="23" max="23" width="9.5703125" bestFit="1" customWidth="1"/>
    <col min="35" max="35" width="9.5703125" bestFit="1" customWidth="1"/>
  </cols>
  <sheetData>
    <row r="1" spans="2:72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8"/>
      <c r="N1" s="6" t="s">
        <v>1</v>
      </c>
      <c r="O1" s="7"/>
      <c r="P1" s="7"/>
      <c r="Q1" s="7"/>
      <c r="R1" s="7"/>
      <c r="S1" s="7"/>
      <c r="T1" s="7"/>
      <c r="U1" s="7"/>
      <c r="V1" s="7"/>
      <c r="W1" s="7"/>
      <c r="X1" s="8"/>
      <c r="Z1" s="6" t="s">
        <v>2</v>
      </c>
      <c r="AA1" s="7"/>
      <c r="AB1" s="7"/>
      <c r="AC1" s="7"/>
      <c r="AD1" s="7"/>
      <c r="AE1" s="7"/>
      <c r="AF1" s="7"/>
      <c r="AG1" s="7"/>
      <c r="AH1" s="7"/>
      <c r="AI1" s="7"/>
      <c r="AJ1" s="8"/>
      <c r="AL1" s="9" t="s">
        <v>3</v>
      </c>
      <c r="AM1" s="9"/>
      <c r="AN1" s="9"/>
      <c r="AO1" s="9"/>
      <c r="AP1" s="9"/>
      <c r="AQ1" s="9"/>
      <c r="AR1" s="9"/>
      <c r="AS1" s="9"/>
      <c r="AT1" s="9"/>
      <c r="AU1" s="9"/>
      <c r="AV1" s="9"/>
      <c r="AX1" s="19" t="s">
        <v>4</v>
      </c>
      <c r="AY1" s="20"/>
      <c r="AZ1" s="20"/>
      <c r="BA1" s="20"/>
      <c r="BB1" s="20"/>
      <c r="BC1" s="20"/>
      <c r="BD1" s="20"/>
      <c r="BE1" s="20"/>
      <c r="BF1" s="20"/>
      <c r="BG1" s="20"/>
      <c r="BH1" s="21"/>
      <c r="BJ1" s="22" t="s">
        <v>5</v>
      </c>
      <c r="BK1" s="23"/>
      <c r="BL1" s="23"/>
      <c r="BM1" s="23"/>
      <c r="BN1" s="23"/>
      <c r="BO1" s="23"/>
      <c r="BP1" s="23"/>
      <c r="BQ1" s="23"/>
      <c r="BR1" s="23"/>
      <c r="BS1" s="23"/>
      <c r="BT1" s="23"/>
    </row>
    <row r="2" spans="2:72">
      <c r="B2" s="1"/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 t="s">
        <v>6</v>
      </c>
      <c r="N2" s="1"/>
      <c r="O2" s="2">
        <v>2</v>
      </c>
      <c r="P2" s="2">
        <v>3</v>
      </c>
      <c r="Q2" s="2">
        <v>4</v>
      </c>
      <c r="R2" s="2">
        <v>5</v>
      </c>
      <c r="S2" s="2">
        <v>6</v>
      </c>
      <c r="T2" s="2">
        <v>7</v>
      </c>
      <c r="U2" s="2">
        <v>8</v>
      </c>
      <c r="V2" s="2">
        <v>9</v>
      </c>
      <c r="W2" s="2">
        <v>10</v>
      </c>
      <c r="X2" s="2" t="s">
        <v>6</v>
      </c>
      <c r="Z2" s="1"/>
      <c r="AA2" s="2">
        <v>2</v>
      </c>
      <c r="AB2" s="2">
        <v>3</v>
      </c>
      <c r="AC2" s="2">
        <v>4</v>
      </c>
      <c r="AD2" s="2">
        <v>5</v>
      </c>
      <c r="AE2" s="2">
        <v>6</v>
      </c>
      <c r="AF2" s="2">
        <v>7</v>
      </c>
      <c r="AG2" s="2">
        <v>8</v>
      </c>
      <c r="AH2" s="2">
        <v>9</v>
      </c>
      <c r="AI2" s="2">
        <v>10</v>
      </c>
      <c r="AJ2" s="2" t="s">
        <v>6</v>
      </c>
      <c r="AL2" s="1"/>
      <c r="AM2" s="2">
        <v>2</v>
      </c>
      <c r="AN2" s="2">
        <v>3</v>
      </c>
      <c r="AO2" s="2">
        <v>4</v>
      </c>
      <c r="AP2" s="2">
        <v>5</v>
      </c>
      <c r="AQ2" s="2">
        <v>6</v>
      </c>
      <c r="AR2" s="2">
        <v>7</v>
      </c>
      <c r="AS2" s="2">
        <v>8</v>
      </c>
      <c r="AT2" s="2">
        <v>9</v>
      </c>
      <c r="AU2" s="2">
        <v>10</v>
      </c>
      <c r="AV2" s="2" t="s">
        <v>6</v>
      </c>
      <c r="AX2" s="1"/>
      <c r="AY2" s="2">
        <v>2</v>
      </c>
      <c r="AZ2" s="2">
        <v>3</v>
      </c>
      <c r="BA2" s="2">
        <v>4</v>
      </c>
      <c r="BB2" s="2">
        <v>5</v>
      </c>
      <c r="BC2" s="2">
        <v>6</v>
      </c>
      <c r="BD2" s="2">
        <v>7</v>
      </c>
      <c r="BE2" s="2">
        <v>8</v>
      </c>
      <c r="BF2" s="2">
        <v>9</v>
      </c>
      <c r="BG2" s="2">
        <v>10</v>
      </c>
      <c r="BH2" s="2" t="s">
        <v>6</v>
      </c>
      <c r="BJ2" s="1"/>
      <c r="BK2" s="2">
        <v>2</v>
      </c>
      <c r="BL2" s="2">
        <v>3</v>
      </c>
      <c r="BM2" s="2">
        <v>4</v>
      </c>
      <c r="BN2" s="2">
        <v>5</v>
      </c>
      <c r="BO2" s="2">
        <v>6</v>
      </c>
      <c r="BP2" s="2">
        <v>7</v>
      </c>
      <c r="BQ2" s="2">
        <v>8</v>
      </c>
      <c r="BR2" s="2">
        <v>9</v>
      </c>
      <c r="BS2" s="2">
        <v>10</v>
      </c>
      <c r="BT2" s="2" t="s">
        <v>6</v>
      </c>
    </row>
    <row r="3" spans="2:72">
      <c r="B3" s="2" t="s">
        <v>7</v>
      </c>
      <c r="C3" s="4">
        <v>271622</v>
      </c>
      <c r="D3" s="4">
        <v>287368</v>
      </c>
      <c r="E3" s="4">
        <v>304551</v>
      </c>
      <c r="F3" s="4">
        <v>321685</v>
      </c>
      <c r="G3" s="4">
        <v>325177</v>
      </c>
      <c r="H3" s="4">
        <v>200980</v>
      </c>
      <c r="I3" s="4">
        <v>187355</v>
      </c>
      <c r="J3" s="4">
        <v>176547</v>
      </c>
      <c r="K3" s="4">
        <v>654559</v>
      </c>
      <c r="L3" s="4">
        <v>88564</v>
      </c>
      <c r="N3" s="2" t="s">
        <v>7</v>
      </c>
      <c r="O3" s="4">
        <v>497230</v>
      </c>
      <c r="P3" s="4">
        <v>482849</v>
      </c>
      <c r="Q3" s="4">
        <v>465053</v>
      </c>
      <c r="R3" s="4">
        <v>447139</v>
      </c>
      <c r="S3" s="4">
        <v>443853</v>
      </c>
      <c r="T3" s="4">
        <v>568160</v>
      </c>
      <c r="U3" s="4">
        <v>580342</v>
      </c>
      <c r="V3" s="4">
        <v>593417</v>
      </c>
      <c r="W3" s="4">
        <v>2424278</v>
      </c>
      <c r="X3" s="4">
        <v>679271</v>
      </c>
      <c r="Z3" s="2" t="s">
        <v>7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L3" s="2" t="s">
        <v>7</v>
      </c>
      <c r="AM3" s="4">
        <v>14140</v>
      </c>
      <c r="AN3" s="4">
        <v>16613</v>
      </c>
      <c r="AO3" s="4">
        <v>17553</v>
      </c>
      <c r="AP3" s="4">
        <v>18429</v>
      </c>
      <c r="AQ3" s="4">
        <v>18845</v>
      </c>
      <c r="AR3" s="4">
        <v>11575</v>
      </c>
      <c r="AS3" s="4">
        <v>10587</v>
      </c>
      <c r="AT3" s="4">
        <v>10159</v>
      </c>
      <c r="AU3" s="4">
        <v>37110</v>
      </c>
      <c r="AV3" s="4">
        <v>5006</v>
      </c>
      <c r="AX3" s="2" t="s">
        <v>7</v>
      </c>
      <c r="AY3" s="24">
        <v>25822</v>
      </c>
      <c r="AZ3" s="24">
        <v>27564</v>
      </c>
      <c r="BA3" s="24">
        <v>26521</v>
      </c>
      <c r="BB3" s="24">
        <v>25222</v>
      </c>
      <c r="BC3" s="24">
        <v>25427</v>
      </c>
      <c r="BD3" s="24">
        <v>32608</v>
      </c>
      <c r="BE3" s="24">
        <v>33175</v>
      </c>
      <c r="BF3" s="24">
        <v>33894</v>
      </c>
      <c r="BG3" s="24">
        <v>138389</v>
      </c>
      <c r="BH3" s="24">
        <v>38793</v>
      </c>
      <c r="BJ3" s="2" t="s">
        <v>7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</row>
    <row r="4" spans="2:72">
      <c r="B4" s="2" t="s">
        <v>8</v>
      </c>
      <c r="C4" s="4">
        <v>272557</v>
      </c>
      <c r="D4" s="4">
        <v>287033</v>
      </c>
      <c r="E4" s="4">
        <v>305199</v>
      </c>
      <c r="F4" s="4">
        <v>322455</v>
      </c>
      <c r="G4" s="4">
        <v>324197</v>
      </c>
      <c r="H4" s="4">
        <v>201857</v>
      </c>
      <c r="I4" s="4">
        <v>187011</v>
      </c>
      <c r="J4" s="4">
        <v>176333</v>
      </c>
      <c r="K4" s="4">
        <v>654276</v>
      </c>
      <c r="L4" s="4">
        <v>88244</v>
      </c>
      <c r="N4" s="2" t="s">
        <v>8</v>
      </c>
      <c r="O4" s="4">
        <v>496682</v>
      </c>
      <c r="P4" s="4">
        <v>482883</v>
      </c>
      <c r="Q4" s="4">
        <v>464609</v>
      </c>
      <c r="R4" s="4">
        <v>447086</v>
      </c>
      <c r="S4" s="4">
        <v>443530</v>
      </c>
      <c r="T4" s="4">
        <v>567871</v>
      </c>
      <c r="U4" s="4">
        <v>582834</v>
      </c>
      <c r="V4" s="4">
        <v>593669</v>
      </c>
      <c r="W4" s="4">
        <v>2421035</v>
      </c>
      <c r="X4" s="4">
        <v>680639</v>
      </c>
      <c r="Z4" s="2" t="s">
        <v>8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L4" s="2" t="s">
        <v>8</v>
      </c>
      <c r="AM4" s="4">
        <v>31115</v>
      </c>
      <c r="AN4" s="4">
        <v>33219</v>
      </c>
      <c r="AO4" s="4">
        <v>36394</v>
      </c>
      <c r="AP4" s="4">
        <v>38584</v>
      </c>
      <c r="AQ4" s="4">
        <v>39378</v>
      </c>
      <c r="AR4" s="4">
        <v>24139</v>
      </c>
      <c r="AS4" s="4">
        <v>22613</v>
      </c>
      <c r="AT4" s="4">
        <v>21034</v>
      </c>
      <c r="AU4" s="4">
        <v>77441</v>
      </c>
      <c r="AV4" s="4">
        <v>10449</v>
      </c>
      <c r="AX4" s="2" t="s">
        <v>8</v>
      </c>
      <c r="AY4" s="24">
        <v>56959</v>
      </c>
      <c r="AZ4" s="24">
        <v>54657</v>
      </c>
      <c r="BA4" s="24">
        <v>55568</v>
      </c>
      <c r="BB4" s="24">
        <v>52778</v>
      </c>
      <c r="BC4" s="24">
        <v>52629</v>
      </c>
      <c r="BD4" s="24">
        <v>67635</v>
      </c>
      <c r="BE4" s="24">
        <v>69451</v>
      </c>
      <c r="BF4" s="24">
        <v>70747</v>
      </c>
      <c r="BG4" s="24">
        <v>289425</v>
      </c>
      <c r="BH4" s="24">
        <v>81017</v>
      </c>
      <c r="BJ4" s="2" t="s">
        <v>8</v>
      </c>
      <c r="BK4" s="24">
        <v>0</v>
      </c>
      <c r="BL4" s="24"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</row>
    <row r="5" spans="2:72">
      <c r="B5" s="2" t="s">
        <v>9</v>
      </c>
      <c r="C5" s="4">
        <v>271079</v>
      </c>
      <c r="D5" s="4">
        <v>287719</v>
      </c>
      <c r="E5" s="4">
        <v>303714</v>
      </c>
      <c r="F5" s="4">
        <v>321820</v>
      </c>
      <c r="G5" s="4">
        <v>325993</v>
      </c>
      <c r="H5" s="4">
        <v>202097</v>
      </c>
      <c r="I5" s="4">
        <v>186828</v>
      </c>
      <c r="J5" s="4">
        <v>175756</v>
      </c>
      <c r="K5" s="4">
        <v>653721</v>
      </c>
      <c r="L5" s="4">
        <v>88536</v>
      </c>
      <c r="N5" s="2" t="s">
        <v>9</v>
      </c>
      <c r="O5" s="4">
        <v>498477</v>
      </c>
      <c r="P5" s="4">
        <v>482344</v>
      </c>
      <c r="Q5" s="4">
        <v>465043</v>
      </c>
      <c r="R5" s="4">
        <v>448424</v>
      </c>
      <c r="S5" s="4">
        <v>443982</v>
      </c>
      <c r="T5" s="4">
        <v>566882</v>
      </c>
      <c r="U5" s="4">
        <v>581676</v>
      </c>
      <c r="V5" s="4">
        <v>592893</v>
      </c>
      <c r="W5" s="4">
        <v>2422616</v>
      </c>
      <c r="X5" s="4">
        <v>680400</v>
      </c>
      <c r="Z5" s="2" t="s">
        <v>9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L5" s="2" t="s">
        <v>9</v>
      </c>
      <c r="AM5" s="4">
        <v>46833</v>
      </c>
      <c r="AN5" s="4">
        <v>49486</v>
      </c>
      <c r="AO5" s="4">
        <v>52224</v>
      </c>
      <c r="AP5" s="4">
        <v>57147</v>
      </c>
      <c r="AQ5" s="4">
        <v>57863</v>
      </c>
      <c r="AR5" s="4">
        <v>35656</v>
      </c>
      <c r="AS5" s="4">
        <v>33280</v>
      </c>
      <c r="AT5" s="4">
        <v>30936</v>
      </c>
      <c r="AU5" s="4">
        <v>115161</v>
      </c>
      <c r="AV5" s="4">
        <v>15532</v>
      </c>
      <c r="AX5" s="2" t="s">
        <v>9</v>
      </c>
      <c r="AY5" s="24">
        <v>85133</v>
      </c>
      <c r="AZ5" s="24">
        <v>82304</v>
      </c>
      <c r="BA5" s="24">
        <v>79430</v>
      </c>
      <c r="BB5" s="24">
        <v>78561</v>
      </c>
      <c r="BC5" s="24">
        <v>77990</v>
      </c>
      <c r="BD5" s="24">
        <v>100080</v>
      </c>
      <c r="BE5" s="24">
        <v>103256</v>
      </c>
      <c r="BF5" s="24">
        <v>104980</v>
      </c>
      <c r="BG5" s="24">
        <v>428162</v>
      </c>
      <c r="BH5" s="24">
        <v>119895</v>
      </c>
      <c r="BJ5" s="2" t="s">
        <v>9</v>
      </c>
      <c r="BK5" s="24">
        <v>0</v>
      </c>
      <c r="BL5" s="24">
        <v>0</v>
      </c>
      <c r="BM5" s="24">
        <v>0</v>
      </c>
      <c r="BN5" s="24">
        <v>0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</row>
    <row r="6" spans="2:72">
      <c r="B6" s="2" t="s">
        <v>10</v>
      </c>
      <c r="C6" s="4">
        <v>272727</v>
      </c>
      <c r="D6" s="4">
        <v>288654</v>
      </c>
      <c r="E6" s="4">
        <v>303648</v>
      </c>
      <c r="F6" s="4">
        <v>321243</v>
      </c>
      <c r="G6" s="4">
        <v>325772</v>
      </c>
      <c r="H6" s="4">
        <v>201193</v>
      </c>
      <c r="I6" s="4">
        <v>187459</v>
      </c>
      <c r="J6" s="4">
        <v>176715</v>
      </c>
      <c r="K6" s="4">
        <v>653537</v>
      </c>
      <c r="L6" s="4">
        <v>88600</v>
      </c>
      <c r="N6" s="2" t="s">
        <v>10</v>
      </c>
      <c r="O6" s="4">
        <v>496924</v>
      </c>
      <c r="P6" s="4">
        <v>481332</v>
      </c>
      <c r="Q6" s="4">
        <v>464378</v>
      </c>
      <c r="R6" s="4">
        <v>448020</v>
      </c>
      <c r="S6" s="4">
        <v>443982</v>
      </c>
      <c r="T6" s="4">
        <v>568034</v>
      </c>
      <c r="U6" s="4">
        <v>580460</v>
      </c>
      <c r="V6" s="4">
        <v>593069</v>
      </c>
      <c r="W6" s="4">
        <v>2423640</v>
      </c>
      <c r="X6" s="4">
        <v>680613</v>
      </c>
      <c r="Z6" s="2" t="s">
        <v>10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L6" s="2" t="s">
        <v>10</v>
      </c>
      <c r="AM6" s="4">
        <v>63654</v>
      </c>
      <c r="AN6" s="4">
        <v>67603</v>
      </c>
      <c r="AO6" s="4">
        <v>71696</v>
      </c>
      <c r="AP6" s="4">
        <v>75830</v>
      </c>
      <c r="AQ6" s="4">
        <v>77929</v>
      </c>
      <c r="AR6" s="4">
        <v>48607</v>
      </c>
      <c r="AS6" s="4">
        <v>44894</v>
      </c>
      <c r="AT6" s="4">
        <v>42171</v>
      </c>
      <c r="AU6" s="4">
        <v>155581</v>
      </c>
      <c r="AV6" s="4">
        <v>21076</v>
      </c>
      <c r="AX6" s="2" t="s">
        <v>10</v>
      </c>
      <c r="AY6" s="24">
        <v>116254</v>
      </c>
      <c r="AZ6" s="24">
        <v>112356</v>
      </c>
      <c r="BA6" s="24">
        <v>108740</v>
      </c>
      <c r="BB6" s="24">
        <v>104070</v>
      </c>
      <c r="BC6" s="24">
        <v>105427</v>
      </c>
      <c r="BD6" s="24">
        <v>136157</v>
      </c>
      <c r="BE6" s="24">
        <v>138556</v>
      </c>
      <c r="BF6" s="24">
        <v>141206</v>
      </c>
      <c r="BG6" s="24">
        <v>579016</v>
      </c>
      <c r="BH6" s="24">
        <v>162220</v>
      </c>
      <c r="BJ6" s="2" t="s">
        <v>10</v>
      </c>
      <c r="BK6" s="24">
        <v>0</v>
      </c>
      <c r="BL6" s="24"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4">
        <v>0</v>
      </c>
      <c r="BS6" s="24">
        <v>0</v>
      </c>
      <c r="BT6" s="24">
        <v>0</v>
      </c>
    </row>
    <row r="7" spans="2:72">
      <c r="B7" s="2" t="s">
        <v>11</v>
      </c>
      <c r="C7" s="4">
        <v>271514</v>
      </c>
      <c r="D7" s="4">
        <v>288012</v>
      </c>
      <c r="E7" s="4">
        <v>303905</v>
      </c>
      <c r="F7" s="4">
        <v>321944</v>
      </c>
      <c r="G7" s="4">
        <v>324269</v>
      </c>
      <c r="H7" s="4">
        <v>201642</v>
      </c>
      <c r="I7" s="4">
        <v>187814</v>
      </c>
      <c r="J7" s="4">
        <v>176102</v>
      </c>
      <c r="K7" s="4">
        <v>653561</v>
      </c>
      <c r="L7" s="4">
        <v>88679</v>
      </c>
      <c r="N7" s="2" t="s">
        <v>11</v>
      </c>
      <c r="O7" s="4">
        <v>496895</v>
      </c>
      <c r="P7" s="4">
        <v>481568</v>
      </c>
      <c r="Q7" s="4">
        <v>465362</v>
      </c>
      <c r="R7" s="4">
        <v>447756</v>
      </c>
      <c r="S7" s="4">
        <v>443828</v>
      </c>
      <c r="T7" s="4">
        <v>568078</v>
      </c>
      <c r="U7" s="4">
        <v>582283</v>
      </c>
      <c r="V7" s="4">
        <v>593215</v>
      </c>
      <c r="W7" s="4">
        <v>2422417</v>
      </c>
      <c r="X7" s="4">
        <v>681156</v>
      </c>
      <c r="Z7" s="2" t="s">
        <v>11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L7" s="2" t="s">
        <v>11</v>
      </c>
      <c r="AM7" s="4">
        <v>79986</v>
      </c>
      <c r="AN7" s="4">
        <v>84201</v>
      </c>
      <c r="AO7" s="4">
        <v>89177</v>
      </c>
      <c r="AP7" s="4">
        <v>94507</v>
      </c>
      <c r="AQ7" s="4">
        <v>95877</v>
      </c>
      <c r="AR7" s="4">
        <v>59821</v>
      </c>
      <c r="AS7" s="4">
        <v>55280</v>
      </c>
      <c r="AT7" s="4">
        <v>52189</v>
      </c>
      <c r="AU7" s="4">
        <v>192605</v>
      </c>
      <c r="AV7" s="4">
        <v>26065</v>
      </c>
      <c r="AX7" s="2" t="s">
        <v>11</v>
      </c>
      <c r="AY7" s="24">
        <v>144356</v>
      </c>
      <c r="AZ7" s="24">
        <v>139861</v>
      </c>
      <c r="BA7" s="24">
        <v>135030</v>
      </c>
      <c r="BB7" s="24">
        <v>129553</v>
      </c>
      <c r="BC7" s="24">
        <v>128972</v>
      </c>
      <c r="BD7" s="24">
        <v>167831</v>
      </c>
      <c r="BE7" s="24">
        <v>173150</v>
      </c>
      <c r="BF7" s="24">
        <v>176194</v>
      </c>
      <c r="BG7" s="24">
        <v>719885</v>
      </c>
      <c r="BH7" s="24">
        <v>202325</v>
      </c>
      <c r="BJ7" s="2" t="s">
        <v>11</v>
      </c>
      <c r="BK7" s="24">
        <v>0</v>
      </c>
      <c r="BL7" s="24">
        <v>0</v>
      </c>
      <c r="BM7" s="24">
        <v>0</v>
      </c>
      <c r="BN7" s="24">
        <v>0</v>
      </c>
      <c r="BO7" s="24">
        <v>0</v>
      </c>
      <c r="BP7" s="24">
        <v>0</v>
      </c>
      <c r="BQ7" s="24">
        <v>0</v>
      </c>
      <c r="BR7" s="24">
        <v>0</v>
      </c>
      <c r="BS7" s="24">
        <v>0</v>
      </c>
      <c r="BT7" s="24">
        <v>0</v>
      </c>
    </row>
    <row r="8" spans="2:72">
      <c r="B8" s="2" t="s">
        <v>12</v>
      </c>
      <c r="C8" s="4">
        <v>272334</v>
      </c>
      <c r="D8" s="4">
        <v>287484</v>
      </c>
      <c r="E8" s="4">
        <v>304094</v>
      </c>
      <c r="F8" s="4">
        <v>321756</v>
      </c>
      <c r="G8" s="4">
        <v>325551</v>
      </c>
      <c r="H8" s="4">
        <v>201815</v>
      </c>
      <c r="I8" s="4">
        <v>187521</v>
      </c>
      <c r="J8" s="4">
        <v>176699</v>
      </c>
      <c r="K8" s="4">
        <v>653675</v>
      </c>
      <c r="L8" s="4">
        <v>89146</v>
      </c>
      <c r="N8" s="2" t="s">
        <v>12</v>
      </c>
      <c r="O8" s="4">
        <v>496792</v>
      </c>
      <c r="P8" s="4">
        <v>481497</v>
      </c>
      <c r="Q8" s="4">
        <v>464784</v>
      </c>
      <c r="R8" s="4">
        <v>448090</v>
      </c>
      <c r="S8" s="4">
        <v>444697</v>
      </c>
      <c r="T8" s="4">
        <v>566797</v>
      </c>
      <c r="U8" s="4">
        <v>581403</v>
      </c>
      <c r="V8" s="4">
        <v>593258</v>
      </c>
      <c r="W8" s="4">
        <v>2421526</v>
      </c>
      <c r="X8" s="4">
        <v>681081</v>
      </c>
      <c r="Z8" s="2" t="s">
        <v>12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L8" s="2" t="s">
        <v>12</v>
      </c>
      <c r="AM8" s="4">
        <v>96831</v>
      </c>
      <c r="AN8" s="4">
        <v>102466</v>
      </c>
      <c r="AO8" s="4">
        <v>108328</v>
      </c>
      <c r="AP8" s="4">
        <v>114979</v>
      </c>
      <c r="AQ8" s="4">
        <v>115315</v>
      </c>
      <c r="AR8" s="4">
        <v>71694</v>
      </c>
      <c r="AS8" s="4">
        <v>67334</v>
      </c>
      <c r="AT8" s="4">
        <v>62786</v>
      </c>
      <c r="AU8" s="4">
        <v>232955</v>
      </c>
      <c r="AV8" s="4">
        <v>31826</v>
      </c>
      <c r="AX8" s="2" t="s">
        <v>12</v>
      </c>
      <c r="AY8" s="24">
        <v>175250</v>
      </c>
      <c r="AZ8" s="24">
        <v>170337</v>
      </c>
      <c r="BA8" s="24">
        <v>164028</v>
      </c>
      <c r="BB8" s="24">
        <v>157924</v>
      </c>
      <c r="BC8" s="24">
        <v>155931</v>
      </c>
      <c r="BD8" s="24">
        <v>201032</v>
      </c>
      <c r="BE8" s="24">
        <v>208663</v>
      </c>
      <c r="BF8" s="24">
        <v>212985</v>
      </c>
      <c r="BG8" s="24">
        <v>867979</v>
      </c>
      <c r="BH8" s="24">
        <v>244684</v>
      </c>
      <c r="BJ8" s="2" t="s">
        <v>12</v>
      </c>
      <c r="BK8" s="24">
        <v>0</v>
      </c>
      <c r="BL8" s="24">
        <v>0</v>
      </c>
      <c r="BM8" s="24">
        <v>0</v>
      </c>
      <c r="BN8" s="24">
        <v>0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24">
        <v>0</v>
      </c>
    </row>
    <row r="9" spans="2:72">
      <c r="B9" s="2" t="s">
        <v>13</v>
      </c>
      <c r="C9" s="4">
        <v>270954</v>
      </c>
      <c r="D9" s="4">
        <v>288204</v>
      </c>
      <c r="E9" s="4">
        <v>304411</v>
      </c>
      <c r="F9" s="4">
        <v>322799</v>
      </c>
      <c r="G9" s="4">
        <v>324713</v>
      </c>
      <c r="H9" s="4">
        <v>202333</v>
      </c>
      <c r="I9" s="4">
        <v>187939</v>
      </c>
      <c r="J9" s="4">
        <v>176425</v>
      </c>
      <c r="K9" s="4">
        <v>652892</v>
      </c>
      <c r="L9" s="4">
        <v>88837</v>
      </c>
      <c r="N9" s="2" t="s">
        <v>13</v>
      </c>
      <c r="O9" s="4">
        <v>498181</v>
      </c>
      <c r="P9" s="4">
        <v>482245</v>
      </c>
      <c r="Q9" s="4">
        <v>465442</v>
      </c>
      <c r="R9" s="4">
        <v>446079</v>
      </c>
      <c r="S9" s="4">
        <v>444749</v>
      </c>
      <c r="T9" s="4">
        <v>566542</v>
      </c>
      <c r="U9" s="4">
        <v>580590</v>
      </c>
      <c r="V9" s="4">
        <v>593082</v>
      </c>
      <c r="W9" s="4">
        <v>2423720</v>
      </c>
      <c r="X9" s="4">
        <v>679863</v>
      </c>
      <c r="Z9" s="2" t="s">
        <v>13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L9" s="2" t="s">
        <v>13</v>
      </c>
      <c r="AM9" s="4">
        <v>112068</v>
      </c>
      <c r="AN9" s="4">
        <v>118616</v>
      </c>
      <c r="AO9" s="4">
        <v>126308</v>
      </c>
      <c r="AP9" s="4">
        <v>132919</v>
      </c>
      <c r="AQ9" s="4">
        <v>133865</v>
      </c>
      <c r="AR9" s="4">
        <v>82797</v>
      </c>
      <c r="AS9" s="4">
        <v>76864</v>
      </c>
      <c r="AT9" s="4">
        <v>73429</v>
      </c>
      <c r="AU9" s="4">
        <v>270497</v>
      </c>
      <c r="AV9" s="4">
        <v>37261</v>
      </c>
      <c r="AX9" s="2" t="s">
        <v>13</v>
      </c>
      <c r="AY9" s="24">
        <v>203694</v>
      </c>
      <c r="AZ9" s="24">
        <v>196626</v>
      </c>
      <c r="BA9" s="24">
        <v>190749</v>
      </c>
      <c r="BB9" s="24">
        <v>183475</v>
      </c>
      <c r="BC9" s="24">
        <v>182282</v>
      </c>
      <c r="BD9" s="24">
        <v>232575</v>
      </c>
      <c r="BE9" s="24">
        <v>239483</v>
      </c>
      <c r="BF9" s="24">
        <v>246307</v>
      </c>
      <c r="BG9" s="24">
        <v>1008310</v>
      </c>
      <c r="BH9" s="24">
        <v>282445</v>
      </c>
      <c r="BJ9" s="2" t="s">
        <v>13</v>
      </c>
      <c r="BK9" s="24">
        <v>0</v>
      </c>
      <c r="BL9" s="24">
        <v>0</v>
      </c>
      <c r="BM9" s="24">
        <v>0</v>
      </c>
      <c r="BN9" s="24">
        <v>0</v>
      </c>
      <c r="BO9" s="24">
        <v>0</v>
      </c>
      <c r="BP9" s="24">
        <v>0</v>
      </c>
      <c r="BQ9" s="24">
        <v>0</v>
      </c>
      <c r="BR9" s="24">
        <v>0</v>
      </c>
      <c r="BS9" s="24">
        <v>0</v>
      </c>
      <c r="BT9" s="24">
        <v>0</v>
      </c>
    </row>
    <row r="10" spans="2:72">
      <c r="B10" s="2" t="s">
        <v>14</v>
      </c>
      <c r="C10" s="4">
        <v>272099</v>
      </c>
      <c r="D10" s="4">
        <v>287982</v>
      </c>
      <c r="E10" s="4">
        <v>304150</v>
      </c>
      <c r="F10" s="4">
        <v>322400</v>
      </c>
      <c r="G10" s="4">
        <v>326016</v>
      </c>
      <c r="H10" s="4">
        <v>201301</v>
      </c>
      <c r="I10" s="4">
        <v>187118</v>
      </c>
      <c r="J10" s="4">
        <v>176310</v>
      </c>
      <c r="K10" s="4">
        <v>653904</v>
      </c>
      <c r="L10" s="4">
        <v>88821</v>
      </c>
      <c r="N10" s="2" t="s">
        <v>14</v>
      </c>
      <c r="O10" s="4">
        <v>496507</v>
      </c>
      <c r="P10" s="4">
        <v>481288</v>
      </c>
      <c r="Q10" s="4">
        <v>465060</v>
      </c>
      <c r="R10" s="4">
        <v>446703</v>
      </c>
      <c r="S10" s="4">
        <v>443592</v>
      </c>
      <c r="T10" s="4">
        <v>567678</v>
      </c>
      <c r="U10" s="4">
        <v>580982</v>
      </c>
      <c r="V10" s="4">
        <v>593095</v>
      </c>
      <c r="W10" s="4">
        <v>2424303</v>
      </c>
      <c r="X10" s="4">
        <v>680691</v>
      </c>
      <c r="Z10" s="2" t="s">
        <v>14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L10" s="2" t="s">
        <v>14</v>
      </c>
      <c r="AM10" s="4">
        <v>128546</v>
      </c>
      <c r="AN10" s="4">
        <v>136911</v>
      </c>
      <c r="AO10" s="4">
        <v>143582</v>
      </c>
      <c r="AP10" s="4">
        <v>152262</v>
      </c>
      <c r="AQ10" s="4">
        <v>154804</v>
      </c>
      <c r="AR10" s="4">
        <v>95446</v>
      </c>
      <c r="AS10" s="4">
        <v>88737</v>
      </c>
      <c r="AT10" s="4">
        <v>83413</v>
      </c>
      <c r="AU10" s="4">
        <v>311923</v>
      </c>
      <c r="AV10" s="4">
        <v>42518</v>
      </c>
      <c r="AX10" s="2" t="s">
        <v>14</v>
      </c>
      <c r="AY10" s="24">
        <v>234309</v>
      </c>
      <c r="AZ10" s="24">
        <v>227048</v>
      </c>
      <c r="BA10" s="24">
        <v>218660</v>
      </c>
      <c r="BB10" s="24">
        <v>211886</v>
      </c>
      <c r="BC10" s="24">
        <v>209503</v>
      </c>
      <c r="BD10" s="24">
        <v>268837</v>
      </c>
      <c r="BE10" s="24">
        <v>275011</v>
      </c>
      <c r="BF10" s="24">
        <v>280501</v>
      </c>
      <c r="BG10" s="24">
        <v>1158499</v>
      </c>
      <c r="BH10" s="24">
        <v>325476</v>
      </c>
      <c r="BJ10" s="2" t="s">
        <v>14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</row>
    <row r="11" spans="2:72">
      <c r="B11" s="2" t="s">
        <v>15</v>
      </c>
      <c r="C11" s="4">
        <v>272609</v>
      </c>
      <c r="D11" s="4">
        <v>288246</v>
      </c>
      <c r="E11" s="4">
        <v>303886</v>
      </c>
      <c r="F11" s="4">
        <v>321990</v>
      </c>
      <c r="G11" s="4">
        <v>324412</v>
      </c>
      <c r="H11" s="4">
        <v>201755</v>
      </c>
      <c r="I11" s="4">
        <v>187554</v>
      </c>
      <c r="J11" s="4">
        <v>177090</v>
      </c>
      <c r="K11" s="4">
        <v>653633</v>
      </c>
      <c r="L11" s="4">
        <v>88463</v>
      </c>
      <c r="N11" s="2" t="s">
        <v>15</v>
      </c>
      <c r="O11" s="4">
        <v>497507</v>
      </c>
      <c r="P11" s="4">
        <v>480893</v>
      </c>
      <c r="Q11" s="4">
        <v>465257</v>
      </c>
      <c r="R11" s="4">
        <v>446939</v>
      </c>
      <c r="S11" s="4">
        <v>443611</v>
      </c>
      <c r="T11" s="4">
        <v>567246</v>
      </c>
      <c r="U11" s="4">
        <v>580833</v>
      </c>
      <c r="V11" s="4">
        <v>593254</v>
      </c>
      <c r="W11" s="4">
        <v>2423605</v>
      </c>
      <c r="X11" s="4">
        <v>681217</v>
      </c>
      <c r="Z11" s="2" t="s">
        <v>15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L11" s="2" t="s">
        <v>15</v>
      </c>
      <c r="AM11" s="4">
        <v>238367</v>
      </c>
      <c r="AN11" s="4">
        <v>254894</v>
      </c>
      <c r="AO11" s="4">
        <v>270824</v>
      </c>
      <c r="AP11" s="4">
        <v>286327</v>
      </c>
      <c r="AQ11" s="4">
        <v>289079</v>
      </c>
      <c r="AR11" s="4">
        <v>178868</v>
      </c>
      <c r="AS11" s="4">
        <v>166631</v>
      </c>
      <c r="AT11" s="4">
        <v>156467</v>
      </c>
      <c r="AU11" s="4">
        <v>578798</v>
      </c>
      <c r="AV11" s="4">
        <v>79105</v>
      </c>
      <c r="AX11" s="2" t="s">
        <v>15</v>
      </c>
      <c r="AY11" s="24">
        <v>435415</v>
      </c>
      <c r="AZ11" s="24">
        <v>427318</v>
      </c>
      <c r="BA11" s="24">
        <v>413814</v>
      </c>
      <c r="BB11" s="24">
        <v>397112</v>
      </c>
      <c r="BC11" s="24">
        <v>394317</v>
      </c>
      <c r="BD11" s="24">
        <v>504674</v>
      </c>
      <c r="BE11" s="24">
        <v>517391</v>
      </c>
      <c r="BF11" s="24">
        <v>525785</v>
      </c>
      <c r="BG11" s="24">
        <v>2153661</v>
      </c>
      <c r="BH11" s="24">
        <v>608129</v>
      </c>
      <c r="BJ11" s="2" t="s">
        <v>15</v>
      </c>
      <c r="BK11" s="24">
        <v>0</v>
      </c>
      <c r="BL11" s="24">
        <v>0</v>
      </c>
      <c r="BM11" s="24">
        <v>0</v>
      </c>
      <c r="BN11" s="24">
        <v>0</v>
      </c>
      <c r="BO11" s="24">
        <v>0</v>
      </c>
      <c r="BP11" s="24">
        <v>0</v>
      </c>
      <c r="BQ11" s="24">
        <v>0</v>
      </c>
      <c r="BR11" s="24">
        <v>0</v>
      </c>
      <c r="BS11" s="24">
        <v>0</v>
      </c>
      <c r="BT11" s="24">
        <v>0</v>
      </c>
    </row>
    <row r="12" spans="2:72">
      <c r="B12" s="2" t="s">
        <v>16</v>
      </c>
      <c r="C12" s="4">
        <v>271788</v>
      </c>
      <c r="D12" s="4">
        <v>286642</v>
      </c>
      <c r="E12" s="4">
        <v>304085</v>
      </c>
      <c r="F12" s="4">
        <v>321554</v>
      </c>
      <c r="G12" s="4">
        <v>325264</v>
      </c>
      <c r="H12" s="4">
        <v>201255</v>
      </c>
      <c r="I12" s="4">
        <v>188623</v>
      </c>
      <c r="J12" s="4">
        <v>175995</v>
      </c>
      <c r="K12" s="4">
        <v>654394</v>
      </c>
      <c r="L12" s="4">
        <v>89417</v>
      </c>
      <c r="N12" s="2" t="s">
        <v>16</v>
      </c>
      <c r="O12" s="4">
        <v>496528</v>
      </c>
      <c r="P12" s="4">
        <v>481934</v>
      </c>
      <c r="Q12" s="4">
        <v>464629</v>
      </c>
      <c r="R12" s="4">
        <v>447924</v>
      </c>
      <c r="S12" s="4">
        <v>444748</v>
      </c>
      <c r="T12" s="4">
        <v>567876</v>
      </c>
      <c r="U12" s="4">
        <v>581516</v>
      </c>
      <c r="V12" s="4">
        <v>593148</v>
      </c>
      <c r="W12" s="4">
        <v>2421571</v>
      </c>
      <c r="X12" s="4">
        <v>681109</v>
      </c>
      <c r="Z12" s="2" t="s">
        <v>16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L12" s="2" t="s">
        <v>16</v>
      </c>
      <c r="AM12" s="4">
        <v>227595</v>
      </c>
      <c r="AN12" s="4">
        <v>234986</v>
      </c>
      <c r="AO12" s="4">
        <v>253844</v>
      </c>
      <c r="AP12" s="4">
        <v>267888</v>
      </c>
      <c r="AQ12" s="4">
        <v>270173</v>
      </c>
      <c r="AR12" s="4">
        <v>166968</v>
      </c>
      <c r="AS12" s="4">
        <v>155801</v>
      </c>
      <c r="AT12" s="4">
        <v>146620</v>
      </c>
      <c r="AU12" s="4">
        <v>543120</v>
      </c>
      <c r="AV12" s="4">
        <v>74130</v>
      </c>
      <c r="AX12" s="2" t="s">
        <v>16</v>
      </c>
      <c r="AY12" s="24">
        <v>415587</v>
      </c>
      <c r="AZ12" s="24">
        <v>393568</v>
      </c>
      <c r="BA12" s="24">
        <v>385882</v>
      </c>
      <c r="BB12" s="24">
        <v>371515</v>
      </c>
      <c r="BC12" s="24">
        <v>369416</v>
      </c>
      <c r="BD12" s="24">
        <v>470720</v>
      </c>
      <c r="BE12" s="24">
        <v>482503</v>
      </c>
      <c r="BF12" s="24">
        <v>493232</v>
      </c>
      <c r="BG12" s="24">
        <v>2016722</v>
      </c>
      <c r="BH12" s="24">
        <v>568771</v>
      </c>
      <c r="BJ12" s="2" t="s">
        <v>16</v>
      </c>
      <c r="BK12" s="24">
        <v>0</v>
      </c>
      <c r="BL12" s="24">
        <v>0</v>
      </c>
      <c r="BM12" s="24">
        <v>0</v>
      </c>
      <c r="BN12" s="24">
        <v>0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24">
        <v>0</v>
      </c>
    </row>
    <row r="13" spans="2:72">
      <c r="B13" s="2" t="s">
        <v>17</v>
      </c>
      <c r="C13" s="4">
        <v>270664</v>
      </c>
      <c r="D13" s="4">
        <v>287589</v>
      </c>
      <c r="E13" s="4">
        <v>304108</v>
      </c>
      <c r="F13" s="4">
        <v>323091</v>
      </c>
      <c r="G13" s="4">
        <v>325710</v>
      </c>
      <c r="H13" s="4">
        <v>201329</v>
      </c>
      <c r="I13" s="4">
        <v>187644</v>
      </c>
      <c r="J13" s="4">
        <v>175984</v>
      </c>
      <c r="K13" s="4">
        <v>652625</v>
      </c>
      <c r="L13" s="4">
        <v>89286</v>
      </c>
      <c r="N13" s="2" t="s">
        <v>17</v>
      </c>
      <c r="O13" s="4">
        <v>496918</v>
      </c>
      <c r="P13" s="4">
        <v>481185</v>
      </c>
      <c r="Q13" s="4">
        <v>465798</v>
      </c>
      <c r="R13" s="4">
        <v>447552</v>
      </c>
      <c r="S13" s="4">
        <v>443880</v>
      </c>
      <c r="T13" s="4">
        <v>567414</v>
      </c>
      <c r="U13" s="4">
        <v>582455</v>
      </c>
      <c r="V13" s="4">
        <v>590952</v>
      </c>
      <c r="W13" s="4">
        <v>2422476</v>
      </c>
      <c r="X13" s="4">
        <v>683340</v>
      </c>
      <c r="Z13" s="2" t="s">
        <v>17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L13" s="2" t="s">
        <v>17</v>
      </c>
      <c r="AM13" s="4">
        <v>210279</v>
      </c>
      <c r="AN13" s="4">
        <v>222432</v>
      </c>
      <c r="AO13" s="4">
        <v>229477</v>
      </c>
      <c r="AP13" s="4">
        <v>247115</v>
      </c>
      <c r="AQ13" s="4">
        <v>251341</v>
      </c>
      <c r="AR13" s="4">
        <v>155095</v>
      </c>
      <c r="AS13" s="4">
        <v>144004</v>
      </c>
      <c r="AT13" s="4">
        <v>135079</v>
      </c>
      <c r="AU13" s="4">
        <v>502405</v>
      </c>
      <c r="AV13" s="4">
        <v>68950</v>
      </c>
      <c r="AX13" s="2" t="s">
        <v>17</v>
      </c>
      <c r="AY13" s="24">
        <v>385295</v>
      </c>
      <c r="AZ13" s="24">
        <v>373418</v>
      </c>
      <c r="BA13" s="24">
        <v>351183</v>
      </c>
      <c r="BB13" s="24">
        <v>344068</v>
      </c>
      <c r="BC13" s="24">
        <v>340850</v>
      </c>
      <c r="BD13" s="24">
        <v>437096</v>
      </c>
      <c r="BE13" s="24">
        <v>447375</v>
      </c>
      <c r="BF13" s="24">
        <v>456462</v>
      </c>
      <c r="BG13" s="24">
        <v>1865444</v>
      </c>
      <c r="BH13" s="24">
        <v>527355</v>
      </c>
      <c r="BJ13" s="2" t="s">
        <v>17</v>
      </c>
      <c r="BK13" s="24">
        <v>0</v>
      </c>
      <c r="BL13" s="24">
        <v>0</v>
      </c>
      <c r="BM13" s="24">
        <v>0</v>
      </c>
      <c r="BN13" s="24">
        <v>0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24">
        <v>0</v>
      </c>
    </row>
    <row r="14" spans="2:72">
      <c r="B14" s="2" t="s">
        <v>18</v>
      </c>
      <c r="C14" s="4">
        <v>271886</v>
      </c>
      <c r="D14" s="4">
        <v>288502</v>
      </c>
      <c r="E14" s="4">
        <v>303656</v>
      </c>
      <c r="F14" s="4">
        <v>322799</v>
      </c>
      <c r="G14" s="4">
        <v>325627</v>
      </c>
      <c r="H14" s="4">
        <v>201082</v>
      </c>
      <c r="I14" s="4">
        <v>188028</v>
      </c>
      <c r="J14" s="4">
        <v>176586</v>
      </c>
      <c r="K14" s="4">
        <v>652782</v>
      </c>
      <c r="L14" s="4">
        <v>88410</v>
      </c>
      <c r="N14" s="2" t="s">
        <v>18</v>
      </c>
      <c r="O14" s="4">
        <v>496468</v>
      </c>
      <c r="P14" s="4">
        <v>481656</v>
      </c>
      <c r="Q14" s="4">
        <v>464608</v>
      </c>
      <c r="R14" s="4">
        <v>448144</v>
      </c>
      <c r="S14" s="4">
        <v>443019</v>
      </c>
      <c r="T14" s="4">
        <v>568776</v>
      </c>
      <c r="U14" s="4">
        <v>580798</v>
      </c>
      <c r="V14" s="4">
        <v>592718</v>
      </c>
      <c r="W14" s="4">
        <v>2423663</v>
      </c>
      <c r="X14" s="4">
        <v>680792</v>
      </c>
      <c r="Z14" s="2" t="s">
        <v>18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L14" s="2" t="s">
        <v>18</v>
      </c>
      <c r="AM14" s="4">
        <v>195420</v>
      </c>
      <c r="AN14" s="4">
        <v>206986</v>
      </c>
      <c r="AO14" s="4">
        <v>218155</v>
      </c>
      <c r="AP14" s="4">
        <v>225197</v>
      </c>
      <c r="AQ14" s="4">
        <v>231763</v>
      </c>
      <c r="AR14" s="4">
        <v>143308</v>
      </c>
      <c r="AS14" s="4">
        <v>132747</v>
      </c>
      <c r="AT14" s="4">
        <v>125624</v>
      </c>
      <c r="AU14" s="4">
        <v>464336</v>
      </c>
      <c r="AV14" s="4">
        <v>63756</v>
      </c>
      <c r="AX14" s="2" t="s">
        <v>18</v>
      </c>
      <c r="AY14" s="24">
        <v>357521</v>
      </c>
      <c r="AZ14" s="24">
        <v>344084</v>
      </c>
      <c r="BA14" s="24">
        <v>333397</v>
      </c>
      <c r="BB14" s="24">
        <v>311969</v>
      </c>
      <c r="BC14" s="24">
        <v>316438</v>
      </c>
      <c r="BD14" s="24">
        <v>403549</v>
      </c>
      <c r="BE14" s="24">
        <v>413486</v>
      </c>
      <c r="BF14" s="24">
        <v>423299</v>
      </c>
      <c r="BG14" s="24">
        <v>1725214</v>
      </c>
      <c r="BH14" s="24">
        <v>488678</v>
      </c>
      <c r="BJ14" s="2" t="s">
        <v>18</v>
      </c>
      <c r="BK14" s="24">
        <v>0</v>
      </c>
      <c r="BL14" s="24">
        <v>0</v>
      </c>
      <c r="BM14" s="24">
        <v>0</v>
      </c>
      <c r="BN14" s="24">
        <v>0</v>
      </c>
      <c r="BO14" s="24">
        <v>0</v>
      </c>
      <c r="BP14" s="24">
        <v>0</v>
      </c>
      <c r="BQ14" s="24">
        <v>0</v>
      </c>
      <c r="BR14" s="24">
        <v>0</v>
      </c>
      <c r="BS14" s="24">
        <v>0</v>
      </c>
      <c r="BT14" s="24">
        <v>0</v>
      </c>
    </row>
    <row r="15" spans="2:72">
      <c r="B15" s="2" t="s">
        <v>19</v>
      </c>
      <c r="C15" s="4">
        <v>272110</v>
      </c>
      <c r="D15" s="4">
        <v>287173</v>
      </c>
      <c r="E15" s="4">
        <v>303771</v>
      </c>
      <c r="F15" s="4">
        <v>322870</v>
      </c>
      <c r="G15" s="4">
        <v>324767</v>
      </c>
      <c r="H15" s="4">
        <v>202003</v>
      </c>
      <c r="I15" s="4">
        <v>188213</v>
      </c>
      <c r="J15" s="4">
        <v>176660</v>
      </c>
      <c r="K15" s="4">
        <v>653387</v>
      </c>
      <c r="L15" s="4">
        <v>88815</v>
      </c>
      <c r="N15" s="2" t="s">
        <v>19</v>
      </c>
      <c r="O15" s="4">
        <v>497242</v>
      </c>
      <c r="P15" s="4">
        <v>480614</v>
      </c>
      <c r="Q15" s="4">
        <v>464938</v>
      </c>
      <c r="R15" s="4">
        <v>446714</v>
      </c>
      <c r="S15" s="4">
        <v>444191</v>
      </c>
      <c r="T15" s="4">
        <v>567315</v>
      </c>
      <c r="U15" s="4">
        <v>580634</v>
      </c>
      <c r="V15" s="4">
        <v>592227</v>
      </c>
      <c r="W15" s="4">
        <v>2424937</v>
      </c>
      <c r="X15" s="4">
        <v>681419</v>
      </c>
      <c r="Z15" s="2" t="s">
        <v>19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L15" s="2" t="s">
        <v>19</v>
      </c>
      <c r="AM15" s="4">
        <v>177798</v>
      </c>
      <c r="AN15" s="4">
        <v>188729</v>
      </c>
      <c r="AO15" s="4">
        <v>198922</v>
      </c>
      <c r="AP15" s="4">
        <v>210387</v>
      </c>
      <c r="AQ15" s="4">
        <v>205604</v>
      </c>
      <c r="AR15" s="4">
        <v>130913</v>
      </c>
      <c r="AS15" s="4">
        <v>121459</v>
      </c>
      <c r="AT15" s="4">
        <v>114269</v>
      </c>
      <c r="AU15" s="4">
        <v>423101</v>
      </c>
      <c r="AV15" s="4">
        <v>58235</v>
      </c>
      <c r="AX15" s="2" t="s">
        <v>19</v>
      </c>
      <c r="AY15" s="24">
        <v>325138</v>
      </c>
      <c r="AZ15" s="24">
        <v>314932</v>
      </c>
      <c r="BA15" s="24">
        <v>304914</v>
      </c>
      <c r="BB15" s="24">
        <v>292174</v>
      </c>
      <c r="BC15" s="24">
        <v>283413</v>
      </c>
      <c r="BD15" s="24">
        <v>369669</v>
      </c>
      <c r="BE15" s="24">
        <v>379098</v>
      </c>
      <c r="BF15" s="24">
        <v>385341</v>
      </c>
      <c r="BG15" s="24">
        <v>1578051</v>
      </c>
      <c r="BH15" s="24">
        <v>445528</v>
      </c>
      <c r="BJ15" s="2" t="s">
        <v>19</v>
      </c>
      <c r="BK15" s="24">
        <v>0</v>
      </c>
      <c r="BL15" s="24">
        <v>0</v>
      </c>
      <c r="BM15" s="24">
        <v>0</v>
      </c>
      <c r="BN15" s="24">
        <v>0</v>
      </c>
      <c r="BO15" s="24">
        <v>0</v>
      </c>
      <c r="BP15" s="24">
        <v>0</v>
      </c>
      <c r="BQ15" s="24">
        <v>0</v>
      </c>
      <c r="BR15" s="24">
        <v>0</v>
      </c>
      <c r="BS15" s="24">
        <v>0</v>
      </c>
      <c r="BT15" s="24">
        <v>0</v>
      </c>
    </row>
    <row r="16" spans="2:72">
      <c r="B16" s="2" t="s">
        <v>20</v>
      </c>
      <c r="C16" s="4">
        <v>272131</v>
      </c>
      <c r="D16" s="4">
        <v>288661</v>
      </c>
      <c r="E16" s="4">
        <v>305238</v>
      </c>
      <c r="F16" s="4">
        <v>322135</v>
      </c>
      <c r="G16" s="4">
        <v>324150</v>
      </c>
      <c r="H16" s="4">
        <v>201468</v>
      </c>
      <c r="I16" s="4">
        <v>187328</v>
      </c>
      <c r="J16" s="4">
        <v>176525</v>
      </c>
      <c r="K16" s="4">
        <v>654099</v>
      </c>
      <c r="L16" s="4">
        <v>88950</v>
      </c>
      <c r="N16" s="2" t="s">
        <v>20</v>
      </c>
      <c r="O16" s="4">
        <v>390059</v>
      </c>
      <c r="P16" s="4">
        <v>377876</v>
      </c>
      <c r="Q16" s="4">
        <v>364415</v>
      </c>
      <c r="R16" s="4">
        <v>353829</v>
      </c>
      <c r="S16" s="4">
        <v>316653</v>
      </c>
      <c r="T16" s="4">
        <v>283334</v>
      </c>
      <c r="U16" s="4">
        <v>482757</v>
      </c>
      <c r="V16" s="4">
        <v>499326</v>
      </c>
      <c r="W16" s="4">
        <v>2076834</v>
      </c>
      <c r="X16" s="4">
        <v>579062</v>
      </c>
      <c r="Z16" s="2" t="s">
        <v>20</v>
      </c>
      <c r="AA16" s="4">
        <v>107627</v>
      </c>
      <c r="AB16" s="4">
        <v>103748</v>
      </c>
      <c r="AC16" s="4">
        <v>100318</v>
      </c>
      <c r="AD16" s="4">
        <v>94210</v>
      </c>
      <c r="AE16" s="4">
        <v>128225</v>
      </c>
      <c r="AF16" s="4">
        <v>283918</v>
      </c>
      <c r="AG16" s="4">
        <v>99407</v>
      </c>
      <c r="AH16" s="4">
        <v>92558</v>
      </c>
      <c r="AI16" s="4">
        <v>344941</v>
      </c>
      <c r="AJ16" s="4">
        <v>100218</v>
      </c>
      <c r="AL16" s="2" t="s">
        <v>20</v>
      </c>
      <c r="AM16" s="4">
        <v>162760</v>
      </c>
      <c r="AN16" s="4">
        <v>171632</v>
      </c>
      <c r="AO16" s="4">
        <v>181858</v>
      </c>
      <c r="AP16" s="4">
        <v>191196</v>
      </c>
      <c r="AQ16" s="4">
        <v>193880</v>
      </c>
      <c r="AR16" s="4">
        <v>115863</v>
      </c>
      <c r="AS16" s="4">
        <v>110928</v>
      </c>
      <c r="AT16" s="4">
        <v>104212</v>
      </c>
      <c r="AU16" s="4">
        <v>390331</v>
      </c>
      <c r="AV16" s="4">
        <v>53167</v>
      </c>
      <c r="AX16" s="2" t="s">
        <v>20</v>
      </c>
      <c r="AY16" s="24">
        <v>232782</v>
      </c>
      <c r="AZ16" s="24">
        <v>225743</v>
      </c>
      <c r="BA16" s="24">
        <v>217744</v>
      </c>
      <c r="BB16" s="24">
        <v>211338</v>
      </c>
      <c r="BC16" s="24">
        <v>189741</v>
      </c>
      <c r="BD16" s="24">
        <v>163911</v>
      </c>
      <c r="BE16" s="24">
        <v>286123</v>
      </c>
      <c r="BF16" s="24">
        <v>297653</v>
      </c>
      <c r="BG16" s="24">
        <v>1233775</v>
      </c>
      <c r="BH16" s="24">
        <v>347039</v>
      </c>
      <c r="BJ16" s="2" t="s">
        <v>20</v>
      </c>
      <c r="BK16" s="24">
        <v>64266</v>
      </c>
      <c r="BL16" s="24">
        <v>62106</v>
      </c>
      <c r="BM16" s="24">
        <v>60287</v>
      </c>
      <c r="BN16" s="24">
        <v>56196</v>
      </c>
      <c r="BO16" s="24">
        <v>76620</v>
      </c>
      <c r="BP16" s="24">
        <v>162919</v>
      </c>
      <c r="BQ16" s="24">
        <v>58561</v>
      </c>
      <c r="BR16" s="24">
        <v>54938</v>
      </c>
      <c r="BS16" s="24">
        <v>200582</v>
      </c>
      <c r="BT16" s="24">
        <v>60528</v>
      </c>
    </row>
    <row r="17" spans="2:72">
      <c r="B17" s="2" t="s">
        <v>21</v>
      </c>
      <c r="C17" s="4">
        <v>379734</v>
      </c>
      <c r="D17" s="4">
        <v>391034</v>
      </c>
      <c r="E17" s="4">
        <v>404889</v>
      </c>
      <c r="F17" s="4">
        <v>415012</v>
      </c>
      <c r="G17" s="4">
        <v>453388</v>
      </c>
      <c r="H17" s="4">
        <v>486099</v>
      </c>
      <c r="I17" s="4">
        <v>285952</v>
      </c>
      <c r="J17" s="4">
        <v>268276</v>
      </c>
      <c r="K17" s="4">
        <v>996648</v>
      </c>
      <c r="L17" s="4">
        <v>188359</v>
      </c>
      <c r="N17" s="2" t="s">
        <v>21</v>
      </c>
      <c r="O17" s="4">
        <v>286509</v>
      </c>
      <c r="P17" s="4">
        <v>277609</v>
      </c>
      <c r="Q17" s="4">
        <v>269661</v>
      </c>
      <c r="R17" s="4">
        <v>258861</v>
      </c>
      <c r="S17" s="4">
        <v>234547</v>
      </c>
      <c r="T17" s="4">
        <v>178085</v>
      </c>
      <c r="U17" s="4">
        <v>206109</v>
      </c>
      <c r="V17" s="4">
        <v>410219</v>
      </c>
      <c r="W17" s="4">
        <v>1736651</v>
      </c>
      <c r="X17" s="4">
        <v>480018</v>
      </c>
      <c r="Z17" s="2" t="s">
        <v>21</v>
      </c>
      <c r="AA17" s="4">
        <v>103659</v>
      </c>
      <c r="AB17" s="4">
        <v>100286</v>
      </c>
      <c r="AC17" s="4">
        <v>95248</v>
      </c>
      <c r="AD17" s="4">
        <v>94236</v>
      </c>
      <c r="AE17" s="4">
        <v>81517</v>
      </c>
      <c r="AF17" s="4">
        <v>106216</v>
      </c>
      <c r="AG17" s="4">
        <v>276133</v>
      </c>
      <c r="AH17" s="4">
        <v>90413</v>
      </c>
      <c r="AI17" s="4">
        <v>343467</v>
      </c>
      <c r="AJ17" s="4">
        <v>101165</v>
      </c>
      <c r="AL17" s="2" t="s">
        <v>21</v>
      </c>
      <c r="AM17" s="4">
        <v>203793</v>
      </c>
      <c r="AN17" s="4">
        <v>209036</v>
      </c>
      <c r="AO17" s="4">
        <v>215856</v>
      </c>
      <c r="AP17" s="4">
        <v>221885</v>
      </c>
      <c r="AQ17" s="4">
        <v>242385</v>
      </c>
      <c r="AR17" s="4">
        <v>258778</v>
      </c>
      <c r="AS17" s="4">
        <v>147285</v>
      </c>
      <c r="AT17" s="4">
        <v>142206</v>
      </c>
      <c r="AU17" s="4">
        <v>533298</v>
      </c>
      <c r="AV17" s="4">
        <v>101264</v>
      </c>
      <c r="AX17" s="2" t="s">
        <v>21</v>
      </c>
      <c r="AY17" s="24">
        <v>153416</v>
      </c>
      <c r="AZ17" s="24">
        <v>148707</v>
      </c>
      <c r="BA17" s="24">
        <v>144152</v>
      </c>
      <c r="BB17" s="24">
        <v>139316</v>
      </c>
      <c r="BC17" s="24">
        <v>126113</v>
      </c>
      <c r="BD17" s="24">
        <v>95300</v>
      </c>
      <c r="BE17" s="24">
        <v>106542</v>
      </c>
      <c r="BF17" s="24">
        <v>217486</v>
      </c>
      <c r="BG17" s="24">
        <v>921387</v>
      </c>
      <c r="BH17" s="24">
        <v>255666</v>
      </c>
      <c r="BJ17" s="2" t="s">
        <v>21</v>
      </c>
      <c r="BK17" s="24">
        <v>55446</v>
      </c>
      <c r="BL17" s="24">
        <v>54140</v>
      </c>
      <c r="BM17" s="24">
        <v>51078</v>
      </c>
      <c r="BN17" s="24">
        <v>50208</v>
      </c>
      <c r="BO17" s="24">
        <v>43810</v>
      </c>
      <c r="BP17" s="24">
        <v>57368</v>
      </c>
      <c r="BQ17" s="24">
        <v>142564</v>
      </c>
      <c r="BR17" s="24">
        <v>47907</v>
      </c>
      <c r="BS17" s="24">
        <v>179034</v>
      </c>
      <c r="BT17" s="24">
        <v>54464</v>
      </c>
    </row>
    <row r="18" spans="2:72">
      <c r="B18" s="2" t="s">
        <v>22</v>
      </c>
      <c r="C18" s="4">
        <v>481716</v>
      </c>
      <c r="D18" s="4">
        <v>491810</v>
      </c>
      <c r="E18" s="4">
        <v>500226</v>
      </c>
      <c r="F18" s="4">
        <v>509533</v>
      </c>
      <c r="G18" s="4">
        <v>533790</v>
      </c>
      <c r="H18" s="4">
        <v>591815</v>
      </c>
      <c r="I18" s="4">
        <v>563599</v>
      </c>
      <c r="J18" s="4">
        <v>358799</v>
      </c>
      <c r="K18" s="4">
        <v>1343030</v>
      </c>
      <c r="L18" s="4">
        <v>289270</v>
      </c>
      <c r="N18" s="2" t="s">
        <v>22</v>
      </c>
      <c r="O18" s="4">
        <v>186583</v>
      </c>
      <c r="P18" s="4">
        <v>181115</v>
      </c>
      <c r="Q18" s="4">
        <v>175614</v>
      </c>
      <c r="R18" s="4">
        <v>168526</v>
      </c>
      <c r="S18" s="4">
        <v>153397</v>
      </c>
      <c r="T18" s="4">
        <v>117225</v>
      </c>
      <c r="U18" s="4">
        <v>107352</v>
      </c>
      <c r="V18" s="4">
        <v>138809</v>
      </c>
      <c r="W18" s="4">
        <v>1391012</v>
      </c>
      <c r="X18" s="4">
        <v>379446</v>
      </c>
      <c r="Z18" s="2" t="s">
        <v>22</v>
      </c>
      <c r="AA18" s="4">
        <v>99626</v>
      </c>
      <c r="AB18" s="4">
        <v>96282</v>
      </c>
      <c r="AC18" s="4">
        <v>93146</v>
      </c>
      <c r="AD18" s="4">
        <v>90489</v>
      </c>
      <c r="AE18" s="4">
        <v>82033</v>
      </c>
      <c r="AF18" s="4">
        <v>60025</v>
      </c>
      <c r="AG18" s="4">
        <v>99161</v>
      </c>
      <c r="AH18" s="4">
        <v>271062</v>
      </c>
      <c r="AI18" s="4">
        <v>345260</v>
      </c>
      <c r="AJ18" s="4">
        <v>100249</v>
      </c>
      <c r="AL18" s="2" t="s">
        <v>22</v>
      </c>
      <c r="AM18" s="4">
        <v>232050</v>
      </c>
      <c r="AN18" s="4">
        <v>235040</v>
      </c>
      <c r="AO18" s="4">
        <v>239292</v>
      </c>
      <c r="AP18" s="4">
        <v>242704</v>
      </c>
      <c r="AQ18" s="4">
        <v>253916</v>
      </c>
      <c r="AR18" s="4">
        <v>282234</v>
      </c>
      <c r="AS18" s="4">
        <v>269343</v>
      </c>
      <c r="AT18" s="4">
        <v>163587</v>
      </c>
      <c r="AU18" s="4">
        <v>637931</v>
      </c>
      <c r="AV18" s="4">
        <v>138864</v>
      </c>
      <c r="AX18" s="2" t="s">
        <v>22</v>
      </c>
      <c r="AY18" s="24">
        <v>88639</v>
      </c>
      <c r="AZ18" s="24">
        <v>86726</v>
      </c>
      <c r="BA18" s="24">
        <v>83925</v>
      </c>
      <c r="BB18" s="24">
        <v>81032</v>
      </c>
      <c r="BC18" s="24">
        <v>73405</v>
      </c>
      <c r="BD18" s="24">
        <v>56159</v>
      </c>
      <c r="BE18" s="24">
        <v>51381</v>
      </c>
      <c r="BF18" s="24">
        <v>64282</v>
      </c>
      <c r="BG18" s="24">
        <v>656862</v>
      </c>
      <c r="BH18" s="24">
        <v>180235</v>
      </c>
      <c r="BJ18" s="2" t="s">
        <v>22</v>
      </c>
      <c r="BK18" s="24">
        <v>48128</v>
      </c>
      <c r="BL18" s="24">
        <v>46445</v>
      </c>
      <c r="BM18" s="24">
        <v>44673</v>
      </c>
      <c r="BN18" s="24">
        <v>43452</v>
      </c>
      <c r="BO18" s="24">
        <v>39372</v>
      </c>
      <c r="BP18" s="24">
        <v>29039</v>
      </c>
      <c r="BQ18" s="24">
        <v>47469</v>
      </c>
      <c r="BR18" s="24">
        <v>124123</v>
      </c>
      <c r="BS18" s="24">
        <v>160208</v>
      </c>
      <c r="BT18" s="24">
        <v>48491</v>
      </c>
    </row>
    <row r="19" spans="2:72">
      <c r="B19" s="2" t="s">
        <v>23</v>
      </c>
      <c r="C19" s="4">
        <v>581994</v>
      </c>
      <c r="D19" s="4">
        <v>587960</v>
      </c>
      <c r="E19" s="4">
        <v>594289</v>
      </c>
      <c r="F19" s="4">
        <v>600314</v>
      </c>
      <c r="G19" s="4">
        <v>615824</v>
      </c>
      <c r="H19" s="4">
        <v>651479</v>
      </c>
      <c r="I19" s="4">
        <v>662811</v>
      </c>
      <c r="J19" s="4">
        <v>629182</v>
      </c>
      <c r="K19" s="4">
        <v>1687788</v>
      </c>
      <c r="L19" s="4">
        <v>389975</v>
      </c>
      <c r="N19" s="2" t="s">
        <v>23</v>
      </c>
      <c r="O19" s="4">
        <v>91235</v>
      </c>
      <c r="P19" s="4">
        <v>88740</v>
      </c>
      <c r="Q19" s="4">
        <v>86291</v>
      </c>
      <c r="R19" s="4">
        <v>83330</v>
      </c>
      <c r="S19" s="4">
        <v>75087</v>
      </c>
      <c r="T19" s="4">
        <v>57004</v>
      </c>
      <c r="U19" s="4">
        <v>53351</v>
      </c>
      <c r="V19" s="4">
        <v>46804</v>
      </c>
      <c r="W19" s="4">
        <v>344918</v>
      </c>
      <c r="X19" s="4">
        <v>278266</v>
      </c>
      <c r="Z19" s="2" t="s">
        <v>23</v>
      </c>
      <c r="AA19" s="4">
        <v>95211</v>
      </c>
      <c r="AB19" s="4">
        <v>93313</v>
      </c>
      <c r="AC19" s="4">
        <v>89747</v>
      </c>
      <c r="AD19" s="4">
        <v>85812</v>
      </c>
      <c r="AE19" s="4">
        <v>78120</v>
      </c>
      <c r="AF19" s="4">
        <v>60497</v>
      </c>
      <c r="AG19" s="4">
        <v>53355</v>
      </c>
      <c r="AH19" s="4">
        <v>92106</v>
      </c>
      <c r="AI19" s="4">
        <v>1044831</v>
      </c>
      <c r="AJ19" s="4">
        <v>100366</v>
      </c>
      <c r="AL19" s="2" t="s">
        <v>23</v>
      </c>
      <c r="AM19" s="4">
        <v>549964</v>
      </c>
      <c r="AN19" s="4">
        <v>555527</v>
      </c>
      <c r="AO19" s="4">
        <v>561397</v>
      </c>
      <c r="AP19" s="4">
        <v>566011</v>
      </c>
      <c r="AQ19" s="4">
        <v>582751</v>
      </c>
      <c r="AR19" s="4">
        <v>615676</v>
      </c>
      <c r="AS19" s="4">
        <v>625418</v>
      </c>
      <c r="AT19" s="4">
        <v>593462</v>
      </c>
      <c r="AU19" s="4">
        <v>1569685</v>
      </c>
      <c r="AV19" s="4">
        <v>369499</v>
      </c>
      <c r="AX19" s="2" t="s">
        <v>23</v>
      </c>
      <c r="AY19" s="24">
        <v>87007</v>
      </c>
      <c r="AZ19" s="24">
        <v>84100</v>
      </c>
      <c r="BA19" s="24">
        <v>81641</v>
      </c>
      <c r="BB19" s="24">
        <v>78536</v>
      </c>
      <c r="BC19" s="24">
        <v>71289</v>
      </c>
      <c r="BD19" s="24">
        <v>54228</v>
      </c>
      <c r="BE19" s="24">
        <v>50645</v>
      </c>
      <c r="BF19" s="24">
        <v>44171</v>
      </c>
      <c r="BG19" s="24">
        <v>321248</v>
      </c>
      <c r="BH19" s="24">
        <v>261152</v>
      </c>
      <c r="BJ19" s="2" t="s">
        <v>23</v>
      </c>
      <c r="BK19" s="24">
        <v>90546</v>
      </c>
      <c r="BL19" s="24">
        <v>88322</v>
      </c>
      <c r="BM19" s="24">
        <v>85542</v>
      </c>
      <c r="BN19" s="24">
        <v>82487</v>
      </c>
      <c r="BO19" s="24">
        <v>74187</v>
      </c>
      <c r="BP19" s="24">
        <v>57793</v>
      </c>
      <c r="BQ19" s="24">
        <v>51016</v>
      </c>
      <c r="BR19" s="24">
        <v>88859</v>
      </c>
      <c r="BS19" s="24">
        <v>956466</v>
      </c>
      <c r="BT19" s="24">
        <v>96088</v>
      </c>
    </row>
    <row r="20" spans="2:72">
      <c r="B20" s="2" t="s">
        <v>24</v>
      </c>
      <c r="C20" s="4">
        <v>272264</v>
      </c>
      <c r="D20" s="4">
        <v>288018</v>
      </c>
      <c r="E20" s="4">
        <v>303772</v>
      </c>
      <c r="F20" s="4">
        <v>322112</v>
      </c>
      <c r="G20" s="4">
        <v>325109</v>
      </c>
      <c r="H20" s="4">
        <v>200929</v>
      </c>
      <c r="I20" s="4">
        <v>187189</v>
      </c>
      <c r="J20" s="4">
        <v>175742</v>
      </c>
      <c r="K20" s="4">
        <v>655334</v>
      </c>
      <c r="L20" s="4">
        <v>88615</v>
      </c>
      <c r="N20" s="2" t="s">
        <v>24</v>
      </c>
      <c r="O20" s="4">
        <v>497436</v>
      </c>
      <c r="P20" s="4">
        <v>481079</v>
      </c>
      <c r="Q20" s="4">
        <v>463900</v>
      </c>
      <c r="R20" s="4">
        <v>448208</v>
      </c>
      <c r="S20" s="4">
        <v>444147</v>
      </c>
      <c r="T20" s="4">
        <v>567374</v>
      </c>
      <c r="U20" s="4">
        <v>582101</v>
      </c>
      <c r="V20" s="4">
        <v>591094</v>
      </c>
      <c r="W20" s="4">
        <v>2424443</v>
      </c>
      <c r="X20" s="4">
        <v>681134</v>
      </c>
      <c r="Z20" s="2" t="s">
        <v>24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L20" s="2" t="s">
        <v>24</v>
      </c>
      <c r="AM20" s="4">
        <v>15469</v>
      </c>
      <c r="AN20" s="4">
        <v>16673</v>
      </c>
      <c r="AO20" s="4">
        <v>17741</v>
      </c>
      <c r="AP20" s="4">
        <v>18545</v>
      </c>
      <c r="AQ20" s="4">
        <v>18977</v>
      </c>
      <c r="AR20" s="4">
        <v>11492</v>
      </c>
      <c r="AS20" s="4">
        <v>10678</v>
      </c>
      <c r="AT20" s="4">
        <v>10094</v>
      </c>
      <c r="AU20" s="4">
        <v>38087</v>
      </c>
      <c r="AV20" s="4">
        <v>4759</v>
      </c>
      <c r="AX20" s="2" t="s">
        <v>24</v>
      </c>
      <c r="AY20" s="24">
        <v>28228</v>
      </c>
      <c r="AZ20" s="24">
        <v>27711</v>
      </c>
      <c r="BA20" s="24">
        <v>26495</v>
      </c>
      <c r="BB20" s="24">
        <v>25615</v>
      </c>
      <c r="BC20" s="24">
        <v>25597</v>
      </c>
      <c r="BD20" s="24">
        <v>32302</v>
      </c>
      <c r="BE20" s="24">
        <v>33159</v>
      </c>
      <c r="BF20" s="24">
        <v>34064</v>
      </c>
      <c r="BG20" s="24">
        <v>138149</v>
      </c>
      <c r="BH20" s="24">
        <v>35937</v>
      </c>
      <c r="BJ20" s="2" t="s">
        <v>24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</row>
    <row r="21" spans="2:72">
      <c r="B21" s="2" t="s">
        <v>25</v>
      </c>
      <c r="C21" s="4">
        <v>272101</v>
      </c>
      <c r="D21" s="4">
        <v>287787</v>
      </c>
      <c r="E21" s="4">
        <v>304620</v>
      </c>
      <c r="F21" s="4">
        <v>321681</v>
      </c>
      <c r="G21" s="4">
        <v>325134</v>
      </c>
      <c r="H21" s="4">
        <v>201949</v>
      </c>
      <c r="I21" s="4">
        <v>186871</v>
      </c>
      <c r="J21" s="4">
        <v>175957</v>
      </c>
      <c r="K21" s="4">
        <v>654114</v>
      </c>
      <c r="L21" s="4">
        <v>88725</v>
      </c>
      <c r="N21" s="2" t="s">
        <v>25</v>
      </c>
      <c r="O21" s="4">
        <v>497096</v>
      </c>
      <c r="P21" s="4">
        <v>481264</v>
      </c>
      <c r="Q21" s="4">
        <v>466273</v>
      </c>
      <c r="R21" s="4">
        <v>446985</v>
      </c>
      <c r="S21" s="4">
        <v>443364</v>
      </c>
      <c r="T21" s="4">
        <v>567581</v>
      </c>
      <c r="U21" s="4">
        <v>582299</v>
      </c>
      <c r="V21" s="4">
        <v>592565</v>
      </c>
      <c r="W21" s="4">
        <v>2423279</v>
      </c>
      <c r="X21" s="4">
        <v>680355</v>
      </c>
      <c r="Z21" s="2" t="s">
        <v>25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L21" s="2" t="s">
        <v>25</v>
      </c>
      <c r="AM21" s="4">
        <v>30891</v>
      </c>
      <c r="AN21" s="4">
        <v>34839</v>
      </c>
      <c r="AO21" s="4">
        <v>36378</v>
      </c>
      <c r="AP21" s="4">
        <v>38531</v>
      </c>
      <c r="AQ21" s="4">
        <v>39157</v>
      </c>
      <c r="AR21" s="4">
        <v>24158</v>
      </c>
      <c r="AS21" s="4">
        <v>22428</v>
      </c>
      <c r="AT21" s="4">
        <v>21235</v>
      </c>
      <c r="AU21" s="4">
        <v>78390</v>
      </c>
      <c r="AV21" s="4">
        <v>10130</v>
      </c>
      <c r="AX21" s="2" t="s">
        <v>25</v>
      </c>
      <c r="AY21" s="24">
        <v>56804</v>
      </c>
      <c r="AZ21" s="24">
        <v>56940</v>
      </c>
      <c r="BA21" s="24">
        <v>55422</v>
      </c>
      <c r="BB21" s="24">
        <v>52706</v>
      </c>
      <c r="BC21" s="24">
        <v>53023</v>
      </c>
      <c r="BD21" s="24">
        <v>67791</v>
      </c>
      <c r="BE21" s="24">
        <v>69727</v>
      </c>
      <c r="BF21" s="24">
        <v>70705</v>
      </c>
      <c r="BG21" s="24">
        <v>289940</v>
      </c>
      <c r="BH21" s="24">
        <v>78086</v>
      </c>
      <c r="BJ21" s="2" t="s">
        <v>25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</row>
    <row r="22" spans="2:72">
      <c r="B22" s="2" t="s">
        <v>26</v>
      </c>
      <c r="C22" s="4">
        <v>271970</v>
      </c>
      <c r="D22" s="4">
        <v>287580</v>
      </c>
      <c r="E22" s="4">
        <v>303593</v>
      </c>
      <c r="F22" s="4">
        <v>322431</v>
      </c>
      <c r="G22" s="4">
        <v>323708</v>
      </c>
      <c r="H22" s="4">
        <v>202153</v>
      </c>
      <c r="I22" s="4">
        <v>187565</v>
      </c>
      <c r="J22" s="4">
        <v>176788</v>
      </c>
      <c r="K22" s="4">
        <v>653747</v>
      </c>
      <c r="L22" s="4">
        <v>88434</v>
      </c>
      <c r="N22" s="2" t="s">
        <v>26</v>
      </c>
      <c r="O22" s="4">
        <v>497779</v>
      </c>
      <c r="P22" s="4">
        <v>480801</v>
      </c>
      <c r="Q22" s="4">
        <v>464318</v>
      </c>
      <c r="R22" s="4">
        <v>447712</v>
      </c>
      <c r="S22" s="4">
        <v>444421</v>
      </c>
      <c r="T22" s="4">
        <v>568769</v>
      </c>
      <c r="U22" s="4">
        <v>580815</v>
      </c>
      <c r="V22" s="4">
        <v>592218</v>
      </c>
      <c r="W22" s="4">
        <v>2424753</v>
      </c>
      <c r="X22" s="4">
        <v>680445</v>
      </c>
      <c r="Z22" s="2" t="s">
        <v>26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L22" s="2" t="s">
        <v>26</v>
      </c>
      <c r="AM22" s="4">
        <v>32958</v>
      </c>
      <c r="AN22" s="4">
        <v>32699</v>
      </c>
      <c r="AO22" s="4">
        <v>36555</v>
      </c>
      <c r="AP22" s="4">
        <v>38824</v>
      </c>
      <c r="AQ22" s="4">
        <v>39238</v>
      </c>
      <c r="AR22" s="4">
        <v>24240</v>
      </c>
      <c r="AS22" s="4">
        <v>22562</v>
      </c>
      <c r="AT22" s="4">
        <v>21357</v>
      </c>
      <c r="AU22" s="4">
        <v>77710</v>
      </c>
      <c r="AV22" s="4">
        <v>10128</v>
      </c>
      <c r="AX22" s="2" t="s">
        <v>26</v>
      </c>
      <c r="AY22" s="24">
        <v>59295</v>
      </c>
      <c r="AZ22" s="24">
        <v>55273</v>
      </c>
      <c r="BA22" s="24">
        <v>54969</v>
      </c>
      <c r="BB22" s="24">
        <v>53603</v>
      </c>
      <c r="BC22" s="24">
        <v>52815</v>
      </c>
      <c r="BD22" s="24">
        <v>67814</v>
      </c>
      <c r="BE22" s="24">
        <v>69327</v>
      </c>
      <c r="BF22" s="24">
        <v>70120</v>
      </c>
      <c r="BG22" s="24">
        <v>289810</v>
      </c>
      <c r="BH22" s="24">
        <v>77952</v>
      </c>
      <c r="BJ22" s="2" t="s">
        <v>26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</row>
    <row r="23" spans="2:72">
      <c r="B23" s="2" t="s">
        <v>27</v>
      </c>
      <c r="C23" s="4">
        <v>272152</v>
      </c>
      <c r="D23" s="4">
        <v>288909</v>
      </c>
      <c r="E23" s="4">
        <v>303976</v>
      </c>
      <c r="F23" s="4">
        <v>321873</v>
      </c>
      <c r="G23" s="4">
        <v>325146</v>
      </c>
      <c r="H23" s="4">
        <v>202108</v>
      </c>
      <c r="I23" s="4">
        <v>187873</v>
      </c>
      <c r="J23" s="4">
        <v>176628</v>
      </c>
      <c r="K23" s="4">
        <v>653776</v>
      </c>
      <c r="L23" s="4">
        <v>89167</v>
      </c>
      <c r="N23" s="2" t="s">
        <v>27</v>
      </c>
      <c r="O23" s="4">
        <v>497557</v>
      </c>
      <c r="P23" s="4">
        <v>480935</v>
      </c>
      <c r="Q23" s="4">
        <v>464194</v>
      </c>
      <c r="R23" s="4">
        <v>447715</v>
      </c>
      <c r="S23" s="4">
        <v>444058</v>
      </c>
      <c r="T23" s="4">
        <v>567503</v>
      </c>
      <c r="U23" s="4">
        <v>582507</v>
      </c>
      <c r="V23" s="4">
        <v>592172</v>
      </c>
      <c r="W23" s="4">
        <v>2420671</v>
      </c>
      <c r="X23" s="4">
        <v>681080</v>
      </c>
      <c r="Z23" s="2" t="s">
        <v>27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L23" s="2" t="s">
        <v>27</v>
      </c>
      <c r="AM23" s="4">
        <v>32636</v>
      </c>
      <c r="AN23" s="4">
        <v>34384</v>
      </c>
      <c r="AO23" s="4">
        <v>35024</v>
      </c>
      <c r="AP23" s="4">
        <v>38485</v>
      </c>
      <c r="AQ23" s="4">
        <v>39132</v>
      </c>
      <c r="AR23" s="4">
        <v>23903</v>
      </c>
      <c r="AS23" s="4">
        <v>22367</v>
      </c>
      <c r="AT23" s="4">
        <v>21089</v>
      </c>
      <c r="AU23" s="4">
        <v>78434</v>
      </c>
      <c r="AV23" s="4">
        <v>10038</v>
      </c>
      <c r="AX23" s="2" t="s">
        <v>27</v>
      </c>
      <c r="AY23" s="24">
        <v>59553</v>
      </c>
      <c r="AZ23" s="24">
        <v>56896</v>
      </c>
      <c r="BA23" s="24">
        <v>53291</v>
      </c>
      <c r="BB23" s="24">
        <v>53414</v>
      </c>
      <c r="BC23" s="24">
        <v>52752</v>
      </c>
      <c r="BD23" s="24">
        <v>67376</v>
      </c>
      <c r="BE23" s="24">
        <v>69615</v>
      </c>
      <c r="BF23" s="24">
        <v>70606</v>
      </c>
      <c r="BG23" s="24">
        <v>289840</v>
      </c>
      <c r="BH23" s="24">
        <v>77592</v>
      </c>
      <c r="BJ23" s="2" t="s">
        <v>27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</row>
    <row r="24" spans="2:72">
      <c r="B24" s="2" t="s">
        <v>28</v>
      </c>
      <c r="C24" s="4">
        <v>273017</v>
      </c>
      <c r="D24" s="4">
        <v>288152</v>
      </c>
      <c r="E24" s="4">
        <v>304253</v>
      </c>
      <c r="F24" s="4">
        <v>321801</v>
      </c>
      <c r="G24" s="4">
        <v>325742</v>
      </c>
      <c r="H24" s="4">
        <v>201572</v>
      </c>
      <c r="I24" s="4">
        <v>187784</v>
      </c>
      <c r="J24" s="4">
        <v>176610</v>
      </c>
      <c r="K24" s="4">
        <v>653900</v>
      </c>
      <c r="L24" s="4">
        <v>88612</v>
      </c>
      <c r="N24" s="2" t="s">
        <v>28</v>
      </c>
      <c r="O24" s="4">
        <v>496489</v>
      </c>
      <c r="P24" s="4">
        <v>481912</v>
      </c>
      <c r="Q24" s="4">
        <v>466428</v>
      </c>
      <c r="R24" s="4">
        <v>447175</v>
      </c>
      <c r="S24" s="4">
        <v>444538</v>
      </c>
      <c r="T24" s="4">
        <v>566986</v>
      </c>
      <c r="U24" s="4">
        <v>580175</v>
      </c>
      <c r="V24" s="4">
        <v>591831</v>
      </c>
      <c r="W24" s="4">
        <v>2422727</v>
      </c>
      <c r="X24" s="4">
        <v>680296</v>
      </c>
      <c r="Z24" s="2" t="s">
        <v>28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L24" s="2" t="s">
        <v>28</v>
      </c>
      <c r="AM24" s="4">
        <v>32565</v>
      </c>
      <c r="AN24" s="4">
        <v>34784</v>
      </c>
      <c r="AO24" s="4">
        <v>36716</v>
      </c>
      <c r="AP24" s="4">
        <v>37097</v>
      </c>
      <c r="AQ24" s="4">
        <v>39069</v>
      </c>
      <c r="AR24" s="4">
        <v>24171</v>
      </c>
      <c r="AS24" s="4">
        <v>22612</v>
      </c>
      <c r="AT24" s="4">
        <v>21222</v>
      </c>
      <c r="AU24" s="4">
        <v>78301</v>
      </c>
      <c r="AV24" s="4">
        <v>10283</v>
      </c>
      <c r="AX24" s="2" t="s">
        <v>28</v>
      </c>
      <c r="AY24" s="24">
        <v>59233</v>
      </c>
      <c r="AZ24" s="24">
        <v>57389</v>
      </c>
      <c r="BA24" s="24">
        <v>55431</v>
      </c>
      <c r="BB24" s="24">
        <v>50875</v>
      </c>
      <c r="BC24" s="24">
        <v>52655</v>
      </c>
      <c r="BD24" s="24">
        <v>67582</v>
      </c>
      <c r="BE24" s="24">
        <v>69470</v>
      </c>
      <c r="BF24" s="24">
        <v>71409</v>
      </c>
      <c r="BG24" s="24">
        <v>289613</v>
      </c>
      <c r="BH24" s="24">
        <v>77727</v>
      </c>
      <c r="BJ24" s="2" t="s">
        <v>28</v>
      </c>
      <c r="BK24" s="24">
        <v>0</v>
      </c>
      <c r="BL24" s="24">
        <v>0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</row>
    <row r="25" spans="2:72">
      <c r="B25" s="2" t="s">
        <v>29</v>
      </c>
      <c r="C25" s="4">
        <v>271576</v>
      </c>
      <c r="D25" s="4">
        <v>287861</v>
      </c>
      <c r="E25" s="4">
        <v>304202</v>
      </c>
      <c r="F25" s="4">
        <v>321186</v>
      </c>
      <c r="G25" s="4">
        <v>325885</v>
      </c>
      <c r="H25" s="4">
        <v>200581</v>
      </c>
      <c r="I25" s="4">
        <v>187678</v>
      </c>
      <c r="J25" s="4">
        <v>176114</v>
      </c>
      <c r="K25" s="4">
        <v>654277</v>
      </c>
      <c r="L25" s="4">
        <v>88552</v>
      </c>
      <c r="N25" s="2" t="s">
        <v>29</v>
      </c>
      <c r="O25" s="4">
        <v>390341</v>
      </c>
      <c r="P25" s="4">
        <v>377836</v>
      </c>
      <c r="Q25" s="4">
        <v>365349</v>
      </c>
      <c r="R25" s="4">
        <v>354267</v>
      </c>
      <c r="S25" s="4">
        <v>317047</v>
      </c>
      <c r="T25" s="4">
        <v>284204</v>
      </c>
      <c r="U25" s="4">
        <v>483479</v>
      </c>
      <c r="V25" s="4">
        <v>499611</v>
      </c>
      <c r="W25" s="4">
        <v>2076806</v>
      </c>
      <c r="X25" s="4">
        <v>580218</v>
      </c>
      <c r="Z25" s="2" t="s">
        <v>29</v>
      </c>
      <c r="AA25" s="4">
        <v>107579</v>
      </c>
      <c r="AB25" s="4">
        <v>103673</v>
      </c>
      <c r="AC25" s="4">
        <v>100121</v>
      </c>
      <c r="AD25" s="4">
        <v>93801</v>
      </c>
      <c r="AE25" s="4">
        <v>127587</v>
      </c>
      <c r="AF25" s="4">
        <v>283829</v>
      </c>
      <c r="AG25" s="4">
        <v>99413</v>
      </c>
      <c r="AH25" s="4">
        <v>92656</v>
      </c>
      <c r="AI25" s="4">
        <v>343821</v>
      </c>
      <c r="AJ25" s="4">
        <v>100450</v>
      </c>
      <c r="AL25" s="2" t="s">
        <v>29</v>
      </c>
      <c r="AM25" s="4">
        <v>32583</v>
      </c>
      <c r="AN25" s="4">
        <v>34507</v>
      </c>
      <c r="AO25" s="4">
        <v>36869</v>
      </c>
      <c r="AP25" s="4">
        <v>38527</v>
      </c>
      <c r="AQ25" s="4">
        <v>37046</v>
      </c>
      <c r="AR25" s="4">
        <v>24361</v>
      </c>
      <c r="AS25" s="4">
        <v>22542</v>
      </c>
      <c r="AT25" s="4">
        <v>21076</v>
      </c>
      <c r="AU25" s="4">
        <v>78033</v>
      </c>
      <c r="AV25" s="4">
        <v>10054</v>
      </c>
      <c r="AX25" s="2" t="s">
        <v>29</v>
      </c>
      <c r="AY25" s="24">
        <v>46547</v>
      </c>
      <c r="AZ25" s="24">
        <v>44872</v>
      </c>
      <c r="BA25" s="24">
        <v>43263</v>
      </c>
      <c r="BB25" s="24">
        <v>41802</v>
      </c>
      <c r="BC25" s="24">
        <v>36048</v>
      </c>
      <c r="BD25" s="24">
        <v>33759</v>
      </c>
      <c r="BE25" s="24">
        <v>57398</v>
      </c>
      <c r="BF25" s="24">
        <v>59848</v>
      </c>
      <c r="BG25" s="24">
        <v>249234</v>
      </c>
      <c r="BH25" s="24">
        <v>66273</v>
      </c>
      <c r="BJ25" s="2" t="s">
        <v>29</v>
      </c>
      <c r="BK25" s="24">
        <v>13032</v>
      </c>
      <c r="BL25" s="24">
        <v>12425</v>
      </c>
      <c r="BM25" s="24">
        <v>12141</v>
      </c>
      <c r="BN25" s="24">
        <v>11121</v>
      </c>
      <c r="BO25" s="24">
        <v>14302</v>
      </c>
      <c r="BP25" s="24">
        <v>34046</v>
      </c>
      <c r="BQ25" s="24">
        <v>11838</v>
      </c>
      <c r="BR25" s="24">
        <v>11065</v>
      </c>
      <c r="BS25" s="24">
        <v>41590</v>
      </c>
      <c r="BT25" s="24">
        <v>11216</v>
      </c>
    </row>
    <row r="26" spans="2:72">
      <c r="B26" s="2" t="s">
        <v>30</v>
      </c>
      <c r="C26" s="4">
        <v>380519</v>
      </c>
      <c r="D26" s="4">
        <v>390896</v>
      </c>
      <c r="E26" s="4">
        <v>404850</v>
      </c>
      <c r="F26" s="4">
        <v>415641</v>
      </c>
      <c r="G26" s="4">
        <v>452587</v>
      </c>
      <c r="H26" s="4">
        <v>483865</v>
      </c>
      <c r="I26" s="4">
        <v>287327</v>
      </c>
      <c r="J26" s="4">
        <v>268221</v>
      </c>
      <c r="K26" s="4">
        <v>998320</v>
      </c>
      <c r="L26" s="4">
        <v>188547</v>
      </c>
      <c r="N26" s="2" t="s">
        <v>30</v>
      </c>
      <c r="O26" s="4">
        <v>285800</v>
      </c>
      <c r="P26" s="4">
        <v>277592</v>
      </c>
      <c r="Q26" s="4">
        <v>268730</v>
      </c>
      <c r="R26" s="4">
        <v>259775</v>
      </c>
      <c r="S26" s="4">
        <v>234644</v>
      </c>
      <c r="T26" s="4">
        <v>177830</v>
      </c>
      <c r="U26" s="4">
        <v>206165</v>
      </c>
      <c r="V26" s="4">
        <v>409223</v>
      </c>
      <c r="W26" s="4">
        <v>1736839</v>
      </c>
      <c r="X26" s="4">
        <v>480275</v>
      </c>
      <c r="Z26" s="2" t="s">
        <v>30</v>
      </c>
      <c r="AA26" s="4">
        <v>103636</v>
      </c>
      <c r="AB26" s="4">
        <v>100446</v>
      </c>
      <c r="AC26" s="4">
        <v>95373</v>
      </c>
      <c r="AD26" s="4">
        <v>94226</v>
      </c>
      <c r="AE26" s="4">
        <v>81773</v>
      </c>
      <c r="AF26" s="4">
        <v>105692</v>
      </c>
      <c r="AG26" s="4">
        <v>276853</v>
      </c>
      <c r="AH26" s="4">
        <v>90058</v>
      </c>
      <c r="AI26" s="4">
        <v>342959</v>
      </c>
      <c r="AJ26" s="4">
        <v>101338</v>
      </c>
      <c r="AL26" s="2" t="s">
        <v>30</v>
      </c>
      <c r="AM26" s="4">
        <v>45261</v>
      </c>
      <c r="AN26" s="4">
        <v>46489</v>
      </c>
      <c r="AO26" s="4">
        <v>48846</v>
      </c>
      <c r="AP26" s="4">
        <v>49829</v>
      </c>
      <c r="AQ26" s="4">
        <v>53602</v>
      </c>
      <c r="AR26" s="4">
        <v>55593</v>
      </c>
      <c r="AS26" s="4">
        <v>34184</v>
      </c>
      <c r="AT26" s="4">
        <v>32081</v>
      </c>
      <c r="AU26" s="4">
        <v>118786</v>
      </c>
      <c r="AV26" s="4">
        <v>21575</v>
      </c>
      <c r="AX26" s="2" t="s">
        <v>30</v>
      </c>
      <c r="AY26" s="24">
        <v>34474</v>
      </c>
      <c r="AZ26" s="24">
        <v>33090</v>
      </c>
      <c r="BA26" s="24">
        <v>32009</v>
      </c>
      <c r="BB26" s="24">
        <v>31006</v>
      </c>
      <c r="BC26" s="24">
        <v>28144</v>
      </c>
      <c r="BD26" s="24">
        <v>20431</v>
      </c>
      <c r="BE26" s="24">
        <v>24335</v>
      </c>
      <c r="BF26" s="24">
        <v>48738</v>
      </c>
      <c r="BG26" s="24">
        <v>207367</v>
      </c>
      <c r="BH26" s="24">
        <v>55491</v>
      </c>
      <c r="BJ26" s="2" t="s">
        <v>30</v>
      </c>
      <c r="BK26" s="24">
        <v>12383</v>
      </c>
      <c r="BL26" s="24">
        <v>12152</v>
      </c>
      <c r="BM26" s="24">
        <v>11310</v>
      </c>
      <c r="BN26" s="24">
        <v>11434</v>
      </c>
      <c r="BO26" s="24">
        <v>9833</v>
      </c>
      <c r="BP26" s="24">
        <v>11986</v>
      </c>
      <c r="BQ26" s="24">
        <v>33203</v>
      </c>
      <c r="BR26" s="24">
        <v>10845</v>
      </c>
      <c r="BS26" s="24">
        <v>41525</v>
      </c>
      <c r="BT26" s="24">
        <v>11399</v>
      </c>
    </row>
    <row r="27" spans="2:72">
      <c r="B27" s="2" t="s">
        <v>31</v>
      </c>
      <c r="C27" s="4">
        <v>482893</v>
      </c>
      <c r="D27" s="4">
        <v>492107</v>
      </c>
      <c r="E27" s="4">
        <v>499843</v>
      </c>
      <c r="F27" s="4">
        <v>509661</v>
      </c>
      <c r="G27" s="4">
        <v>534537</v>
      </c>
      <c r="H27" s="4">
        <v>593456</v>
      </c>
      <c r="I27" s="4">
        <v>563043</v>
      </c>
      <c r="J27" s="4">
        <v>359041</v>
      </c>
      <c r="K27" s="4">
        <v>1340282</v>
      </c>
      <c r="L27" s="4">
        <v>289440</v>
      </c>
      <c r="N27" s="2" t="s">
        <v>31</v>
      </c>
      <c r="O27" s="4">
        <v>186099</v>
      </c>
      <c r="P27" s="4">
        <v>181590</v>
      </c>
      <c r="Q27" s="4">
        <v>175671</v>
      </c>
      <c r="R27" s="4">
        <v>169133</v>
      </c>
      <c r="S27" s="4">
        <v>152720</v>
      </c>
      <c r="T27" s="4">
        <v>117906</v>
      </c>
      <c r="U27" s="4">
        <v>106417</v>
      </c>
      <c r="V27" s="4">
        <v>139188</v>
      </c>
      <c r="W27" s="4">
        <v>1391209</v>
      </c>
      <c r="X27" s="4">
        <v>378258</v>
      </c>
      <c r="Z27" s="2" t="s">
        <v>31</v>
      </c>
      <c r="AA27" s="4">
        <v>100142</v>
      </c>
      <c r="AB27" s="4">
        <v>96180</v>
      </c>
      <c r="AC27" s="4">
        <v>93263</v>
      </c>
      <c r="AD27" s="4">
        <v>90472</v>
      </c>
      <c r="AE27" s="4">
        <v>81773</v>
      </c>
      <c r="AF27" s="4">
        <v>60227</v>
      </c>
      <c r="AG27" s="4">
        <v>99476</v>
      </c>
      <c r="AH27" s="4">
        <v>270135</v>
      </c>
      <c r="AI27" s="4">
        <v>345098</v>
      </c>
      <c r="AJ27" s="4">
        <v>100740</v>
      </c>
      <c r="AL27" s="2" t="s">
        <v>31</v>
      </c>
      <c r="AM27" s="4">
        <v>57748</v>
      </c>
      <c r="AN27" s="4">
        <v>59020</v>
      </c>
      <c r="AO27" s="4">
        <v>59528</v>
      </c>
      <c r="AP27" s="4">
        <v>60848</v>
      </c>
      <c r="AQ27" s="4">
        <v>64106</v>
      </c>
      <c r="AR27" s="4">
        <v>70992</v>
      </c>
      <c r="AS27" s="4">
        <v>63946</v>
      </c>
      <c r="AT27" s="4">
        <v>43055</v>
      </c>
      <c r="AU27" s="4">
        <v>160550</v>
      </c>
      <c r="AV27" s="4">
        <v>33395</v>
      </c>
      <c r="AX27" s="2" t="s">
        <v>31</v>
      </c>
      <c r="AY27" s="24">
        <v>22172</v>
      </c>
      <c r="AZ27" s="24">
        <v>21408</v>
      </c>
      <c r="BA27" s="24">
        <v>20741</v>
      </c>
      <c r="BB27" s="24">
        <v>20334</v>
      </c>
      <c r="BC27" s="24">
        <v>18403</v>
      </c>
      <c r="BD27" s="24">
        <v>14027</v>
      </c>
      <c r="BE27" s="24">
        <v>12088</v>
      </c>
      <c r="BF27" s="24">
        <v>16599</v>
      </c>
      <c r="BG27" s="24">
        <v>165707</v>
      </c>
      <c r="BH27" s="24">
        <v>43623</v>
      </c>
      <c r="BJ27" s="2" t="s">
        <v>31</v>
      </c>
      <c r="BK27" s="24">
        <v>11867</v>
      </c>
      <c r="BL27" s="24">
        <v>11547</v>
      </c>
      <c r="BM27" s="24">
        <v>11132</v>
      </c>
      <c r="BN27" s="24">
        <v>10924</v>
      </c>
      <c r="BO27" s="24">
        <v>9797</v>
      </c>
      <c r="BP27" s="24">
        <v>7254</v>
      </c>
      <c r="BQ27" s="24">
        <v>11001</v>
      </c>
      <c r="BR27" s="24">
        <v>32398</v>
      </c>
      <c r="BS27" s="24">
        <v>41330</v>
      </c>
      <c r="BT27" s="24">
        <v>11285</v>
      </c>
    </row>
    <row r="28" spans="2:72">
      <c r="B28" s="2" t="s">
        <v>32</v>
      </c>
      <c r="C28" s="4">
        <v>582278</v>
      </c>
      <c r="D28" s="4">
        <v>587528</v>
      </c>
      <c r="E28" s="4">
        <v>593779</v>
      </c>
      <c r="F28" s="4">
        <v>599743</v>
      </c>
      <c r="G28" s="4">
        <v>617741</v>
      </c>
      <c r="H28" s="4">
        <v>651926</v>
      </c>
      <c r="I28" s="4">
        <v>662037</v>
      </c>
      <c r="J28" s="4">
        <v>630708</v>
      </c>
      <c r="K28" s="4">
        <v>1686231</v>
      </c>
      <c r="L28" s="4">
        <v>388983</v>
      </c>
      <c r="N28" s="2" t="s">
        <v>32</v>
      </c>
      <c r="O28" s="4">
        <v>90877</v>
      </c>
      <c r="P28" s="4">
        <v>88454</v>
      </c>
      <c r="Q28" s="4">
        <v>86630</v>
      </c>
      <c r="R28" s="4">
        <v>83219</v>
      </c>
      <c r="S28" s="4">
        <v>74727</v>
      </c>
      <c r="T28" s="4">
        <v>56420</v>
      </c>
      <c r="U28" s="4">
        <v>53614</v>
      </c>
      <c r="V28" s="4">
        <v>46842</v>
      </c>
      <c r="W28" s="4">
        <v>344599</v>
      </c>
      <c r="X28" s="4">
        <v>278226</v>
      </c>
      <c r="Z28" s="2" t="s">
        <v>32</v>
      </c>
      <c r="AA28" s="4">
        <v>96090</v>
      </c>
      <c r="AB28" s="4">
        <v>92813</v>
      </c>
      <c r="AC28" s="4">
        <v>89267</v>
      </c>
      <c r="AD28" s="4">
        <v>86306</v>
      </c>
      <c r="AE28" s="4">
        <v>78280</v>
      </c>
      <c r="AF28" s="4">
        <v>60461</v>
      </c>
      <c r="AG28" s="4">
        <v>53180</v>
      </c>
      <c r="AH28" s="4">
        <v>92392</v>
      </c>
      <c r="AI28" s="4">
        <v>1046009</v>
      </c>
      <c r="AJ28" s="4">
        <v>100640</v>
      </c>
      <c r="AL28" s="2" t="s">
        <v>32</v>
      </c>
      <c r="AM28" s="4">
        <v>69649</v>
      </c>
      <c r="AN28" s="4">
        <v>70400</v>
      </c>
      <c r="AO28" s="4">
        <v>70809</v>
      </c>
      <c r="AP28" s="4">
        <v>71816</v>
      </c>
      <c r="AQ28" s="4">
        <v>73263</v>
      </c>
      <c r="AR28" s="4">
        <v>77699</v>
      </c>
      <c r="AS28" s="4">
        <v>79348</v>
      </c>
      <c r="AT28" s="4">
        <v>72375</v>
      </c>
      <c r="AU28" s="4">
        <v>201740</v>
      </c>
      <c r="AV28" s="4">
        <v>44542</v>
      </c>
      <c r="AX28" s="2" t="s">
        <v>32</v>
      </c>
      <c r="AY28" s="24">
        <v>10574</v>
      </c>
      <c r="AZ28" s="24">
        <v>10780</v>
      </c>
      <c r="BA28" s="24">
        <v>10323</v>
      </c>
      <c r="BB28" s="24">
        <v>9885</v>
      </c>
      <c r="BC28" s="24">
        <v>8979</v>
      </c>
      <c r="BD28" s="24">
        <v>6821</v>
      </c>
      <c r="BE28" s="24">
        <v>6469</v>
      </c>
      <c r="BF28" s="24">
        <v>5433</v>
      </c>
      <c r="BG28" s="24">
        <v>40363</v>
      </c>
      <c r="BH28" s="24">
        <v>31908</v>
      </c>
      <c r="BJ28" s="2" t="s">
        <v>32</v>
      </c>
      <c r="BK28" s="24">
        <v>11261</v>
      </c>
      <c r="BL28" s="24">
        <v>11214</v>
      </c>
      <c r="BM28" s="24">
        <v>10759</v>
      </c>
      <c r="BN28" s="24">
        <v>10157</v>
      </c>
      <c r="BO28" s="24">
        <v>9400</v>
      </c>
      <c r="BP28" s="24">
        <v>7457</v>
      </c>
      <c r="BQ28" s="24">
        <v>6504</v>
      </c>
      <c r="BR28" s="24">
        <v>10488</v>
      </c>
      <c r="BS28" s="24">
        <v>125216</v>
      </c>
      <c r="BT28" s="24">
        <v>11093</v>
      </c>
    </row>
    <row r="29" spans="2:72">
      <c r="B29" s="2" t="s">
        <v>33</v>
      </c>
      <c r="C29" s="4">
        <v>769895</v>
      </c>
      <c r="D29" s="4">
        <v>769094</v>
      </c>
      <c r="E29" s="4">
        <v>768261</v>
      </c>
      <c r="F29" s="4">
        <v>767581</v>
      </c>
      <c r="G29" s="4">
        <v>769223</v>
      </c>
      <c r="H29" s="4">
        <v>768796</v>
      </c>
      <c r="I29" s="4">
        <v>767614</v>
      </c>
      <c r="J29" s="4">
        <v>771135</v>
      </c>
      <c r="K29" s="4">
        <v>2840065</v>
      </c>
      <c r="L29" s="4">
        <v>532673</v>
      </c>
      <c r="N29" s="2" t="s">
        <v>33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Z29" s="2" t="s">
        <v>33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238215</v>
      </c>
      <c r="AJ29" s="4">
        <v>237448</v>
      </c>
      <c r="AL29" s="2" t="s">
        <v>33</v>
      </c>
      <c r="AM29" s="4">
        <v>367592</v>
      </c>
      <c r="AN29" s="4">
        <v>366987</v>
      </c>
      <c r="AO29" s="4">
        <v>368397</v>
      </c>
      <c r="AP29" s="4">
        <v>368314</v>
      </c>
      <c r="AQ29" s="4">
        <v>367410</v>
      </c>
      <c r="AR29" s="4">
        <v>366506</v>
      </c>
      <c r="AS29" s="4">
        <v>367944</v>
      </c>
      <c r="AT29" s="4">
        <v>368167</v>
      </c>
      <c r="AU29" s="4">
        <v>1346746</v>
      </c>
      <c r="AV29" s="4">
        <v>244626</v>
      </c>
      <c r="AX29" s="2" t="s">
        <v>33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J29" s="2" t="s">
        <v>33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108118</v>
      </c>
      <c r="BT29" s="24">
        <v>108010</v>
      </c>
    </row>
    <row r="31" spans="2:72">
      <c r="B31" s="6" t="s">
        <v>34</v>
      </c>
      <c r="C31" s="7"/>
      <c r="D31" s="7"/>
      <c r="E31" s="7"/>
      <c r="F31" s="7"/>
      <c r="G31" s="7"/>
      <c r="H31" s="7"/>
      <c r="I31" s="7"/>
      <c r="J31" s="7"/>
      <c r="K31" s="7"/>
      <c r="L31" s="8"/>
      <c r="N31" s="6" t="s">
        <v>35</v>
      </c>
      <c r="O31" s="7"/>
      <c r="P31" s="7"/>
      <c r="Q31" s="7"/>
      <c r="R31" s="7"/>
      <c r="S31" s="7"/>
      <c r="T31" s="7"/>
      <c r="U31" s="7"/>
      <c r="V31" s="7"/>
      <c r="W31" s="7"/>
      <c r="X31" s="8"/>
      <c r="Z31" s="6" t="s">
        <v>36</v>
      </c>
      <c r="AA31" s="7"/>
      <c r="AB31" s="7"/>
      <c r="AC31" s="7"/>
      <c r="AD31" s="7"/>
      <c r="AE31" s="7"/>
      <c r="AF31" s="7"/>
      <c r="AG31" s="7"/>
      <c r="AH31" s="7"/>
      <c r="AI31" s="7"/>
      <c r="AJ31" s="8"/>
      <c r="AL31" s="9" t="s">
        <v>37</v>
      </c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2:72">
      <c r="B32" s="1"/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  <c r="L32" s="2" t="s">
        <v>6</v>
      </c>
      <c r="N32" s="1"/>
      <c r="O32" s="2">
        <v>2</v>
      </c>
      <c r="P32" s="2">
        <v>3</v>
      </c>
      <c r="Q32" s="2">
        <v>4</v>
      </c>
      <c r="R32" s="2">
        <v>5</v>
      </c>
      <c r="S32" s="2">
        <v>6</v>
      </c>
      <c r="T32" s="2">
        <v>7</v>
      </c>
      <c r="U32" s="2">
        <v>8</v>
      </c>
      <c r="V32" s="2">
        <v>9</v>
      </c>
      <c r="W32" s="2">
        <v>10</v>
      </c>
      <c r="X32" s="2" t="s">
        <v>6</v>
      </c>
      <c r="Z32" s="1"/>
      <c r="AA32" s="2">
        <v>2</v>
      </c>
      <c r="AB32" s="2">
        <v>3</v>
      </c>
      <c r="AC32" s="2">
        <v>4</v>
      </c>
      <c r="AD32" s="2">
        <v>5</v>
      </c>
      <c r="AE32" s="2">
        <v>6</v>
      </c>
      <c r="AF32" s="2">
        <v>7</v>
      </c>
      <c r="AG32" s="2">
        <v>8</v>
      </c>
      <c r="AH32" s="2">
        <v>9</v>
      </c>
      <c r="AI32" s="2">
        <v>10</v>
      </c>
      <c r="AJ32" s="2" t="s">
        <v>6</v>
      </c>
      <c r="AL32" s="25" t="s">
        <v>38</v>
      </c>
      <c r="AM32" s="25"/>
      <c r="AN32" s="25"/>
      <c r="AO32" s="25"/>
      <c r="AP32" s="25"/>
      <c r="AQ32" s="25"/>
      <c r="AR32" s="25" t="s">
        <v>39</v>
      </c>
      <c r="AS32" s="25"/>
      <c r="AT32" s="25"/>
      <c r="AU32" s="25"/>
      <c r="AV32" s="25"/>
      <c r="AW32" s="25"/>
    </row>
    <row r="33" spans="2:49">
      <c r="B33" s="2" t="s">
        <v>7</v>
      </c>
      <c r="C33" s="3">
        <f>C3/(C3+O3+AA3)</f>
        <v>0.35328255633073724</v>
      </c>
      <c r="D33" s="3">
        <f t="shared" ref="D33:L33" si="0">D3/(D3+P3+AB3)</f>
        <v>0.37310004842791056</v>
      </c>
      <c r="E33" s="3">
        <f t="shared" si="0"/>
        <v>0.39572429457227354</v>
      </c>
      <c r="F33" s="3">
        <f t="shared" si="0"/>
        <v>0.41841175613664505</v>
      </c>
      <c r="G33" s="3">
        <f t="shared" si="0"/>
        <v>0.42284046136041509</v>
      </c>
      <c r="H33" s="3">
        <f t="shared" si="0"/>
        <v>0.26130483397040849</v>
      </c>
      <c r="I33" s="3">
        <f t="shared" si="0"/>
        <v>0.24404810752158729</v>
      </c>
      <c r="J33" s="3">
        <f t="shared" si="0"/>
        <v>0.22929253835244245</v>
      </c>
      <c r="K33" s="3">
        <f t="shared" si="0"/>
        <v>0.21259943283778907</v>
      </c>
      <c r="L33" s="3">
        <f t="shared" si="0"/>
        <v>0.11534248894619287</v>
      </c>
      <c r="N33" s="2" t="s">
        <v>7</v>
      </c>
      <c r="O33" s="3">
        <f>O3/(C3+O3+AA3)</f>
        <v>0.64671744366926276</v>
      </c>
      <c r="P33" s="3">
        <f t="shared" ref="P33:X33" si="1">P3/(D3+P3+AB3)</f>
        <v>0.62689995157208944</v>
      </c>
      <c r="Q33" s="3">
        <f t="shared" si="1"/>
        <v>0.60427570542772646</v>
      </c>
      <c r="R33" s="3">
        <f t="shared" si="1"/>
        <v>0.58158824386335495</v>
      </c>
      <c r="S33" s="3">
        <f t="shared" si="1"/>
        <v>0.57715953863958491</v>
      </c>
      <c r="T33" s="3">
        <f t="shared" si="1"/>
        <v>0.73869516602959151</v>
      </c>
      <c r="U33" s="3">
        <f t="shared" si="1"/>
        <v>0.75595189247841266</v>
      </c>
      <c r="V33" s="3">
        <f t="shared" si="1"/>
        <v>0.77070746164755755</v>
      </c>
      <c r="W33" s="3">
        <f t="shared" si="1"/>
        <v>0.78740056716221096</v>
      </c>
      <c r="X33" s="3">
        <f t="shared" si="1"/>
        <v>0.88465751105380719</v>
      </c>
      <c r="Z33" s="2" t="s">
        <v>7</v>
      </c>
      <c r="AA33" s="3">
        <f>AA3/(C3+O3+AA3)</f>
        <v>0</v>
      </c>
      <c r="AB33" s="3">
        <f t="shared" ref="AB33:AJ33" si="2">AB3/(D3+P3+AB3)</f>
        <v>0</v>
      </c>
      <c r="AC33" s="3">
        <f t="shared" si="2"/>
        <v>0</v>
      </c>
      <c r="AD33" s="3">
        <f t="shared" si="2"/>
        <v>0</v>
      </c>
      <c r="AE33" s="3">
        <f t="shared" si="2"/>
        <v>0</v>
      </c>
      <c r="AF33" s="3">
        <f t="shared" si="2"/>
        <v>0</v>
      </c>
      <c r="AG33" s="3">
        <f t="shared" si="2"/>
        <v>0</v>
      </c>
      <c r="AH33" s="3">
        <f t="shared" si="2"/>
        <v>0</v>
      </c>
      <c r="AI33" s="3">
        <f t="shared" si="2"/>
        <v>0</v>
      </c>
      <c r="AJ33" s="3">
        <f t="shared" si="2"/>
        <v>0</v>
      </c>
      <c r="AL33" s="10" t="s">
        <v>40</v>
      </c>
      <c r="AM33" s="10"/>
      <c r="AN33" s="10" t="s">
        <v>41</v>
      </c>
      <c r="AO33" s="10"/>
      <c r="AP33" s="10" t="s">
        <v>42</v>
      </c>
      <c r="AQ33" s="10"/>
      <c r="AR33" s="10" t="s">
        <v>40</v>
      </c>
      <c r="AS33" s="10"/>
      <c r="AT33" s="10" t="s">
        <v>41</v>
      </c>
      <c r="AU33" s="10"/>
      <c r="AV33" s="10" t="s">
        <v>42</v>
      </c>
      <c r="AW33" s="10"/>
    </row>
    <row r="34" spans="2:49">
      <c r="B34" s="2" t="s">
        <v>8</v>
      </c>
      <c r="C34" s="3">
        <f t="shared" ref="C34:C59" si="3">C4/(C4+O4+AA4)</f>
        <v>0.35432030877269616</v>
      </c>
      <c r="D34" s="3">
        <f t="shared" ref="D34:D59" si="4">D4/(D4+P4+AB4)</f>
        <v>0.37281080013923595</v>
      </c>
      <c r="E34" s="3">
        <f t="shared" ref="E34:E59" si="5">E4/(E4+Q4+AC4)</f>
        <v>0.39646119551888265</v>
      </c>
      <c r="F34" s="3">
        <f t="shared" ref="F34:F59" si="6">F4/(F4+R4+AD4)</f>
        <v>0.41902250822243386</v>
      </c>
      <c r="G34" s="3">
        <f t="shared" ref="G34:G59" si="7">G4/(G4+S4+AE4)</f>
        <v>0.42228161833568445</v>
      </c>
      <c r="H34" s="3">
        <f t="shared" ref="H34:H59" si="8">H4/(H4+T4+AF4)</f>
        <v>0.26224458510019122</v>
      </c>
      <c r="I34" s="3">
        <f t="shared" ref="I34:I59" si="9">I4/(I4+U4+AG4)</f>
        <v>0.24292032811799777</v>
      </c>
      <c r="J34" s="3">
        <f t="shared" ref="J34:J59" si="10">J4/(J4+V4+AH4)</f>
        <v>0.22900330129012653</v>
      </c>
      <c r="K34" s="3">
        <f t="shared" ref="K34:K59" si="11">K4/(K4+W4+AI4)</f>
        <v>0.21275116565446553</v>
      </c>
      <c r="L34" s="3">
        <f t="shared" ref="L34:L59" si="12">L4/(L4+X4+AJ4)</f>
        <v>0.11476908710427984</v>
      </c>
      <c r="N34" s="2" t="s">
        <v>8</v>
      </c>
      <c r="O34" s="3">
        <f t="shared" ref="O34:O59" si="13">O4/(C4+O4+AA4)</f>
        <v>0.64567969122730384</v>
      </c>
      <c r="P34" s="3">
        <f t="shared" ref="P34:P59" si="14">P4/(D4+P4+AB4)</f>
        <v>0.62718919986076405</v>
      </c>
      <c r="Q34" s="3">
        <f t="shared" ref="Q34:Q59" si="15">Q4/(E4+Q4+AC4)</f>
        <v>0.60353880448111741</v>
      </c>
      <c r="R34" s="3">
        <f t="shared" ref="R34:R59" si="16">R4/(F4+R4+AD4)</f>
        <v>0.58097749177756608</v>
      </c>
      <c r="S34" s="3">
        <f t="shared" ref="S34:S59" si="17">S4/(G4+S4+AE4)</f>
        <v>0.57771838166431555</v>
      </c>
      <c r="T34" s="3">
        <f t="shared" ref="T34:T59" si="18">T4/(H4+T4+AF4)</f>
        <v>0.73775541489980878</v>
      </c>
      <c r="U34" s="3">
        <f t="shared" ref="U34:U59" si="19">U4/(I4+U4+AG4)</f>
        <v>0.7570796718820022</v>
      </c>
      <c r="V34" s="3">
        <f t="shared" ref="V34:V59" si="20">V4/(J4+V4+AH4)</f>
        <v>0.77099669870987353</v>
      </c>
      <c r="W34" s="3">
        <f t="shared" ref="W34:W59" si="21">W4/(K4+W4+AI4)</f>
        <v>0.7872488343455345</v>
      </c>
      <c r="X34" s="3">
        <f t="shared" ref="X34:X59" si="22">X4/(L4+X4+AJ4)</f>
        <v>0.8852309128957202</v>
      </c>
      <c r="Z34" s="2" t="s">
        <v>8</v>
      </c>
      <c r="AA34" s="3">
        <f t="shared" ref="AA34:AA59" si="23">AA4/(C4+O4+AA4)</f>
        <v>0</v>
      </c>
      <c r="AB34" s="3">
        <f t="shared" ref="AB34:AB59" si="24">AB4/(D4+P4+AB4)</f>
        <v>0</v>
      </c>
      <c r="AC34" s="3">
        <f t="shared" ref="AC34:AC59" si="25">AC4/(E4+Q4+AC4)</f>
        <v>0</v>
      </c>
      <c r="AD34" s="3">
        <f t="shared" ref="AD34:AD59" si="26">AD4/(F4+R4+AD4)</f>
        <v>0</v>
      </c>
      <c r="AE34" s="3">
        <f t="shared" ref="AE34:AE59" si="27">AE4/(G4+S4+AE4)</f>
        <v>0</v>
      </c>
      <c r="AF34" s="3">
        <f t="shared" ref="AF34:AF59" si="28">AF4/(H4+T4+AF4)</f>
        <v>0</v>
      </c>
      <c r="AG34" s="3">
        <f t="shared" ref="AG34:AG59" si="29">AG4/(I4+U4+AG4)</f>
        <v>0</v>
      </c>
      <c r="AH34" s="3">
        <f t="shared" ref="AH34:AH59" si="30">AH4/(J4+V4+AH4)</f>
        <v>0</v>
      </c>
      <c r="AI34" s="3">
        <f t="shared" ref="AI34:AI59" si="31">AI4/(K4+W4+AI4)</f>
        <v>0</v>
      </c>
      <c r="AJ34" s="3">
        <f t="shared" ref="AJ34:AJ59" si="32">AJ4/(L4+X4+AJ4)</f>
        <v>0</v>
      </c>
      <c r="AL34" s="12">
        <v>0</v>
      </c>
      <c r="AM34" s="12"/>
      <c r="AN34" s="17">
        <v>4748817</v>
      </c>
      <c r="AO34" s="17"/>
      <c r="AP34" s="13">
        <v>-20522634.5</v>
      </c>
      <c r="AQ34" s="13"/>
      <c r="AR34" s="17">
        <v>26843023</v>
      </c>
      <c r="AS34" s="17"/>
      <c r="AT34" s="17">
        <v>4752073</v>
      </c>
      <c r="AU34" s="17"/>
      <c r="AV34" s="13">
        <f>-AP34</f>
        <v>20522634.5</v>
      </c>
      <c r="AW34" s="13"/>
    </row>
    <row r="35" spans="2:49">
      <c r="B35" s="2" t="s">
        <v>9</v>
      </c>
      <c r="C35" s="3">
        <f t="shared" si="3"/>
        <v>0.35225376710726702</v>
      </c>
      <c r="D35" s="3">
        <f t="shared" si="4"/>
        <v>0.37363046919537751</v>
      </c>
      <c r="E35" s="3">
        <f t="shared" si="5"/>
        <v>0.39507152455197159</v>
      </c>
      <c r="F35" s="3">
        <f t="shared" si="6"/>
        <v>0.41781565322157654</v>
      </c>
      <c r="G35" s="3">
        <f t="shared" si="7"/>
        <v>0.423381278612942</v>
      </c>
      <c r="H35" s="3">
        <f t="shared" si="8"/>
        <v>0.26281211840635438</v>
      </c>
      <c r="I35" s="3">
        <f t="shared" si="9"/>
        <v>0.24310608663064864</v>
      </c>
      <c r="J35" s="3">
        <f t="shared" si="10"/>
        <v>0.22865573233036146</v>
      </c>
      <c r="K35" s="3">
        <f t="shared" si="11"/>
        <v>0.21249980089957635</v>
      </c>
      <c r="L35" s="3">
        <f t="shared" si="12"/>
        <v>0.1151409220013109</v>
      </c>
      <c r="N35" s="2" t="s">
        <v>9</v>
      </c>
      <c r="O35" s="3">
        <f t="shared" si="13"/>
        <v>0.64774623289273292</v>
      </c>
      <c r="P35" s="3">
        <f t="shared" si="14"/>
        <v>0.62636953080462243</v>
      </c>
      <c r="Q35" s="3">
        <f t="shared" si="15"/>
        <v>0.60492847544802841</v>
      </c>
      <c r="R35" s="3">
        <f t="shared" si="16"/>
        <v>0.58218434677842346</v>
      </c>
      <c r="S35" s="3">
        <f t="shared" si="17"/>
        <v>0.57661872138705805</v>
      </c>
      <c r="T35" s="3">
        <f t="shared" si="18"/>
        <v>0.73718788159364557</v>
      </c>
      <c r="U35" s="3">
        <f t="shared" si="19"/>
        <v>0.75689391336935141</v>
      </c>
      <c r="V35" s="3">
        <f t="shared" si="20"/>
        <v>0.77134426766963859</v>
      </c>
      <c r="W35" s="3">
        <f t="shared" si="21"/>
        <v>0.78750019910042368</v>
      </c>
      <c r="X35" s="3">
        <f t="shared" si="22"/>
        <v>0.88485907799868913</v>
      </c>
      <c r="Z35" s="2" t="s">
        <v>9</v>
      </c>
      <c r="AA35" s="3">
        <f t="shared" si="23"/>
        <v>0</v>
      </c>
      <c r="AB35" s="3">
        <f t="shared" si="24"/>
        <v>0</v>
      </c>
      <c r="AC35" s="3">
        <f t="shared" si="25"/>
        <v>0</v>
      </c>
      <c r="AD35" s="3">
        <f t="shared" si="26"/>
        <v>0</v>
      </c>
      <c r="AE35" s="3">
        <f t="shared" si="27"/>
        <v>0</v>
      </c>
      <c r="AF35" s="3">
        <f t="shared" si="28"/>
        <v>0</v>
      </c>
      <c r="AG35" s="3">
        <f t="shared" si="29"/>
        <v>0</v>
      </c>
      <c r="AH35" s="3">
        <f t="shared" si="30"/>
        <v>0</v>
      </c>
      <c r="AI35" s="3">
        <f t="shared" si="31"/>
        <v>0</v>
      </c>
      <c r="AJ35" s="3">
        <f t="shared" si="32"/>
        <v>0</v>
      </c>
    </row>
    <row r="36" spans="2:49">
      <c r="B36" s="2" t="s">
        <v>10</v>
      </c>
      <c r="C36" s="3">
        <f t="shared" si="3"/>
        <v>0.3543515177658445</v>
      </c>
      <c r="D36" s="3">
        <f t="shared" si="4"/>
        <v>0.37488214071424675</v>
      </c>
      <c r="E36" s="3">
        <f t="shared" si="5"/>
        <v>0.39536161536197995</v>
      </c>
      <c r="F36" s="3">
        <f t="shared" si="6"/>
        <v>0.41759840262692993</v>
      </c>
      <c r="G36" s="3">
        <f t="shared" si="7"/>
        <v>0.42321572866136453</v>
      </c>
      <c r="H36" s="3">
        <f t="shared" si="8"/>
        <v>0.26155218160568988</v>
      </c>
      <c r="I36" s="3">
        <f t="shared" si="9"/>
        <v>0.24411298587481231</v>
      </c>
      <c r="J36" s="3">
        <f t="shared" si="10"/>
        <v>0.22956439728547229</v>
      </c>
      <c r="K36" s="3">
        <f t="shared" si="11"/>
        <v>0.21238199817560055</v>
      </c>
      <c r="L36" s="3">
        <f t="shared" si="12"/>
        <v>0.11518266071946262</v>
      </c>
      <c r="N36" s="2" t="s">
        <v>10</v>
      </c>
      <c r="O36" s="3">
        <f t="shared" si="13"/>
        <v>0.6456484822341555</v>
      </c>
      <c r="P36" s="3">
        <f t="shared" si="14"/>
        <v>0.62511785928575325</v>
      </c>
      <c r="Q36" s="3">
        <f t="shared" si="15"/>
        <v>0.60463838463802011</v>
      </c>
      <c r="R36" s="3">
        <f t="shared" si="16"/>
        <v>0.58240159737307007</v>
      </c>
      <c r="S36" s="3">
        <f t="shared" si="17"/>
        <v>0.57678427133863541</v>
      </c>
      <c r="T36" s="3">
        <f t="shared" si="18"/>
        <v>0.73844781839431017</v>
      </c>
      <c r="U36" s="3">
        <f t="shared" si="19"/>
        <v>0.75588701412518766</v>
      </c>
      <c r="V36" s="3">
        <f t="shared" si="20"/>
        <v>0.77043560271452771</v>
      </c>
      <c r="W36" s="3">
        <f t="shared" si="21"/>
        <v>0.78761800182439945</v>
      </c>
      <c r="X36" s="3">
        <f t="shared" si="22"/>
        <v>0.88481733928053741</v>
      </c>
      <c r="Z36" s="2" t="s">
        <v>10</v>
      </c>
      <c r="AA36" s="3">
        <f t="shared" si="23"/>
        <v>0</v>
      </c>
      <c r="AB36" s="3">
        <f t="shared" si="24"/>
        <v>0</v>
      </c>
      <c r="AC36" s="3">
        <f t="shared" si="25"/>
        <v>0</v>
      </c>
      <c r="AD36" s="3">
        <f t="shared" si="26"/>
        <v>0</v>
      </c>
      <c r="AE36" s="3">
        <f t="shared" si="27"/>
        <v>0</v>
      </c>
      <c r="AF36" s="3">
        <f t="shared" si="28"/>
        <v>0</v>
      </c>
      <c r="AG36" s="3">
        <f t="shared" si="29"/>
        <v>0</v>
      </c>
      <c r="AH36" s="3">
        <f t="shared" si="30"/>
        <v>0</v>
      </c>
      <c r="AI36" s="3">
        <f t="shared" si="31"/>
        <v>0</v>
      </c>
      <c r="AJ36" s="3">
        <f t="shared" si="32"/>
        <v>0</v>
      </c>
    </row>
    <row r="37" spans="2:49">
      <c r="B37" s="2" t="s">
        <v>11</v>
      </c>
      <c r="C37" s="3">
        <f t="shared" si="3"/>
        <v>0.35334567918907767</v>
      </c>
      <c r="D37" s="3">
        <f t="shared" si="4"/>
        <v>0.37424569245562517</v>
      </c>
      <c r="E37" s="3">
        <f t="shared" si="5"/>
        <v>0.39505789277325037</v>
      </c>
      <c r="F37" s="3">
        <f t="shared" si="6"/>
        <v>0.41827205404703133</v>
      </c>
      <c r="G37" s="3">
        <f t="shared" si="7"/>
        <v>0.42217193922121815</v>
      </c>
      <c r="H37" s="3">
        <f t="shared" si="8"/>
        <v>0.26196798835940344</v>
      </c>
      <c r="I37" s="3">
        <f t="shared" si="9"/>
        <v>0.24388356272002099</v>
      </c>
      <c r="J37" s="3">
        <f t="shared" si="10"/>
        <v>0.22890693953207844</v>
      </c>
      <c r="K37" s="3">
        <f t="shared" si="11"/>
        <v>0.212472585954776</v>
      </c>
      <c r="L37" s="3">
        <f t="shared" si="12"/>
        <v>0.1151922165139283</v>
      </c>
      <c r="N37" s="2" t="s">
        <v>11</v>
      </c>
      <c r="O37" s="3">
        <f t="shared" si="13"/>
        <v>0.64665432081092233</v>
      </c>
      <c r="P37" s="3">
        <f t="shared" si="14"/>
        <v>0.62575430754437489</v>
      </c>
      <c r="Q37" s="3">
        <f t="shared" si="15"/>
        <v>0.60494210722674957</v>
      </c>
      <c r="R37" s="3">
        <f t="shared" si="16"/>
        <v>0.58172794595296873</v>
      </c>
      <c r="S37" s="3">
        <f t="shared" si="17"/>
        <v>0.57782806077878179</v>
      </c>
      <c r="T37" s="3">
        <f t="shared" si="18"/>
        <v>0.73803201164059662</v>
      </c>
      <c r="U37" s="3">
        <f t="shared" si="19"/>
        <v>0.75611643727997901</v>
      </c>
      <c r="V37" s="3">
        <f t="shared" si="20"/>
        <v>0.77109306046792159</v>
      </c>
      <c r="W37" s="3">
        <f t="shared" si="21"/>
        <v>0.78752741404522397</v>
      </c>
      <c r="X37" s="3">
        <f t="shared" si="22"/>
        <v>0.8848077834860717</v>
      </c>
      <c r="Z37" s="2" t="s">
        <v>11</v>
      </c>
      <c r="AA37" s="3">
        <f t="shared" si="23"/>
        <v>0</v>
      </c>
      <c r="AB37" s="3">
        <f t="shared" si="24"/>
        <v>0</v>
      </c>
      <c r="AC37" s="3">
        <f t="shared" si="25"/>
        <v>0</v>
      </c>
      <c r="AD37" s="3">
        <f t="shared" si="26"/>
        <v>0</v>
      </c>
      <c r="AE37" s="3">
        <f t="shared" si="27"/>
        <v>0</v>
      </c>
      <c r="AF37" s="3">
        <f t="shared" si="28"/>
        <v>0</v>
      </c>
      <c r="AG37" s="3">
        <f t="shared" si="29"/>
        <v>0</v>
      </c>
      <c r="AH37" s="3">
        <f t="shared" si="30"/>
        <v>0</v>
      </c>
      <c r="AI37" s="3">
        <f t="shared" si="31"/>
        <v>0</v>
      </c>
      <c r="AJ37" s="3">
        <f t="shared" si="32"/>
        <v>0</v>
      </c>
    </row>
    <row r="38" spans="2:49">
      <c r="B38" s="2" t="s">
        <v>12</v>
      </c>
      <c r="C38" s="3">
        <f t="shared" si="3"/>
        <v>0.35408242602642481</v>
      </c>
      <c r="D38" s="3">
        <f t="shared" si="4"/>
        <v>0.37385058928634129</v>
      </c>
      <c r="E38" s="3">
        <f t="shared" si="5"/>
        <v>0.39550357794084368</v>
      </c>
      <c r="F38" s="3">
        <f t="shared" si="6"/>
        <v>0.41794852476988903</v>
      </c>
      <c r="G38" s="3">
        <f t="shared" si="7"/>
        <v>0.4226573778834869</v>
      </c>
      <c r="H38" s="3">
        <f t="shared" si="8"/>
        <v>0.2625707118806368</v>
      </c>
      <c r="I38" s="3">
        <f t="shared" si="9"/>
        <v>0.24387455717340076</v>
      </c>
      <c r="J38" s="3">
        <f t="shared" si="10"/>
        <v>0.22949203656827588</v>
      </c>
      <c r="K38" s="3">
        <f t="shared" si="11"/>
        <v>0.21256334138809138</v>
      </c>
      <c r="L38" s="3">
        <f t="shared" si="12"/>
        <v>0.11573990524871239</v>
      </c>
      <c r="N38" s="2" t="s">
        <v>12</v>
      </c>
      <c r="O38" s="3">
        <f t="shared" si="13"/>
        <v>0.64591757397357519</v>
      </c>
      <c r="P38" s="3">
        <f t="shared" si="14"/>
        <v>0.62614941071365871</v>
      </c>
      <c r="Q38" s="3">
        <f t="shared" si="15"/>
        <v>0.60449642205915632</v>
      </c>
      <c r="R38" s="3">
        <f t="shared" si="16"/>
        <v>0.58205147523011092</v>
      </c>
      <c r="S38" s="3">
        <f t="shared" si="17"/>
        <v>0.5773426221165131</v>
      </c>
      <c r="T38" s="3">
        <f t="shared" si="18"/>
        <v>0.73742928811936326</v>
      </c>
      <c r="U38" s="3">
        <f t="shared" si="19"/>
        <v>0.75612544282659921</v>
      </c>
      <c r="V38" s="3">
        <f t="shared" si="20"/>
        <v>0.77050796343172412</v>
      </c>
      <c r="W38" s="3">
        <f t="shared" si="21"/>
        <v>0.78743665861190859</v>
      </c>
      <c r="X38" s="3">
        <f t="shared" si="22"/>
        <v>0.88426009475128764</v>
      </c>
      <c r="Z38" s="2" t="s">
        <v>12</v>
      </c>
      <c r="AA38" s="3">
        <f t="shared" si="23"/>
        <v>0</v>
      </c>
      <c r="AB38" s="3">
        <f t="shared" si="24"/>
        <v>0</v>
      </c>
      <c r="AC38" s="3">
        <f t="shared" si="25"/>
        <v>0</v>
      </c>
      <c r="AD38" s="3">
        <f t="shared" si="26"/>
        <v>0</v>
      </c>
      <c r="AE38" s="3">
        <f t="shared" si="27"/>
        <v>0</v>
      </c>
      <c r="AF38" s="3">
        <f t="shared" si="28"/>
        <v>0</v>
      </c>
      <c r="AG38" s="3">
        <f t="shared" si="29"/>
        <v>0</v>
      </c>
      <c r="AH38" s="3">
        <f t="shared" si="30"/>
        <v>0</v>
      </c>
      <c r="AI38" s="3">
        <f t="shared" si="31"/>
        <v>0</v>
      </c>
      <c r="AJ38" s="3">
        <f t="shared" si="32"/>
        <v>0</v>
      </c>
    </row>
    <row r="39" spans="2:49">
      <c r="B39" s="2" t="s">
        <v>13</v>
      </c>
      <c r="C39" s="3">
        <f t="shared" si="3"/>
        <v>0.35228405936539098</v>
      </c>
      <c r="D39" s="3">
        <f t="shared" si="4"/>
        <v>0.37407278093683033</v>
      </c>
      <c r="E39" s="3">
        <f t="shared" si="5"/>
        <v>0.39541444925200003</v>
      </c>
      <c r="F39" s="3">
        <f t="shared" si="6"/>
        <v>0.41983123460418947</v>
      </c>
      <c r="G39" s="3">
        <f t="shared" si="7"/>
        <v>0.42200004678593617</v>
      </c>
      <c r="H39" s="3">
        <f t="shared" si="8"/>
        <v>0.2631546090066656</v>
      </c>
      <c r="I39" s="3">
        <f t="shared" si="9"/>
        <v>0.24454379730628253</v>
      </c>
      <c r="J39" s="3">
        <f t="shared" si="10"/>
        <v>0.22927016908228257</v>
      </c>
      <c r="K39" s="3">
        <f t="shared" si="11"/>
        <v>0.21221135456794682</v>
      </c>
      <c r="L39" s="3">
        <f t="shared" si="12"/>
        <v>0.11556784181084949</v>
      </c>
      <c r="N39" s="2" t="s">
        <v>13</v>
      </c>
      <c r="O39" s="3">
        <f t="shared" si="13"/>
        <v>0.64771594063460902</v>
      </c>
      <c r="P39" s="3">
        <f t="shared" si="14"/>
        <v>0.62592721906316962</v>
      </c>
      <c r="Q39" s="3">
        <f t="shared" si="15"/>
        <v>0.60458555074799991</v>
      </c>
      <c r="R39" s="3">
        <f t="shared" si="16"/>
        <v>0.58016876539581053</v>
      </c>
      <c r="S39" s="3">
        <f t="shared" si="17"/>
        <v>0.57799995321406383</v>
      </c>
      <c r="T39" s="3">
        <f t="shared" si="18"/>
        <v>0.73684539099333446</v>
      </c>
      <c r="U39" s="3">
        <f t="shared" si="19"/>
        <v>0.75545620269371749</v>
      </c>
      <c r="V39" s="3">
        <f t="shared" si="20"/>
        <v>0.77072983091771741</v>
      </c>
      <c r="W39" s="3">
        <f t="shared" si="21"/>
        <v>0.78778864543205318</v>
      </c>
      <c r="X39" s="3">
        <f t="shared" si="22"/>
        <v>0.88443215818915055</v>
      </c>
      <c r="Z39" s="2" t="s">
        <v>13</v>
      </c>
      <c r="AA39" s="3">
        <f t="shared" si="23"/>
        <v>0</v>
      </c>
      <c r="AB39" s="3">
        <f t="shared" si="24"/>
        <v>0</v>
      </c>
      <c r="AC39" s="3">
        <f t="shared" si="25"/>
        <v>0</v>
      </c>
      <c r="AD39" s="3">
        <f t="shared" si="26"/>
        <v>0</v>
      </c>
      <c r="AE39" s="3">
        <f t="shared" si="27"/>
        <v>0</v>
      </c>
      <c r="AF39" s="3">
        <f t="shared" si="28"/>
        <v>0</v>
      </c>
      <c r="AG39" s="3">
        <f t="shared" si="29"/>
        <v>0</v>
      </c>
      <c r="AH39" s="3">
        <f t="shared" si="30"/>
        <v>0</v>
      </c>
      <c r="AI39" s="3">
        <f t="shared" si="31"/>
        <v>0</v>
      </c>
      <c r="AJ39" s="3">
        <f t="shared" si="32"/>
        <v>0</v>
      </c>
    </row>
    <row r="40" spans="2:49">
      <c r="B40" s="2" t="s">
        <v>14</v>
      </c>
      <c r="C40" s="3">
        <f t="shared" si="3"/>
        <v>0.35401623198361709</v>
      </c>
      <c r="D40" s="3">
        <f t="shared" si="4"/>
        <v>0.37435750776710386</v>
      </c>
      <c r="E40" s="3">
        <f t="shared" si="5"/>
        <v>0.39540567595325071</v>
      </c>
      <c r="F40" s="3">
        <f t="shared" si="6"/>
        <v>0.41918962739711069</v>
      </c>
      <c r="G40" s="3">
        <f t="shared" si="7"/>
        <v>0.42361306015529981</v>
      </c>
      <c r="H40" s="3">
        <f t="shared" si="8"/>
        <v>0.26177697960542484</v>
      </c>
      <c r="I40" s="3">
        <f t="shared" si="9"/>
        <v>0.24361150891810962</v>
      </c>
      <c r="J40" s="3">
        <f t="shared" si="10"/>
        <v>0.22915109727646688</v>
      </c>
      <c r="K40" s="3">
        <f t="shared" si="11"/>
        <v>0.21243015820573471</v>
      </c>
      <c r="L40" s="3">
        <f t="shared" si="12"/>
        <v>0.11542510058322678</v>
      </c>
      <c r="N40" s="2" t="s">
        <v>14</v>
      </c>
      <c r="O40" s="3">
        <f t="shared" si="13"/>
        <v>0.64598376801638291</v>
      </c>
      <c r="P40" s="3">
        <f t="shared" si="14"/>
        <v>0.62564249223289614</v>
      </c>
      <c r="Q40" s="3">
        <f t="shared" si="15"/>
        <v>0.60459432404674929</v>
      </c>
      <c r="R40" s="3">
        <f t="shared" si="16"/>
        <v>0.58081037260288937</v>
      </c>
      <c r="S40" s="3">
        <f t="shared" si="17"/>
        <v>0.57638693984470013</v>
      </c>
      <c r="T40" s="3">
        <f t="shared" si="18"/>
        <v>0.7382230203945751</v>
      </c>
      <c r="U40" s="3">
        <f t="shared" si="19"/>
        <v>0.75638849108189032</v>
      </c>
      <c r="V40" s="3">
        <f t="shared" si="20"/>
        <v>0.77084890272353312</v>
      </c>
      <c r="W40" s="3">
        <f t="shared" si="21"/>
        <v>0.78756984179426526</v>
      </c>
      <c r="X40" s="3">
        <f t="shared" si="22"/>
        <v>0.88457489941677325</v>
      </c>
      <c r="Z40" s="2" t="s">
        <v>14</v>
      </c>
      <c r="AA40" s="3">
        <f t="shared" si="23"/>
        <v>0</v>
      </c>
      <c r="AB40" s="3">
        <f t="shared" si="24"/>
        <v>0</v>
      </c>
      <c r="AC40" s="3">
        <f t="shared" si="25"/>
        <v>0</v>
      </c>
      <c r="AD40" s="3">
        <f t="shared" si="26"/>
        <v>0</v>
      </c>
      <c r="AE40" s="3">
        <f t="shared" si="27"/>
        <v>0</v>
      </c>
      <c r="AF40" s="3">
        <f t="shared" si="28"/>
        <v>0</v>
      </c>
      <c r="AG40" s="3">
        <f t="shared" si="29"/>
        <v>0</v>
      </c>
      <c r="AH40" s="3">
        <f t="shared" si="30"/>
        <v>0</v>
      </c>
      <c r="AI40" s="3">
        <f t="shared" si="31"/>
        <v>0</v>
      </c>
      <c r="AJ40" s="3">
        <f t="shared" si="32"/>
        <v>0</v>
      </c>
    </row>
    <row r="41" spans="2:49">
      <c r="B41" s="2" t="s">
        <v>15</v>
      </c>
      <c r="C41" s="3">
        <f t="shared" si="3"/>
        <v>0.35398433482748054</v>
      </c>
      <c r="D41" s="3">
        <f t="shared" si="4"/>
        <v>0.37476450940597211</v>
      </c>
      <c r="E41" s="3">
        <f t="shared" si="5"/>
        <v>0.39509688055407122</v>
      </c>
      <c r="F41" s="3">
        <f t="shared" si="6"/>
        <v>0.41875127612562407</v>
      </c>
      <c r="G41" s="3">
        <f t="shared" si="7"/>
        <v>0.42239880836902022</v>
      </c>
      <c r="H41" s="3">
        <f t="shared" si="8"/>
        <v>0.26235986689224072</v>
      </c>
      <c r="I41" s="3">
        <f t="shared" si="9"/>
        <v>0.2440879400614534</v>
      </c>
      <c r="J41" s="3">
        <f t="shared" si="10"/>
        <v>0.22988431142450647</v>
      </c>
      <c r="K41" s="3">
        <f t="shared" si="11"/>
        <v>0.21240898494039134</v>
      </c>
      <c r="L41" s="3">
        <f t="shared" si="12"/>
        <v>0.11493477808959568</v>
      </c>
      <c r="N41" s="2" t="s">
        <v>15</v>
      </c>
      <c r="O41" s="3">
        <f t="shared" si="13"/>
        <v>0.64601566517251952</v>
      </c>
      <c r="P41" s="3">
        <f t="shared" si="14"/>
        <v>0.62523549059402783</v>
      </c>
      <c r="Q41" s="3">
        <f t="shared" si="15"/>
        <v>0.60490311944592878</v>
      </c>
      <c r="R41" s="3">
        <f t="shared" si="16"/>
        <v>0.58124872387437587</v>
      </c>
      <c r="S41" s="3">
        <f t="shared" si="17"/>
        <v>0.57760119163097978</v>
      </c>
      <c r="T41" s="3">
        <f t="shared" si="18"/>
        <v>0.73764013310775933</v>
      </c>
      <c r="U41" s="3">
        <f t="shared" si="19"/>
        <v>0.7559120599385466</v>
      </c>
      <c r="V41" s="3">
        <f t="shared" si="20"/>
        <v>0.77011568857549351</v>
      </c>
      <c r="W41" s="3">
        <f t="shared" si="21"/>
        <v>0.7875910150596086</v>
      </c>
      <c r="X41" s="3">
        <f t="shared" si="22"/>
        <v>0.88506522191040438</v>
      </c>
      <c r="Z41" s="2" t="s">
        <v>15</v>
      </c>
      <c r="AA41" s="3">
        <f t="shared" si="23"/>
        <v>0</v>
      </c>
      <c r="AB41" s="3">
        <f t="shared" si="24"/>
        <v>0</v>
      </c>
      <c r="AC41" s="3">
        <f t="shared" si="25"/>
        <v>0</v>
      </c>
      <c r="AD41" s="3">
        <f t="shared" si="26"/>
        <v>0</v>
      </c>
      <c r="AE41" s="3">
        <f t="shared" si="27"/>
        <v>0</v>
      </c>
      <c r="AF41" s="3">
        <f t="shared" si="28"/>
        <v>0</v>
      </c>
      <c r="AG41" s="3">
        <f t="shared" si="29"/>
        <v>0</v>
      </c>
      <c r="AH41" s="3">
        <f t="shared" si="30"/>
        <v>0</v>
      </c>
      <c r="AI41" s="3">
        <f t="shared" si="31"/>
        <v>0</v>
      </c>
      <c r="AJ41" s="3">
        <f t="shared" si="32"/>
        <v>0</v>
      </c>
    </row>
    <row r="42" spans="2:49">
      <c r="B42" s="2" t="s">
        <v>16</v>
      </c>
      <c r="C42" s="3">
        <f t="shared" si="3"/>
        <v>0.35374507364157454</v>
      </c>
      <c r="D42" s="3">
        <f t="shared" si="4"/>
        <v>0.37295205679074028</v>
      </c>
      <c r="E42" s="3">
        <f t="shared" si="5"/>
        <v>0.39557624812348935</v>
      </c>
      <c r="F42" s="3">
        <f t="shared" si="6"/>
        <v>0.41788589147448008</v>
      </c>
      <c r="G42" s="3">
        <f t="shared" si="7"/>
        <v>0.42241419614239778</v>
      </c>
      <c r="H42" s="3">
        <f t="shared" si="8"/>
        <v>0.26166543800730957</v>
      </c>
      <c r="I42" s="3">
        <f t="shared" si="9"/>
        <v>0.24492072210341251</v>
      </c>
      <c r="J42" s="3">
        <f t="shared" si="10"/>
        <v>0.22881960831730899</v>
      </c>
      <c r="K42" s="3">
        <f t="shared" si="11"/>
        <v>0.21274429325431207</v>
      </c>
      <c r="L42" s="3">
        <f t="shared" si="12"/>
        <v>0.11604670056558766</v>
      </c>
      <c r="N42" s="2" t="s">
        <v>16</v>
      </c>
      <c r="O42" s="3">
        <f t="shared" si="13"/>
        <v>0.64625492635842541</v>
      </c>
      <c r="P42" s="3">
        <f t="shared" si="14"/>
        <v>0.62704794320925972</v>
      </c>
      <c r="Q42" s="3">
        <f t="shared" si="15"/>
        <v>0.60442375187651065</v>
      </c>
      <c r="R42" s="3">
        <f t="shared" si="16"/>
        <v>0.58211410852551992</v>
      </c>
      <c r="S42" s="3">
        <f t="shared" si="17"/>
        <v>0.57758580385760216</v>
      </c>
      <c r="T42" s="3">
        <f t="shared" si="18"/>
        <v>0.73833456199269043</v>
      </c>
      <c r="U42" s="3">
        <f t="shared" si="19"/>
        <v>0.75507927789658746</v>
      </c>
      <c r="V42" s="3">
        <f t="shared" si="20"/>
        <v>0.77118039168269104</v>
      </c>
      <c r="W42" s="3">
        <f t="shared" si="21"/>
        <v>0.7872557067456879</v>
      </c>
      <c r="X42" s="3">
        <f t="shared" si="22"/>
        <v>0.88395329943441237</v>
      </c>
      <c r="Z42" s="2" t="s">
        <v>16</v>
      </c>
      <c r="AA42" s="3">
        <f t="shared" si="23"/>
        <v>0</v>
      </c>
      <c r="AB42" s="3">
        <f t="shared" si="24"/>
        <v>0</v>
      </c>
      <c r="AC42" s="3">
        <f t="shared" si="25"/>
        <v>0</v>
      </c>
      <c r="AD42" s="3">
        <f t="shared" si="26"/>
        <v>0</v>
      </c>
      <c r="AE42" s="3">
        <f t="shared" si="27"/>
        <v>0</v>
      </c>
      <c r="AF42" s="3">
        <f t="shared" si="28"/>
        <v>0</v>
      </c>
      <c r="AG42" s="3">
        <f t="shared" si="29"/>
        <v>0</v>
      </c>
      <c r="AH42" s="3">
        <f t="shared" si="30"/>
        <v>0</v>
      </c>
      <c r="AI42" s="3">
        <f t="shared" si="31"/>
        <v>0</v>
      </c>
      <c r="AJ42" s="3">
        <f t="shared" si="32"/>
        <v>0</v>
      </c>
    </row>
    <row r="43" spans="2:49">
      <c r="B43" s="2" t="s">
        <v>17</v>
      </c>
      <c r="C43" s="3">
        <f t="shared" si="3"/>
        <v>0.35261900357225678</v>
      </c>
      <c r="D43" s="3">
        <f t="shared" si="4"/>
        <v>0.37408783335544649</v>
      </c>
      <c r="E43" s="3">
        <f t="shared" si="5"/>
        <v>0.39499367455247786</v>
      </c>
      <c r="F43" s="3">
        <f t="shared" si="6"/>
        <v>0.41924860149251986</v>
      </c>
      <c r="G43" s="3">
        <f t="shared" si="7"/>
        <v>0.4232253537597942</v>
      </c>
      <c r="H43" s="3">
        <f t="shared" si="8"/>
        <v>0.26189376683755167</v>
      </c>
      <c r="I43" s="3">
        <f t="shared" si="9"/>
        <v>0.24366217849912802</v>
      </c>
      <c r="J43" s="3">
        <f t="shared" si="10"/>
        <v>0.22946373621788518</v>
      </c>
      <c r="K43" s="3">
        <f t="shared" si="11"/>
        <v>0.21222880159058191</v>
      </c>
      <c r="L43" s="3">
        <f t="shared" si="12"/>
        <v>0.11556173362014739</v>
      </c>
      <c r="N43" s="2" t="s">
        <v>17</v>
      </c>
      <c r="O43" s="3">
        <f t="shared" si="13"/>
        <v>0.64738099642774327</v>
      </c>
      <c r="P43" s="3">
        <f t="shared" si="14"/>
        <v>0.62591216664455351</v>
      </c>
      <c r="Q43" s="3">
        <f t="shared" si="15"/>
        <v>0.6050063254475222</v>
      </c>
      <c r="R43" s="3">
        <f t="shared" si="16"/>
        <v>0.58075139850748014</v>
      </c>
      <c r="S43" s="3">
        <f t="shared" si="17"/>
        <v>0.5767746462402058</v>
      </c>
      <c r="T43" s="3">
        <f t="shared" si="18"/>
        <v>0.73810623316244828</v>
      </c>
      <c r="U43" s="3">
        <f t="shared" si="19"/>
        <v>0.75633782150087192</v>
      </c>
      <c r="V43" s="3">
        <f t="shared" si="20"/>
        <v>0.77053626378211482</v>
      </c>
      <c r="W43" s="3">
        <f t="shared" si="21"/>
        <v>0.78777119840941812</v>
      </c>
      <c r="X43" s="3">
        <f t="shared" si="22"/>
        <v>0.88443826637985257</v>
      </c>
      <c r="Z43" s="2" t="s">
        <v>17</v>
      </c>
      <c r="AA43" s="3">
        <f t="shared" si="23"/>
        <v>0</v>
      </c>
      <c r="AB43" s="3">
        <f t="shared" si="24"/>
        <v>0</v>
      </c>
      <c r="AC43" s="3">
        <f t="shared" si="25"/>
        <v>0</v>
      </c>
      <c r="AD43" s="3">
        <f t="shared" si="26"/>
        <v>0</v>
      </c>
      <c r="AE43" s="3">
        <f t="shared" si="27"/>
        <v>0</v>
      </c>
      <c r="AF43" s="3">
        <f t="shared" si="28"/>
        <v>0</v>
      </c>
      <c r="AG43" s="3">
        <f t="shared" si="29"/>
        <v>0</v>
      </c>
      <c r="AH43" s="3">
        <f t="shared" si="30"/>
        <v>0</v>
      </c>
      <c r="AI43" s="3">
        <f t="shared" si="31"/>
        <v>0</v>
      </c>
      <c r="AJ43" s="3">
        <f t="shared" si="32"/>
        <v>0</v>
      </c>
    </row>
    <row r="44" spans="2:49">
      <c r="B44" s="2" t="s">
        <v>18</v>
      </c>
      <c r="C44" s="3">
        <f t="shared" si="3"/>
        <v>0.35385512407041547</v>
      </c>
      <c r="D44" s="3">
        <f t="shared" si="4"/>
        <v>0.37460105588723352</v>
      </c>
      <c r="E44" s="3">
        <f t="shared" si="5"/>
        <v>0.39524954963398001</v>
      </c>
      <c r="F44" s="3">
        <f t="shared" si="6"/>
        <v>0.41870670075478994</v>
      </c>
      <c r="G44" s="3">
        <f t="shared" si="7"/>
        <v>0.42363714896063986</v>
      </c>
      <c r="H44" s="3">
        <f t="shared" si="8"/>
        <v>0.2611936227200341</v>
      </c>
      <c r="I44" s="3">
        <f t="shared" si="9"/>
        <v>0.24456509015043715</v>
      </c>
      <c r="J44" s="3">
        <f t="shared" si="10"/>
        <v>0.22953994779696973</v>
      </c>
      <c r="K44" s="3">
        <f t="shared" si="11"/>
        <v>0.21218711857354836</v>
      </c>
      <c r="L44" s="3">
        <f t="shared" si="12"/>
        <v>0.1149372986549697</v>
      </c>
      <c r="N44" s="2" t="s">
        <v>18</v>
      </c>
      <c r="O44" s="3">
        <f t="shared" si="13"/>
        <v>0.64614487592958458</v>
      </c>
      <c r="P44" s="3">
        <f t="shared" si="14"/>
        <v>0.62539894411276642</v>
      </c>
      <c r="Q44" s="3">
        <f t="shared" si="15"/>
        <v>0.60475045036602004</v>
      </c>
      <c r="R44" s="3">
        <f t="shared" si="16"/>
        <v>0.58129329924521012</v>
      </c>
      <c r="S44" s="3">
        <f t="shared" si="17"/>
        <v>0.57636285103936014</v>
      </c>
      <c r="T44" s="3">
        <f t="shared" si="18"/>
        <v>0.7388063772799659</v>
      </c>
      <c r="U44" s="3">
        <f t="shared" si="19"/>
        <v>0.75543490984956285</v>
      </c>
      <c r="V44" s="3">
        <f t="shared" si="20"/>
        <v>0.77046005220303027</v>
      </c>
      <c r="W44" s="3">
        <f t="shared" si="21"/>
        <v>0.78781288142645167</v>
      </c>
      <c r="X44" s="3">
        <f t="shared" si="22"/>
        <v>0.88506270134503029</v>
      </c>
      <c r="Z44" s="2" t="s">
        <v>18</v>
      </c>
      <c r="AA44" s="3">
        <f t="shared" si="23"/>
        <v>0</v>
      </c>
      <c r="AB44" s="3">
        <f t="shared" si="24"/>
        <v>0</v>
      </c>
      <c r="AC44" s="3">
        <f t="shared" si="25"/>
        <v>0</v>
      </c>
      <c r="AD44" s="3">
        <f t="shared" si="26"/>
        <v>0</v>
      </c>
      <c r="AE44" s="3">
        <f t="shared" si="27"/>
        <v>0</v>
      </c>
      <c r="AF44" s="3">
        <f t="shared" si="28"/>
        <v>0</v>
      </c>
      <c r="AG44" s="3">
        <f t="shared" si="29"/>
        <v>0</v>
      </c>
      <c r="AH44" s="3">
        <f t="shared" si="30"/>
        <v>0</v>
      </c>
      <c r="AI44" s="3">
        <f t="shared" si="31"/>
        <v>0</v>
      </c>
      <c r="AJ44" s="3">
        <f t="shared" si="32"/>
        <v>0</v>
      </c>
    </row>
    <row r="45" spans="2:49">
      <c r="B45" s="2" t="s">
        <v>19</v>
      </c>
      <c r="C45" s="3">
        <f t="shared" si="3"/>
        <v>0.35368725888799923</v>
      </c>
      <c r="D45" s="3">
        <f t="shared" si="4"/>
        <v>0.37402691110946135</v>
      </c>
      <c r="E45" s="3">
        <f t="shared" si="5"/>
        <v>0.3951703440443653</v>
      </c>
      <c r="F45" s="3">
        <f t="shared" si="6"/>
        <v>0.41953834799060269</v>
      </c>
      <c r="G45" s="3">
        <f t="shared" si="7"/>
        <v>0.42234686419804462</v>
      </c>
      <c r="H45" s="3">
        <f t="shared" si="8"/>
        <v>0.26257412409432768</v>
      </c>
      <c r="I45" s="3">
        <f t="shared" si="9"/>
        <v>0.24479903023618482</v>
      </c>
      <c r="J45" s="3">
        <f t="shared" si="10"/>
        <v>0.22976068004791342</v>
      </c>
      <c r="K45" s="3">
        <f t="shared" si="11"/>
        <v>0.21225413569201942</v>
      </c>
      <c r="L45" s="3">
        <f t="shared" si="12"/>
        <v>0.11530911385371199</v>
      </c>
      <c r="N45" s="2" t="s">
        <v>19</v>
      </c>
      <c r="O45" s="3">
        <f t="shared" si="13"/>
        <v>0.64631274111200077</v>
      </c>
      <c r="P45" s="3">
        <f t="shared" si="14"/>
        <v>0.6259730888905386</v>
      </c>
      <c r="Q45" s="3">
        <f t="shared" si="15"/>
        <v>0.60482965595563476</v>
      </c>
      <c r="R45" s="3">
        <f t="shared" si="16"/>
        <v>0.58046165200939726</v>
      </c>
      <c r="S45" s="3">
        <f t="shared" si="17"/>
        <v>0.57765313580195532</v>
      </c>
      <c r="T45" s="3">
        <f t="shared" si="18"/>
        <v>0.73742587590567232</v>
      </c>
      <c r="U45" s="3">
        <f t="shared" si="19"/>
        <v>0.75520096976381512</v>
      </c>
      <c r="V45" s="3">
        <f t="shared" si="20"/>
        <v>0.77023931995208661</v>
      </c>
      <c r="W45" s="3">
        <f t="shared" si="21"/>
        <v>0.78774586430798055</v>
      </c>
      <c r="X45" s="3">
        <f t="shared" si="22"/>
        <v>0.88469088614628799</v>
      </c>
      <c r="Z45" s="2" t="s">
        <v>19</v>
      </c>
      <c r="AA45" s="3">
        <f t="shared" si="23"/>
        <v>0</v>
      </c>
      <c r="AB45" s="3">
        <f t="shared" si="24"/>
        <v>0</v>
      </c>
      <c r="AC45" s="3">
        <f t="shared" si="25"/>
        <v>0</v>
      </c>
      <c r="AD45" s="3">
        <f t="shared" si="26"/>
        <v>0</v>
      </c>
      <c r="AE45" s="3">
        <f t="shared" si="27"/>
        <v>0</v>
      </c>
      <c r="AF45" s="3">
        <f t="shared" si="28"/>
        <v>0</v>
      </c>
      <c r="AG45" s="3">
        <f t="shared" si="29"/>
        <v>0</v>
      </c>
      <c r="AH45" s="3">
        <f t="shared" si="30"/>
        <v>0</v>
      </c>
      <c r="AI45" s="3">
        <f t="shared" si="31"/>
        <v>0</v>
      </c>
      <c r="AJ45" s="3">
        <f t="shared" si="32"/>
        <v>0</v>
      </c>
    </row>
    <row r="46" spans="2:49">
      <c r="B46" s="2" t="s">
        <v>20</v>
      </c>
      <c r="C46" s="3">
        <f t="shared" si="3"/>
        <v>0.3535008969664219</v>
      </c>
      <c r="D46" s="3">
        <f t="shared" si="4"/>
        <v>0.3747457110030703</v>
      </c>
      <c r="E46" s="3">
        <f t="shared" si="5"/>
        <v>0.3964279174150715</v>
      </c>
      <c r="F46" s="3">
        <f t="shared" si="6"/>
        <v>0.41826262636754813</v>
      </c>
      <c r="G46" s="3">
        <f t="shared" si="7"/>
        <v>0.42150610901033514</v>
      </c>
      <c r="H46" s="3">
        <f t="shared" si="8"/>
        <v>0.26208242272869187</v>
      </c>
      <c r="I46" s="3">
        <f t="shared" si="9"/>
        <v>0.24344372651047705</v>
      </c>
      <c r="J46" s="3">
        <f t="shared" si="10"/>
        <v>0.22972791833515746</v>
      </c>
      <c r="K46" s="3">
        <f t="shared" si="11"/>
        <v>0.21265467961301407</v>
      </c>
      <c r="L46" s="3">
        <f t="shared" si="12"/>
        <v>0.11578563711388516</v>
      </c>
      <c r="N46" s="2" t="s">
        <v>20</v>
      </c>
      <c r="O46" s="3">
        <f t="shared" si="13"/>
        <v>0.50669055113098305</v>
      </c>
      <c r="P46" s="3">
        <f t="shared" si="14"/>
        <v>0.49056647864102249</v>
      </c>
      <c r="Q46" s="3">
        <f t="shared" si="15"/>
        <v>0.47328405875026464</v>
      </c>
      <c r="R46" s="3">
        <f t="shared" si="16"/>
        <v>0.45941436610428293</v>
      </c>
      <c r="S46" s="3">
        <f t="shared" si="17"/>
        <v>0.41175743926098918</v>
      </c>
      <c r="T46" s="3">
        <f t="shared" si="18"/>
        <v>0.36857893641377876</v>
      </c>
      <c r="U46" s="3">
        <f t="shared" si="19"/>
        <v>0.62737104479318828</v>
      </c>
      <c r="V46" s="3">
        <f t="shared" si="20"/>
        <v>0.64981800057000894</v>
      </c>
      <c r="W46" s="3">
        <f t="shared" si="21"/>
        <v>0.67520125986955248</v>
      </c>
      <c r="X46" s="3">
        <f t="shared" si="22"/>
        <v>0.75376124337763428</v>
      </c>
      <c r="Z46" s="2" t="s">
        <v>20</v>
      </c>
      <c r="AA46" s="3">
        <f t="shared" si="23"/>
        <v>0.13980855190259503</v>
      </c>
      <c r="AB46" s="3">
        <f t="shared" si="24"/>
        <v>0.13468781035590724</v>
      </c>
      <c r="AC46" s="3">
        <f t="shared" si="25"/>
        <v>0.1302880238346639</v>
      </c>
      <c r="AD46" s="3">
        <f t="shared" si="26"/>
        <v>0.12232300752816896</v>
      </c>
      <c r="AE46" s="3">
        <f t="shared" si="27"/>
        <v>0.16673645172867568</v>
      </c>
      <c r="AF46" s="3">
        <f t="shared" si="28"/>
        <v>0.36933864085752938</v>
      </c>
      <c r="AG46" s="3">
        <f t="shared" si="29"/>
        <v>0.12918522869633473</v>
      </c>
      <c r="AH46" s="3">
        <f t="shared" si="30"/>
        <v>0.1204540810948336</v>
      </c>
      <c r="AI46" s="3">
        <f t="shared" si="31"/>
        <v>0.11214406051743342</v>
      </c>
      <c r="AJ46" s="3">
        <f t="shared" si="32"/>
        <v>0.13045311950848054</v>
      </c>
    </row>
    <row r="47" spans="2:49">
      <c r="B47" s="2" t="s">
        <v>21</v>
      </c>
      <c r="C47" s="3">
        <f t="shared" si="3"/>
        <v>0.4932238129008627</v>
      </c>
      <c r="D47" s="3">
        <f t="shared" si="4"/>
        <v>0.50854370169417462</v>
      </c>
      <c r="E47" s="3">
        <f t="shared" si="5"/>
        <v>0.52596785130644663</v>
      </c>
      <c r="F47" s="3">
        <f t="shared" si="6"/>
        <v>0.54030352462996789</v>
      </c>
      <c r="G47" s="3">
        <f t="shared" si="7"/>
        <v>0.58923493603239707</v>
      </c>
      <c r="H47" s="3">
        <f t="shared" si="8"/>
        <v>0.63096962616822427</v>
      </c>
      <c r="I47" s="3">
        <f t="shared" si="9"/>
        <v>0.37223930413411194</v>
      </c>
      <c r="J47" s="3">
        <f t="shared" si="10"/>
        <v>0.34890520062218106</v>
      </c>
      <c r="K47" s="3">
        <f t="shared" si="11"/>
        <v>0.32392713648031735</v>
      </c>
      <c r="L47" s="3">
        <f t="shared" si="12"/>
        <v>0.24476766700193101</v>
      </c>
      <c r="N47" s="2" t="s">
        <v>21</v>
      </c>
      <c r="O47" s="3">
        <f t="shared" si="13"/>
        <v>0.37213697327711837</v>
      </c>
      <c r="P47" s="3">
        <f t="shared" si="14"/>
        <v>0.3610333333766837</v>
      </c>
      <c r="Q47" s="3">
        <f t="shared" si="15"/>
        <v>0.35030098805141091</v>
      </c>
      <c r="R47" s="3">
        <f t="shared" si="16"/>
        <v>0.3370107627953845</v>
      </c>
      <c r="S47" s="3">
        <f t="shared" si="17"/>
        <v>0.30482343278073226</v>
      </c>
      <c r="T47" s="3">
        <f t="shared" si="18"/>
        <v>0.23115913811007269</v>
      </c>
      <c r="U47" s="3">
        <f t="shared" si="19"/>
        <v>0.26830331921363615</v>
      </c>
      <c r="V47" s="3">
        <f t="shared" si="20"/>
        <v>0.53350856019185655</v>
      </c>
      <c r="W47" s="3">
        <f t="shared" si="21"/>
        <v>0.56444038968189325</v>
      </c>
      <c r="X47" s="3">
        <f t="shared" si="22"/>
        <v>0.62377102224439995</v>
      </c>
      <c r="Z47" s="2" t="s">
        <v>21</v>
      </c>
      <c r="AA47" s="3">
        <f t="shared" si="23"/>
        <v>0.1346392138220189</v>
      </c>
      <c r="AB47" s="3">
        <f t="shared" si="24"/>
        <v>0.13042296492914171</v>
      </c>
      <c r="AC47" s="3">
        <f t="shared" si="25"/>
        <v>0.12373116064214248</v>
      </c>
      <c r="AD47" s="3">
        <f t="shared" si="26"/>
        <v>0.12268571257464761</v>
      </c>
      <c r="AE47" s="3">
        <f t="shared" si="27"/>
        <v>0.10594163118687065</v>
      </c>
      <c r="AF47" s="3">
        <f t="shared" si="28"/>
        <v>0.13787123572170301</v>
      </c>
      <c r="AG47" s="3">
        <f t="shared" si="29"/>
        <v>0.35945737665225191</v>
      </c>
      <c r="AH47" s="3">
        <f t="shared" si="30"/>
        <v>0.11758623918596244</v>
      </c>
      <c r="AI47" s="3">
        <f t="shared" si="31"/>
        <v>0.11163247383778942</v>
      </c>
      <c r="AJ47" s="3">
        <f t="shared" si="32"/>
        <v>0.13146131075366907</v>
      </c>
    </row>
    <row r="48" spans="2:49">
      <c r="B48" s="2" t="s">
        <v>22</v>
      </c>
      <c r="C48" s="3">
        <f t="shared" si="3"/>
        <v>0.62729563433929092</v>
      </c>
      <c r="D48" s="3">
        <f t="shared" si="4"/>
        <v>0.63937275661817949</v>
      </c>
      <c r="E48" s="3">
        <f t="shared" si="5"/>
        <v>0.6505007893511715</v>
      </c>
      <c r="F48" s="3">
        <f t="shared" si="6"/>
        <v>0.66298136225713944</v>
      </c>
      <c r="G48" s="3">
        <f t="shared" si="7"/>
        <v>0.69393671511401156</v>
      </c>
      <c r="H48" s="3">
        <f t="shared" si="8"/>
        <v>0.76952533270919887</v>
      </c>
      <c r="I48" s="3">
        <f t="shared" si="9"/>
        <v>0.73184030374802622</v>
      </c>
      <c r="J48" s="3">
        <f t="shared" si="10"/>
        <v>0.46677898187778893</v>
      </c>
      <c r="K48" s="3">
        <f t="shared" si="11"/>
        <v>0.43614754252749488</v>
      </c>
      <c r="L48" s="3">
        <f t="shared" si="12"/>
        <v>0.37618097052531652</v>
      </c>
      <c r="N48" s="2" t="s">
        <v>22</v>
      </c>
      <c r="O48" s="3">
        <f t="shared" si="13"/>
        <v>0.24297034215580948</v>
      </c>
      <c r="P48" s="3">
        <f t="shared" si="14"/>
        <v>0.23545677561436648</v>
      </c>
      <c r="Q48" s="3">
        <f t="shared" si="15"/>
        <v>0.22837086761007352</v>
      </c>
      <c r="R48" s="3">
        <f t="shared" si="16"/>
        <v>0.21927843153583121</v>
      </c>
      <c r="S48" s="3">
        <f t="shared" si="17"/>
        <v>0.19941889186448611</v>
      </c>
      <c r="T48" s="3">
        <f t="shared" si="18"/>
        <v>0.15242534766242125</v>
      </c>
      <c r="U48" s="3">
        <f t="shared" si="19"/>
        <v>0.1393979057591623</v>
      </c>
      <c r="V48" s="3">
        <f t="shared" si="20"/>
        <v>0.1805833452586936</v>
      </c>
      <c r="W48" s="3">
        <f t="shared" si="21"/>
        <v>0.45172964522479447</v>
      </c>
      <c r="X48" s="3">
        <f t="shared" si="22"/>
        <v>0.49345028707418415</v>
      </c>
      <c r="Z48" s="2" t="s">
        <v>22</v>
      </c>
      <c r="AA48" s="3">
        <f t="shared" si="23"/>
        <v>0.12973402350489957</v>
      </c>
      <c r="AB48" s="3">
        <f t="shared" si="24"/>
        <v>0.12517046776745402</v>
      </c>
      <c r="AC48" s="3">
        <f t="shared" si="25"/>
        <v>0.12112834303875493</v>
      </c>
      <c r="AD48" s="3">
        <f t="shared" si="26"/>
        <v>0.11774020620702937</v>
      </c>
      <c r="AE48" s="3">
        <f t="shared" si="27"/>
        <v>0.1066443930215023</v>
      </c>
      <c r="AF48" s="3">
        <f t="shared" si="28"/>
        <v>7.804931962837991E-2</v>
      </c>
      <c r="AG48" s="3">
        <f t="shared" si="29"/>
        <v>0.12876179049281145</v>
      </c>
      <c r="AH48" s="3">
        <f t="shared" si="30"/>
        <v>0.35263767286351749</v>
      </c>
      <c r="AI48" s="3">
        <f t="shared" si="31"/>
        <v>0.11212281224771069</v>
      </c>
      <c r="AJ48" s="3">
        <f t="shared" si="32"/>
        <v>0.13036874240049937</v>
      </c>
    </row>
    <row r="49" spans="2:36">
      <c r="B49" s="2" t="s">
        <v>23</v>
      </c>
      <c r="C49" s="3">
        <f t="shared" si="3"/>
        <v>0.75737077715891932</v>
      </c>
      <c r="D49" s="3">
        <f t="shared" si="4"/>
        <v>0.76357152411712526</v>
      </c>
      <c r="E49" s="3">
        <f t="shared" si="5"/>
        <v>0.77147626916880752</v>
      </c>
      <c r="F49" s="3">
        <f t="shared" si="6"/>
        <v>0.7801797633652866</v>
      </c>
      <c r="G49" s="3">
        <f t="shared" si="7"/>
        <v>0.80077916234846191</v>
      </c>
      <c r="H49" s="3">
        <f t="shared" si="8"/>
        <v>0.84719888683710887</v>
      </c>
      <c r="I49" s="3">
        <f t="shared" si="9"/>
        <v>0.86133379769387808</v>
      </c>
      <c r="J49" s="3">
        <f t="shared" si="10"/>
        <v>0.81914926857720172</v>
      </c>
      <c r="K49" s="3">
        <f t="shared" si="11"/>
        <v>0.54842167616506321</v>
      </c>
      <c r="L49" s="3">
        <f t="shared" si="12"/>
        <v>0.50737893357723773</v>
      </c>
      <c r="N49" s="2" t="s">
        <v>23</v>
      </c>
      <c r="O49" s="3">
        <f t="shared" si="13"/>
        <v>0.11872755192337724</v>
      </c>
      <c r="P49" s="3">
        <f t="shared" si="14"/>
        <v>0.11524480755519712</v>
      </c>
      <c r="Q49" s="3">
        <f t="shared" si="15"/>
        <v>0.11201866220449237</v>
      </c>
      <c r="R49" s="3">
        <f t="shared" si="16"/>
        <v>0.10829729055332599</v>
      </c>
      <c r="S49" s="3">
        <f t="shared" si="17"/>
        <v>9.7638456707206861E-2</v>
      </c>
      <c r="T49" s="3">
        <f t="shared" si="18"/>
        <v>7.4129366173372513E-2</v>
      </c>
      <c r="U49" s="3">
        <f t="shared" si="19"/>
        <v>6.9330502120161092E-2</v>
      </c>
      <c r="V49" s="3">
        <f t="shared" si="20"/>
        <v>6.0935408779156666E-2</v>
      </c>
      <c r="W49" s="3">
        <f t="shared" si="21"/>
        <v>0.11207598803848662</v>
      </c>
      <c r="X49" s="3">
        <f t="shared" si="22"/>
        <v>0.36203937773140238</v>
      </c>
      <c r="Z49" s="2" t="s">
        <v>23</v>
      </c>
      <c r="AA49" s="3">
        <f t="shared" si="23"/>
        <v>0.1239016709177034</v>
      </c>
      <c r="AB49" s="3">
        <f t="shared" si="24"/>
        <v>0.12118366832767759</v>
      </c>
      <c r="AC49" s="3">
        <f t="shared" si="25"/>
        <v>0.11650506862670008</v>
      </c>
      <c r="AD49" s="3">
        <f t="shared" si="26"/>
        <v>0.11152294608138737</v>
      </c>
      <c r="AE49" s="3">
        <f t="shared" si="27"/>
        <v>0.10158238094433124</v>
      </c>
      <c r="AF49" s="3">
        <f t="shared" si="28"/>
        <v>7.8671746989518579E-2</v>
      </c>
      <c r="AG49" s="3">
        <f t="shared" si="29"/>
        <v>6.9335700185960802E-2</v>
      </c>
      <c r="AH49" s="3">
        <f t="shared" si="30"/>
        <v>0.11991532264364164</v>
      </c>
      <c r="AI49" s="3">
        <f t="shared" si="31"/>
        <v>0.33950233579645023</v>
      </c>
      <c r="AJ49" s="3">
        <f t="shared" si="32"/>
        <v>0.13058168869135983</v>
      </c>
    </row>
    <row r="50" spans="2:36">
      <c r="B50" s="2" t="s">
        <v>24</v>
      </c>
      <c r="C50" s="3">
        <f t="shared" si="3"/>
        <v>0.35372742626997533</v>
      </c>
      <c r="D50" s="3">
        <f t="shared" si="4"/>
        <v>0.37448852355424611</v>
      </c>
      <c r="E50" s="3">
        <f t="shared" si="5"/>
        <v>0.39570545753915737</v>
      </c>
      <c r="F50" s="3">
        <f t="shared" si="6"/>
        <v>0.41815349465157337</v>
      </c>
      <c r="G50" s="3">
        <f t="shared" si="7"/>
        <v>0.42262783780691993</v>
      </c>
      <c r="H50" s="3">
        <f t="shared" si="8"/>
        <v>0.26152312303869696</v>
      </c>
      <c r="I50" s="3">
        <f t="shared" si="9"/>
        <v>0.24332696382378557</v>
      </c>
      <c r="J50" s="3">
        <f t="shared" si="10"/>
        <v>0.22917807718990763</v>
      </c>
      <c r="K50" s="3">
        <f t="shared" si="11"/>
        <v>0.21278618549330033</v>
      </c>
      <c r="L50" s="3">
        <f t="shared" si="12"/>
        <v>0.11512194234744053</v>
      </c>
      <c r="N50" s="2" t="s">
        <v>24</v>
      </c>
      <c r="O50" s="3">
        <f t="shared" si="13"/>
        <v>0.64627257373002467</v>
      </c>
      <c r="P50" s="3">
        <f t="shared" si="14"/>
        <v>0.62551147644575389</v>
      </c>
      <c r="Q50" s="3">
        <f t="shared" si="15"/>
        <v>0.60429454246084269</v>
      </c>
      <c r="R50" s="3">
        <f t="shared" si="16"/>
        <v>0.58184650534842663</v>
      </c>
      <c r="S50" s="3">
        <f t="shared" si="17"/>
        <v>0.57737216219308007</v>
      </c>
      <c r="T50" s="3">
        <f t="shared" si="18"/>
        <v>0.73847687696130304</v>
      </c>
      <c r="U50" s="3">
        <f t="shared" si="19"/>
        <v>0.7566730361762144</v>
      </c>
      <c r="V50" s="3">
        <f t="shared" si="20"/>
        <v>0.77082192281009243</v>
      </c>
      <c r="W50" s="3">
        <f t="shared" si="21"/>
        <v>0.78721381450669969</v>
      </c>
      <c r="X50" s="3">
        <f t="shared" si="22"/>
        <v>0.88487805765255945</v>
      </c>
      <c r="Z50" s="2" t="s">
        <v>24</v>
      </c>
      <c r="AA50" s="3">
        <f t="shared" si="23"/>
        <v>0</v>
      </c>
      <c r="AB50" s="3">
        <f t="shared" si="24"/>
        <v>0</v>
      </c>
      <c r="AC50" s="3">
        <f t="shared" si="25"/>
        <v>0</v>
      </c>
      <c r="AD50" s="3">
        <f t="shared" si="26"/>
        <v>0</v>
      </c>
      <c r="AE50" s="3">
        <f t="shared" si="27"/>
        <v>0</v>
      </c>
      <c r="AF50" s="3">
        <f t="shared" si="28"/>
        <v>0</v>
      </c>
      <c r="AG50" s="3">
        <f t="shared" si="29"/>
        <v>0</v>
      </c>
      <c r="AH50" s="3">
        <f t="shared" si="30"/>
        <v>0</v>
      </c>
      <c r="AI50" s="3">
        <f t="shared" si="31"/>
        <v>0</v>
      </c>
      <c r="AJ50" s="3">
        <f t="shared" si="32"/>
        <v>0</v>
      </c>
    </row>
    <row r="51" spans="2:36">
      <c r="B51" s="2" t="s">
        <v>25</v>
      </c>
      <c r="C51" s="3">
        <f t="shared" si="3"/>
        <v>0.35374682948581443</v>
      </c>
      <c r="D51" s="3">
        <f t="shared" si="4"/>
        <v>0.37421055300623757</v>
      </c>
      <c r="E51" s="3">
        <f t="shared" si="5"/>
        <v>0.39515211579298293</v>
      </c>
      <c r="F51" s="3">
        <f t="shared" si="6"/>
        <v>0.41849255723552231</v>
      </c>
      <c r="G51" s="3">
        <f t="shared" si="7"/>
        <v>0.4230772233629756</v>
      </c>
      <c r="H51" s="3">
        <f t="shared" si="8"/>
        <v>0.2624316141021143</v>
      </c>
      <c r="I51" s="3">
        <f t="shared" si="9"/>
        <v>0.24295149316796028</v>
      </c>
      <c r="J51" s="3">
        <f t="shared" si="10"/>
        <v>0.22895505919153908</v>
      </c>
      <c r="K51" s="3">
        <f t="shared" si="11"/>
        <v>0.21255458760060869</v>
      </c>
      <c r="L51" s="3">
        <f t="shared" si="12"/>
        <v>0.11536511156186613</v>
      </c>
      <c r="N51" s="2" t="s">
        <v>25</v>
      </c>
      <c r="O51" s="3">
        <f t="shared" si="13"/>
        <v>0.64625317051418563</v>
      </c>
      <c r="P51" s="3">
        <f t="shared" si="14"/>
        <v>0.62578944699376249</v>
      </c>
      <c r="Q51" s="3">
        <f t="shared" si="15"/>
        <v>0.60484788420701707</v>
      </c>
      <c r="R51" s="3">
        <f t="shared" si="16"/>
        <v>0.58150744276447763</v>
      </c>
      <c r="S51" s="3">
        <f t="shared" si="17"/>
        <v>0.5769227766370244</v>
      </c>
      <c r="T51" s="3">
        <f t="shared" si="18"/>
        <v>0.73756838589788576</v>
      </c>
      <c r="U51" s="3">
        <f t="shared" si="19"/>
        <v>0.75704850683203972</v>
      </c>
      <c r="V51" s="3">
        <f t="shared" si="20"/>
        <v>0.77104494080846087</v>
      </c>
      <c r="W51" s="3">
        <f t="shared" si="21"/>
        <v>0.78744541239939125</v>
      </c>
      <c r="X51" s="3">
        <f t="shared" si="22"/>
        <v>0.88463488843813387</v>
      </c>
      <c r="Z51" s="2" t="s">
        <v>25</v>
      </c>
      <c r="AA51" s="3">
        <f t="shared" si="23"/>
        <v>0</v>
      </c>
      <c r="AB51" s="3">
        <f t="shared" si="24"/>
        <v>0</v>
      </c>
      <c r="AC51" s="3">
        <f t="shared" si="25"/>
        <v>0</v>
      </c>
      <c r="AD51" s="3">
        <f t="shared" si="26"/>
        <v>0</v>
      </c>
      <c r="AE51" s="3">
        <f t="shared" si="27"/>
        <v>0</v>
      </c>
      <c r="AF51" s="3">
        <f t="shared" si="28"/>
        <v>0</v>
      </c>
      <c r="AG51" s="3">
        <f t="shared" si="29"/>
        <v>0</v>
      </c>
      <c r="AH51" s="3">
        <f t="shared" si="30"/>
        <v>0</v>
      </c>
      <c r="AI51" s="3">
        <f t="shared" si="31"/>
        <v>0</v>
      </c>
      <c r="AJ51" s="3">
        <f t="shared" si="32"/>
        <v>0</v>
      </c>
    </row>
    <row r="52" spans="2:36">
      <c r="B52" s="2" t="s">
        <v>26</v>
      </c>
      <c r="C52" s="3">
        <f t="shared" si="3"/>
        <v>0.35332296631759186</v>
      </c>
      <c r="D52" s="3">
        <f t="shared" si="4"/>
        <v>0.37426745325561145</v>
      </c>
      <c r="E52" s="3">
        <f t="shared" si="5"/>
        <v>0.39534920062350976</v>
      </c>
      <c r="F52" s="3">
        <f t="shared" si="6"/>
        <v>0.41866380659176283</v>
      </c>
      <c r="G52" s="3">
        <f t="shared" si="7"/>
        <v>0.42142400560322552</v>
      </c>
      <c r="H52" s="3">
        <f t="shared" si="8"/>
        <v>0.26222237787999303</v>
      </c>
      <c r="I52" s="3">
        <f t="shared" si="9"/>
        <v>0.24410447955438716</v>
      </c>
      <c r="J52" s="3">
        <f t="shared" si="10"/>
        <v>0.22989157431801571</v>
      </c>
      <c r="K52" s="3">
        <f t="shared" si="11"/>
        <v>0.2123589410427156</v>
      </c>
      <c r="L52" s="3">
        <f t="shared" si="12"/>
        <v>0.11501679718135104</v>
      </c>
      <c r="N52" s="2" t="s">
        <v>26</v>
      </c>
      <c r="O52" s="3">
        <f t="shared" si="13"/>
        <v>0.64667703368240814</v>
      </c>
      <c r="P52" s="3">
        <f t="shared" si="14"/>
        <v>0.6257325467443885</v>
      </c>
      <c r="Q52" s="3">
        <f t="shared" si="15"/>
        <v>0.60465079937649024</v>
      </c>
      <c r="R52" s="3">
        <f t="shared" si="16"/>
        <v>0.58133619340823717</v>
      </c>
      <c r="S52" s="3">
        <f t="shared" si="17"/>
        <v>0.57857599439677454</v>
      </c>
      <c r="T52" s="3">
        <f t="shared" si="18"/>
        <v>0.73777762212000697</v>
      </c>
      <c r="U52" s="3">
        <f t="shared" si="19"/>
        <v>0.75589552044561281</v>
      </c>
      <c r="V52" s="3">
        <f t="shared" si="20"/>
        <v>0.77010842568198423</v>
      </c>
      <c r="W52" s="3">
        <f t="shared" si="21"/>
        <v>0.78764105895728442</v>
      </c>
      <c r="X52" s="3">
        <f t="shared" si="22"/>
        <v>0.88498320281864895</v>
      </c>
      <c r="Z52" s="2" t="s">
        <v>26</v>
      </c>
      <c r="AA52" s="3">
        <f t="shared" si="23"/>
        <v>0</v>
      </c>
      <c r="AB52" s="3">
        <f t="shared" si="24"/>
        <v>0</v>
      </c>
      <c r="AC52" s="3">
        <f t="shared" si="25"/>
        <v>0</v>
      </c>
      <c r="AD52" s="3">
        <f t="shared" si="26"/>
        <v>0</v>
      </c>
      <c r="AE52" s="3">
        <f t="shared" si="27"/>
        <v>0</v>
      </c>
      <c r="AF52" s="3">
        <f t="shared" si="28"/>
        <v>0</v>
      </c>
      <c r="AG52" s="3">
        <f t="shared" si="29"/>
        <v>0</v>
      </c>
      <c r="AH52" s="3">
        <f t="shared" si="30"/>
        <v>0</v>
      </c>
      <c r="AI52" s="3">
        <f t="shared" si="31"/>
        <v>0</v>
      </c>
      <c r="AJ52" s="3">
        <f t="shared" si="32"/>
        <v>0</v>
      </c>
    </row>
    <row r="53" spans="2:36">
      <c r="B53" s="2" t="s">
        <v>27</v>
      </c>
      <c r="C53" s="3">
        <f t="shared" si="3"/>
        <v>0.35357778069374268</v>
      </c>
      <c r="D53" s="3">
        <f t="shared" si="4"/>
        <v>0.37528252477125235</v>
      </c>
      <c r="E53" s="3">
        <f t="shared" si="5"/>
        <v>0.39571449028209904</v>
      </c>
      <c r="F53" s="3">
        <f t="shared" si="6"/>
        <v>0.41824066903330093</v>
      </c>
      <c r="G53" s="3">
        <f t="shared" si="7"/>
        <v>0.42270451011695209</v>
      </c>
      <c r="H53" s="3">
        <f t="shared" si="8"/>
        <v>0.26261059158457972</v>
      </c>
      <c r="I53" s="3">
        <f t="shared" si="9"/>
        <v>0.24387055738726343</v>
      </c>
      <c r="J53" s="3">
        <f t="shared" si="10"/>
        <v>0.22974505723204994</v>
      </c>
      <c r="K53" s="3">
        <f t="shared" si="11"/>
        <v>0.21264832342206583</v>
      </c>
      <c r="L53" s="3">
        <f t="shared" si="12"/>
        <v>0.1157641639629885</v>
      </c>
      <c r="N53" s="2" t="s">
        <v>27</v>
      </c>
      <c r="O53" s="3">
        <f t="shared" si="13"/>
        <v>0.64642221930625732</v>
      </c>
      <c r="P53" s="3">
        <f t="shared" si="14"/>
        <v>0.62471747522874765</v>
      </c>
      <c r="Q53" s="3">
        <f t="shared" si="15"/>
        <v>0.60428550971790096</v>
      </c>
      <c r="R53" s="3">
        <f t="shared" si="16"/>
        <v>0.58175933096669907</v>
      </c>
      <c r="S53" s="3">
        <f t="shared" si="17"/>
        <v>0.57729548988304791</v>
      </c>
      <c r="T53" s="3">
        <f t="shared" si="18"/>
        <v>0.73738940841542022</v>
      </c>
      <c r="U53" s="3">
        <f t="shared" si="19"/>
        <v>0.75612944261273662</v>
      </c>
      <c r="V53" s="3">
        <f t="shared" si="20"/>
        <v>0.77025494276795003</v>
      </c>
      <c r="W53" s="3">
        <f t="shared" si="21"/>
        <v>0.78735167657793415</v>
      </c>
      <c r="X53" s="3">
        <f t="shared" si="22"/>
        <v>0.8842358360370115</v>
      </c>
      <c r="Z53" s="2" t="s">
        <v>27</v>
      </c>
      <c r="AA53" s="3">
        <f t="shared" si="23"/>
        <v>0</v>
      </c>
      <c r="AB53" s="3">
        <f t="shared" si="24"/>
        <v>0</v>
      </c>
      <c r="AC53" s="3">
        <f t="shared" si="25"/>
        <v>0</v>
      </c>
      <c r="AD53" s="3">
        <f t="shared" si="26"/>
        <v>0</v>
      </c>
      <c r="AE53" s="3">
        <f t="shared" si="27"/>
        <v>0</v>
      </c>
      <c r="AF53" s="3">
        <f t="shared" si="28"/>
        <v>0</v>
      </c>
      <c r="AG53" s="3">
        <f t="shared" si="29"/>
        <v>0</v>
      </c>
      <c r="AH53" s="3">
        <f t="shared" si="30"/>
        <v>0</v>
      </c>
      <c r="AI53" s="3">
        <f t="shared" si="31"/>
        <v>0</v>
      </c>
      <c r="AJ53" s="3">
        <f t="shared" si="32"/>
        <v>0</v>
      </c>
    </row>
    <row r="54" spans="2:36">
      <c r="B54" s="2" t="s">
        <v>28</v>
      </c>
      <c r="C54" s="3">
        <f t="shared" si="3"/>
        <v>0.35479515429379366</v>
      </c>
      <c r="D54" s="3">
        <f t="shared" si="4"/>
        <v>0.37419227492779822</v>
      </c>
      <c r="E54" s="3">
        <f t="shared" si="5"/>
        <v>0.39478461256992192</v>
      </c>
      <c r="F54" s="3">
        <f t="shared" si="6"/>
        <v>0.41847990054305984</v>
      </c>
      <c r="G54" s="3">
        <f t="shared" si="7"/>
        <v>0.42288778106662511</v>
      </c>
      <c r="H54" s="3">
        <f t="shared" si="8"/>
        <v>0.26227298395176424</v>
      </c>
      <c r="I54" s="3">
        <f t="shared" si="9"/>
        <v>0.24452347065403232</v>
      </c>
      <c r="J54" s="3">
        <f t="shared" si="10"/>
        <v>0.22982896539877493</v>
      </c>
      <c r="K54" s="3">
        <f t="shared" si="11"/>
        <v>0.21253795146437965</v>
      </c>
      <c r="L54" s="3">
        <f t="shared" si="12"/>
        <v>0.11524395636409038</v>
      </c>
      <c r="N54" s="2" t="s">
        <v>28</v>
      </c>
      <c r="O54" s="3">
        <f t="shared" si="13"/>
        <v>0.64520484570620629</v>
      </c>
      <c r="P54" s="3">
        <f t="shared" si="14"/>
        <v>0.62580772507220184</v>
      </c>
      <c r="Q54" s="3">
        <f t="shared" si="15"/>
        <v>0.60521538743007808</v>
      </c>
      <c r="R54" s="3">
        <f t="shared" si="16"/>
        <v>0.58152009945694016</v>
      </c>
      <c r="S54" s="3">
        <f t="shared" si="17"/>
        <v>0.57711221893337483</v>
      </c>
      <c r="T54" s="3">
        <f t="shared" si="18"/>
        <v>0.73772701604823576</v>
      </c>
      <c r="U54" s="3">
        <f t="shared" si="19"/>
        <v>0.75547652934596765</v>
      </c>
      <c r="V54" s="3">
        <f t="shared" si="20"/>
        <v>0.77017103460122505</v>
      </c>
      <c r="W54" s="3">
        <f t="shared" si="21"/>
        <v>0.7874620485356203</v>
      </c>
      <c r="X54" s="3">
        <f t="shared" si="22"/>
        <v>0.88475604363590965</v>
      </c>
      <c r="Z54" s="2" t="s">
        <v>28</v>
      </c>
      <c r="AA54" s="3">
        <f t="shared" si="23"/>
        <v>0</v>
      </c>
      <c r="AB54" s="3">
        <f t="shared" si="24"/>
        <v>0</v>
      </c>
      <c r="AC54" s="3">
        <f t="shared" si="25"/>
        <v>0</v>
      </c>
      <c r="AD54" s="3">
        <f t="shared" si="26"/>
        <v>0</v>
      </c>
      <c r="AE54" s="3">
        <f t="shared" si="27"/>
        <v>0</v>
      </c>
      <c r="AF54" s="3">
        <f t="shared" si="28"/>
        <v>0</v>
      </c>
      <c r="AG54" s="3">
        <f t="shared" si="29"/>
        <v>0</v>
      </c>
      <c r="AH54" s="3">
        <f t="shared" si="30"/>
        <v>0</v>
      </c>
      <c r="AI54" s="3">
        <f t="shared" si="31"/>
        <v>0</v>
      </c>
      <c r="AJ54" s="3">
        <f t="shared" si="32"/>
        <v>0</v>
      </c>
    </row>
    <row r="55" spans="2:36">
      <c r="B55" s="2" t="s">
        <v>29</v>
      </c>
      <c r="C55" s="3">
        <f t="shared" si="3"/>
        <v>0.35292711073221955</v>
      </c>
      <c r="D55" s="3">
        <f t="shared" si="4"/>
        <v>0.37415157856427989</v>
      </c>
      <c r="E55" s="3">
        <f t="shared" si="5"/>
        <v>0.39523589269195192</v>
      </c>
      <c r="F55" s="3">
        <f t="shared" si="6"/>
        <v>0.41752919061844335</v>
      </c>
      <c r="G55" s="3">
        <f t="shared" si="7"/>
        <v>0.4229421986998374</v>
      </c>
      <c r="H55" s="3">
        <f t="shared" si="8"/>
        <v>0.26096454136926989</v>
      </c>
      <c r="I55" s="3">
        <f t="shared" si="9"/>
        <v>0.2435573666247064</v>
      </c>
      <c r="J55" s="3">
        <f t="shared" si="10"/>
        <v>0.22920139878523804</v>
      </c>
      <c r="K55" s="3">
        <f t="shared" si="11"/>
        <v>0.21277965100699078</v>
      </c>
      <c r="L55" s="3">
        <f t="shared" si="12"/>
        <v>0.11511921166896337</v>
      </c>
      <c r="N55" s="2" t="s">
        <v>29</v>
      </c>
      <c r="O55" s="3">
        <f t="shared" si="13"/>
        <v>0.50726839385779787</v>
      </c>
      <c r="P55" s="3">
        <f t="shared" si="14"/>
        <v>0.49109791127805869</v>
      </c>
      <c r="Q55" s="3">
        <f t="shared" si="15"/>
        <v>0.47468142273591868</v>
      </c>
      <c r="R55" s="3">
        <f t="shared" si="16"/>
        <v>0.46053319189760467</v>
      </c>
      <c r="S55" s="3">
        <f t="shared" si="17"/>
        <v>0.41147200782848964</v>
      </c>
      <c r="T55" s="3">
        <f t="shared" si="18"/>
        <v>0.36976167491094358</v>
      </c>
      <c r="U55" s="3">
        <f t="shared" si="19"/>
        <v>0.62743034377149387</v>
      </c>
      <c r="V55" s="3">
        <f t="shared" si="20"/>
        <v>0.65021258984800512</v>
      </c>
      <c r="W55" s="3">
        <f t="shared" si="21"/>
        <v>0.67540515085999431</v>
      </c>
      <c r="X55" s="3">
        <f t="shared" si="22"/>
        <v>0.75429396011544159</v>
      </c>
      <c r="Z55" s="2" t="s">
        <v>29</v>
      </c>
      <c r="AA55" s="3">
        <f t="shared" si="23"/>
        <v>0.13980449540998263</v>
      </c>
      <c r="AB55" s="3">
        <f t="shared" si="24"/>
        <v>0.13475051015766146</v>
      </c>
      <c r="AC55" s="3">
        <f t="shared" si="25"/>
        <v>0.13008268457212943</v>
      </c>
      <c r="AD55" s="3">
        <f t="shared" si="26"/>
        <v>0.12193761748395199</v>
      </c>
      <c r="AE55" s="3">
        <f t="shared" si="27"/>
        <v>0.16558579347167299</v>
      </c>
      <c r="AF55" s="3">
        <f t="shared" si="28"/>
        <v>0.36927378371978653</v>
      </c>
      <c r="AG55" s="3">
        <f t="shared" si="29"/>
        <v>0.12901228960379979</v>
      </c>
      <c r="AH55" s="3">
        <f t="shared" si="30"/>
        <v>0.12058601136675685</v>
      </c>
      <c r="AI55" s="3">
        <f t="shared" si="31"/>
        <v>0.11181519813301488</v>
      </c>
      <c r="AJ55" s="3">
        <f t="shared" si="32"/>
        <v>0.13058682821559503</v>
      </c>
    </row>
    <row r="56" spans="2:36">
      <c r="B56" s="2" t="s">
        <v>30</v>
      </c>
      <c r="C56" s="3">
        <f t="shared" si="3"/>
        <v>0.49420940184815998</v>
      </c>
      <c r="D56" s="3">
        <f t="shared" si="4"/>
        <v>0.50836092564511393</v>
      </c>
      <c r="E56" s="3">
        <f t="shared" si="5"/>
        <v>0.52649511738688837</v>
      </c>
      <c r="F56" s="3">
        <f t="shared" si="6"/>
        <v>0.54004459216103073</v>
      </c>
      <c r="G56" s="3">
        <f t="shared" si="7"/>
        <v>0.58853660058985391</v>
      </c>
      <c r="H56" s="3">
        <f t="shared" si="8"/>
        <v>0.63053583133412472</v>
      </c>
      <c r="I56" s="3">
        <f t="shared" si="9"/>
        <v>0.37298483147161338</v>
      </c>
      <c r="J56" s="3">
        <f t="shared" si="10"/>
        <v>0.34947270495712063</v>
      </c>
      <c r="K56" s="3">
        <f t="shared" si="11"/>
        <v>0.32432804720286879</v>
      </c>
      <c r="L56" s="3">
        <f t="shared" si="12"/>
        <v>0.24481536304144594</v>
      </c>
      <c r="N56" s="2" t="s">
        <v>30</v>
      </c>
      <c r="O56" s="3">
        <f t="shared" si="13"/>
        <v>0.37119052412153958</v>
      </c>
      <c r="P56" s="3">
        <f t="shared" si="14"/>
        <v>0.36100887722483332</v>
      </c>
      <c r="Q56" s="3">
        <f t="shared" si="15"/>
        <v>0.34947519549309258</v>
      </c>
      <c r="R56" s="3">
        <f t="shared" si="16"/>
        <v>0.33752705803477462</v>
      </c>
      <c r="S56" s="3">
        <f t="shared" si="17"/>
        <v>0.30512715148425756</v>
      </c>
      <c r="T56" s="3">
        <f t="shared" si="18"/>
        <v>0.23173444428951753</v>
      </c>
      <c r="U56" s="3">
        <f t="shared" si="19"/>
        <v>0.2676268425186118</v>
      </c>
      <c r="V56" s="3">
        <f t="shared" si="20"/>
        <v>0.53318818713175997</v>
      </c>
      <c r="W56" s="3">
        <f t="shared" si="21"/>
        <v>0.56425354713497011</v>
      </c>
      <c r="X56" s="3">
        <f t="shared" si="22"/>
        <v>0.62360418614313906</v>
      </c>
      <c r="Z56" s="2" t="s">
        <v>30</v>
      </c>
      <c r="AA56" s="3">
        <f t="shared" si="23"/>
        <v>0.13460007403030047</v>
      </c>
      <c r="AB56" s="3">
        <f t="shared" si="24"/>
        <v>0.13063019713005278</v>
      </c>
      <c r="AC56" s="3">
        <f t="shared" si="25"/>
        <v>0.12402968712001904</v>
      </c>
      <c r="AD56" s="3">
        <f t="shared" si="26"/>
        <v>0.12242834980419467</v>
      </c>
      <c r="AE56" s="3">
        <f t="shared" si="27"/>
        <v>0.10633624792588856</v>
      </c>
      <c r="AF56" s="3">
        <f t="shared" si="28"/>
        <v>0.13772972437635769</v>
      </c>
      <c r="AG56" s="3">
        <f t="shared" si="29"/>
        <v>0.35938832600977483</v>
      </c>
      <c r="AH56" s="3">
        <f t="shared" si="30"/>
        <v>0.11733910791111946</v>
      </c>
      <c r="AI56" s="3">
        <f t="shared" si="31"/>
        <v>0.1114184056621611</v>
      </c>
      <c r="AJ56" s="3">
        <f t="shared" si="32"/>
        <v>0.13158045081541497</v>
      </c>
    </row>
    <row r="57" spans="2:36">
      <c r="B57" s="2" t="s">
        <v>31</v>
      </c>
      <c r="C57" s="3">
        <f t="shared" si="3"/>
        <v>0.62783988225718801</v>
      </c>
      <c r="D57" s="3">
        <f t="shared" si="4"/>
        <v>0.63920210631048857</v>
      </c>
      <c r="E57" s="3">
        <f t="shared" si="5"/>
        <v>0.65017944085215873</v>
      </c>
      <c r="F57" s="3">
        <f t="shared" si="6"/>
        <v>0.66252895617380725</v>
      </c>
      <c r="G57" s="3">
        <f t="shared" si="7"/>
        <v>0.69507951575361171</v>
      </c>
      <c r="H57" s="3">
        <f t="shared" si="8"/>
        <v>0.76913486324973523</v>
      </c>
      <c r="I57" s="3">
        <f t="shared" si="9"/>
        <v>0.73223649302412686</v>
      </c>
      <c r="J57" s="3">
        <f t="shared" si="10"/>
        <v>0.4672798309134733</v>
      </c>
      <c r="K57" s="3">
        <f t="shared" si="11"/>
        <v>0.43563894949894183</v>
      </c>
      <c r="L57" s="3">
        <f t="shared" si="12"/>
        <v>0.37666018598767892</v>
      </c>
      <c r="N57" s="2" t="s">
        <v>31</v>
      </c>
      <c r="O57" s="3">
        <f t="shared" si="13"/>
        <v>0.24195913845961822</v>
      </c>
      <c r="P57" s="3">
        <f t="shared" si="14"/>
        <v>0.23586884658198648</v>
      </c>
      <c r="Q57" s="3">
        <f t="shared" si="15"/>
        <v>0.22850709633612867</v>
      </c>
      <c r="R57" s="3">
        <f t="shared" si="16"/>
        <v>0.21986283028237308</v>
      </c>
      <c r="S57" s="3">
        <f t="shared" si="17"/>
        <v>0.19858783142400166</v>
      </c>
      <c r="T57" s="3">
        <f t="shared" si="18"/>
        <v>0.15280933242957068</v>
      </c>
      <c r="U57" s="3">
        <f t="shared" si="19"/>
        <v>0.13839513301497133</v>
      </c>
      <c r="V57" s="3">
        <f t="shared" si="20"/>
        <v>0.18114851815025171</v>
      </c>
      <c r="W57" s="3">
        <f t="shared" si="21"/>
        <v>0.45219202174876139</v>
      </c>
      <c r="X57" s="3">
        <f t="shared" si="22"/>
        <v>0.49224270533211528</v>
      </c>
      <c r="Z57" s="2" t="s">
        <v>31</v>
      </c>
      <c r="AA57" s="3">
        <f t="shared" si="23"/>
        <v>0.13020097928319382</v>
      </c>
      <c r="AB57" s="3">
        <f t="shared" si="24"/>
        <v>0.12492904710752496</v>
      </c>
      <c r="AC57" s="3">
        <f t="shared" si="25"/>
        <v>0.12131346281171262</v>
      </c>
      <c r="AD57" s="3">
        <f t="shared" si="26"/>
        <v>0.11760821354381969</v>
      </c>
      <c r="AE57" s="3">
        <f t="shared" si="27"/>
        <v>0.10633265282238664</v>
      </c>
      <c r="AF57" s="3">
        <f t="shared" si="28"/>
        <v>7.8055804320694047E-2</v>
      </c>
      <c r="AG57" s="3">
        <f t="shared" si="29"/>
        <v>0.12936837396090181</v>
      </c>
      <c r="AH57" s="3">
        <f t="shared" si="30"/>
        <v>0.35157165093627502</v>
      </c>
      <c r="AI57" s="3">
        <f t="shared" si="31"/>
        <v>0.11216902875229678</v>
      </c>
      <c r="AJ57" s="3">
        <f t="shared" si="32"/>
        <v>0.13109710868020583</v>
      </c>
    </row>
    <row r="58" spans="2:36">
      <c r="B58" s="2" t="s">
        <v>32</v>
      </c>
      <c r="C58" s="3">
        <f t="shared" si="3"/>
        <v>0.75694739647316522</v>
      </c>
      <c r="D58" s="3">
        <f t="shared" si="4"/>
        <v>0.76421933025058697</v>
      </c>
      <c r="E58" s="3">
        <f t="shared" si="5"/>
        <v>0.77146617537769135</v>
      </c>
      <c r="F58" s="3">
        <f t="shared" si="6"/>
        <v>0.77962816599676577</v>
      </c>
      <c r="G58" s="3">
        <f t="shared" si="7"/>
        <v>0.8014824560037781</v>
      </c>
      <c r="H58" s="3">
        <f t="shared" si="8"/>
        <v>0.84797094719480959</v>
      </c>
      <c r="I58" s="3">
        <f t="shared" si="9"/>
        <v>0.86109561138923896</v>
      </c>
      <c r="J58" s="3">
        <f t="shared" si="10"/>
        <v>0.81916300188845392</v>
      </c>
      <c r="K58" s="3">
        <f t="shared" si="11"/>
        <v>0.54804005019437152</v>
      </c>
      <c r="L58" s="3">
        <f t="shared" si="12"/>
        <v>0.50658788381569819</v>
      </c>
      <c r="N58" s="2" t="s">
        <v>32</v>
      </c>
      <c r="O58" s="3">
        <f t="shared" si="13"/>
        <v>0.1181379144485827</v>
      </c>
      <c r="P58" s="3">
        <f t="shared" si="14"/>
        <v>0.11505537887213106</v>
      </c>
      <c r="Q58" s="3">
        <f t="shared" si="15"/>
        <v>0.11255385382940354</v>
      </c>
      <c r="R58" s="3">
        <f t="shared" si="16"/>
        <v>0.10817946411393689</v>
      </c>
      <c r="S58" s="3">
        <f t="shared" si="17"/>
        <v>9.6953868190381293E-2</v>
      </c>
      <c r="T58" s="3">
        <f t="shared" si="18"/>
        <v>7.3386428583506649E-2</v>
      </c>
      <c r="U58" s="3">
        <f t="shared" si="19"/>
        <v>6.9734440988981974E-2</v>
      </c>
      <c r="V58" s="3">
        <f t="shared" si="20"/>
        <v>6.0838348862641604E-2</v>
      </c>
      <c r="W58" s="3">
        <f t="shared" si="21"/>
        <v>0.11199773533811812</v>
      </c>
      <c r="X58" s="3">
        <f t="shared" si="22"/>
        <v>0.36234467974823176</v>
      </c>
      <c r="Z58" s="2" t="s">
        <v>32</v>
      </c>
      <c r="AA58" s="3">
        <f t="shared" si="23"/>
        <v>0.12491468907825205</v>
      </c>
      <c r="AB58" s="3">
        <f t="shared" si="24"/>
        <v>0.12072529087728198</v>
      </c>
      <c r="AC58" s="3">
        <f t="shared" si="25"/>
        <v>0.11597997079290506</v>
      </c>
      <c r="AD58" s="3">
        <f t="shared" si="26"/>
        <v>0.11219236988929736</v>
      </c>
      <c r="AE58" s="3">
        <f t="shared" si="27"/>
        <v>0.10156367580584057</v>
      </c>
      <c r="AF58" s="3">
        <f t="shared" si="28"/>
        <v>7.8642624221683721E-2</v>
      </c>
      <c r="AG58" s="3">
        <f t="shared" si="29"/>
        <v>6.916994762177904E-2</v>
      </c>
      <c r="AH58" s="3">
        <f t="shared" si="30"/>
        <v>0.11999864924890447</v>
      </c>
      <c r="AI58" s="3">
        <f t="shared" si="31"/>
        <v>0.33996221446751035</v>
      </c>
      <c r="AJ58" s="3">
        <f t="shared" si="32"/>
        <v>0.13106743643607011</v>
      </c>
    </row>
    <row r="59" spans="2:36">
      <c r="B59" s="2" t="s">
        <v>33</v>
      </c>
      <c r="C59" s="3">
        <f t="shared" si="3"/>
        <v>1</v>
      </c>
      <c r="D59" s="3">
        <f t="shared" si="4"/>
        <v>1</v>
      </c>
      <c r="E59" s="3">
        <f t="shared" si="5"/>
        <v>1</v>
      </c>
      <c r="F59" s="3">
        <f t="shared" si="6"/>
        <v>1</v>
      </c>
      <c r="G59" s="3">
        <f t="shared" si="7"/>
        <v>1</v>
      </c>
      <c r="H59" s="3">
        <f t="shared" si="8"/>
        <v>1</v>
      </c>
      <c r="I59" s="3">
        <f t="shared" si="9"/>
        <v>1</v>
      </c>
      <c r="J59" s="3">
        <f t="shared" si="10"/>
        <v>1</v>
      </c>
      <c r="K59" s="3">
        <f t="shared" si="11"/>
        <v>0.9226142521148174</v>
      </c>
      <c r="L59" s="3">
        <f t="shared" si="12"/>
        <v>0.69167442518773026</v>
      </c>
      <c r="N59" s="2" t="s">
        <v>33</v>
      </c>
      <c r="O59" s="3">
        <f t="shared" si="13"/>
        <v>0</v>
      </c>
      <c r="P59" s="3">
        <f t="shared" si="14"/>
        <v>0</v>
      </c>
      <c r="Q59" s="3">
        <f t="shared" si="15"/>
        <v>0</v>
      </c>
      <c r="R59" s="3">
        <f t="shared" si="16"/>
        <v>0</v>
      </c>
      <c r="S59" s="3">
        <f t="shared" si="17"/>
        <v>0</v>
      </c>
      <c r="T59" s="3">
        <f t="shared" si="18"/>
        <v>0</v>
      </c>
      <c r="U59" s="3">
        <f t="shared" si="19"/>
        <v>0</v>
      </c>
      <c r="V59" s="3">
        <f t="shared" si="20"/>
        <v>0</v>
      </c>
      <c r="W59" s="3">
        <f t="shared" si="21"/>
        <v>0</v>
      </c>
      <c r="X59" s="3">
        <f t="shared" si="22"/>
        <v>0</v>
      </c>
      <c r="Z59" s="2" t="s">
        <v>33</v>
      </c>
      <c r="AA59" s="3">
        <f t="shared" si="23"/>
        <v>0</v>
      </c>
      <c r="AB59" s="3">
        <f t="shared" si="24"/>
        <v>0</v>
      </c>
      <c r="AC59" s="3">
        <f t="shared" si="25"/>
        <v>0</v>
      </c>
      <c r="AD59" s="3">
        <f t="shared" si="26"/>
        <v>0</v>
      </c>
      <c r="AE59" s="3">
        <f t="shared" si="27"/>
        <v>0</v>
      </c>
      <c r="AF59" s="3">
        <f t="shared" si="28"/>
        <v>0</v>
      </c>
      <c r="AG59" s="3">
        <f t="shared" si="29"/>
        <v>0</v>
      </c>
      <c r="AH59" s="3">
        <f t="shared" si="30"/>
        <v>0</v>
      </c>
      <c r="AI59" s="3">
        <f t="shared" si="31"/>
        <v>7.738574788518264E-2</v>
      </c>
      <c r="AJ59" s="3">
        <f t="shared" si="32"/>
        <v>0.30832557481226974</v>
      </c>
    </row>
    <row r="61" spans="2:36">
      <c r="N61" s="9" t="s">
        <v>43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2:36">
      <c r="B62" s="6" t="s">
        <v>44</v>
      </c>
      <c r="C62" s="7"/>
      <c r="D62" s="7"/>
      <c r="E62" s="7"/>
      <c r="F62" s="7"/>
      <c r="G62" s="7"/>
      <c r="H62" s="7"/>
      <c r="I62" s="7"/>
      <c r="J62" s="7"/>
      <c r="K62" s="7"/>
      <c r="L62" s="8"/>
      <c r="N62" s="9" t="s">
        <v>38</v>
      </c>
      <c r="O62" s="9"/>
      <c r="P62" s="9"/>
      <c r="Q62" s="9"/>
      <c r="R62" s="9"/>
      <c r="S62" s="9"/>
      <c r="T62" s="9" t="s">
        <v>39</v>
      </c>
      <c r="U62" s="9"/>
      <c r="V62" s="9"/>
      <c r="W62" s="9"/>
      <c r="X62" s="9"/>
      <c r="Y62" s="9"/>
    </row>
    <row r="63" spans="2:36">
      <c r="B63" s="1"/>
      <c r="C63" s="2">
        <v>2</v>
      </c>
      <c r="D63" s="2">
        <v>3</v>
      </c>
      <c r="E63" s="2">
        <v>4</v>
      </c>
      <c r="F63" s="2">
        <v>5</v>
      </c>
      <c r="G63" s="2">
        <v>6</v>
      </c>
      <c r="H63" s="2">
        <v>7</v>
      </c>
      <c r="I63" s="2">
        <v>8</v>
      </c>
      <c r="J63" s="2">
        <v>9</v>
      </c>
      <c r="K63" s="2">
        <v>10</v>
      </c>
      <c r="L63" s="2" t="s">
        <v>6</v>
      </c>
      <c r="N63" s="10" t="s">
        <v>40</v>
      </c>
      <c r="O63" s="10"/>
      <c r="P63" s="10" t="s">
        <v>41</v>
      </c>
      <c r="Q63" s="10"/>
      <c r="R63" s="10" t="s">
        <v>42</v>
      </c>
      <c r="S63" s="10"/>
      <c r="T63" s="10" t="s">
        <v>40</v>
      </c>
      <c r="U63" s="10"/>
      <c r="V63" s="10" t="s">
        <v>41</v>
      </c>
      <c r="W63" s="10"/>
      <c r="X63" s="10" t="s">
        <v>42</v>
      </c>
      <c r="Y63" s="10"/>
    </row>
    <row r="64" spans="2:36">
      <c r="B64" s="2" t="s">
        <v>7</v>
      </c>
      <c r="C64" s="3">
        <f>C33/(C33+O33+AA33) - O33</f>
        <v>-0.29343488733852552</v>
      </c>
      <c r="D64" s="3">
        <f>D33/(D33+P33+AB33) - P33</f>
        <v>-0.25379990314417888</v>
      </c>
      <c r="E64" s="3">
        <f>E33/(E33+Q33+AC33) - Q33</f>
        <v>-0.20855141085545292</v>
      </c>
      <c r="F64" s="3">
        <f>F33/(F33+R33+AD33) - R33</f>
        <v>-0.1631764877267099</v>
      </c>
      <c r="G64" s="3">
        <f>G33/(G33+S33+AE33) - S33</f>
        <v>-0.15431907727916983</v>
      </c>
      <c r="H64" s="3">
        <f>H33/(H33+T33+AF33) - T33</f>
        <v>-0.47739033205918302</v>
      </c>
      <c r="I64" s="3">
        <f>I33/(I33+U33+AG33) - U33</f>
        <v>-0.51190378495682531</v>
      </c>
      <c r="J64" s="3">
        <f>J33/(J33+V33+AH33) - V33</f>
        <v>-0.54141492329511509</v>
      </c>
      <c r="K64" s="3">
        <f>K33/(K33+W33+AI33) - W33</f>
        <v>-0.57480113432442193</v>
      </c>
      <c r="L64" s="3">
        <f>L33/(L33+X33+AJ33) - X33</f>
        <v>-0.76931502210761438</v>
      </c>
      <c r="N64" s="12">
        <f>0</f>
        <v>0</v>
      </c>
      <c r="O64" s="12"/>
      <c r="P64" s="12">
        <f>0</f>
        <v>0</v>
      </c>
      <c r="Q64" s="12"/>
      <c r="R64" s="13">
        <v>-4363184</v>
      </c>
      <c r="S64" s="14"/>
      <c r="T64" s="17">
        <v>2818408</v>
      </c>
      <c r="U64" s="17"/>
      <c r="V64" s="17">
        <v>474022</v>
      </c>
      <c r="W64" s="17"/>
      <c r="X64" s="13">
        <f>R64*(-1)</f>
        <v>4363184</v>
      </c>
      <c r="Y64" s="13"/>
      <c r="Z64" s="5"/>
    </row>
    <row r="65" spans="2:25">
      <c r="B65" s="2" t="s">
        <v>8</v>
      </c>
      <c r="C65" s="3">
        <f>C34/(C34+O34+AA34) - O34</f>
        <v>-0.29135938245460768</v>
      </c>
      <c r="D65" s="3">
        <f>D34/(D34+P34+AB34) - P34</f>
        <v>-0.25437839972152809</v>
      </c>
      <c r="E65" s="3">
        <f>E34/(E34+Q34+AC34) - Q34</f>
        <v>-0.20707760896223476</v>
      </c>
      <c r="F65" s="3">
        <f>F34/(F34+R34+AD34) - R34</f>
        <v>-0.16195498355513221</v>
      </c>
      <c r="G65" s="3">
        <f>G34/(G34+S34+AE34) - S34</f>
        <v>-0.1554367633286311</v>
      </c>
      <c r="H65" s="3">
        <f>H34/(H34+T34+AF34) - T34</f>
        <v>-0.47551082979961756</v>
      </c>
      <c r="I65" s="3">
        <f>I34/(I34+U34+AG34) - U34</f>
        <v>-0.51415934376400441</v>
      </c>
      <c r="J65" s="3">
        <f>J34/(J34+V34+AH34) - V34</f>
        <v>-0.54199339741974706</v>
      </c>
      <c r="K65" s="3">
        <f>K34/(K34+W34+AI34) - W34</f>
        <v>-0.574497668691069</v>
      </c>
      <c r="L65" s="3">
        <f>L34/(L34+X34+AJ34) - X34</f>
        <v>-0.7704618257914404</v>
      </c>
      <c r="N65" s="11">
        <f>0</f>
        <v>0</v>
      </c>
      <c r="O65" s="11"/>
      <c r="P65" s="11">
        <f>0</f>
        <v>0</v>
      </c>
      <c r="Q65" s="11"/>
      <c r="R65" s="15">
        <v>-4361676</v>
      </c>
      <c r="S65" s="16"/>
      <c r="T65" s="18">
        <v>2819162</v>
      </c>
      <c r="U65" s="18"/>
      <c r="V65" s="18">
        <v>475120</v>
      </c>
      <c r="W65" s="18"/>
      <c r="X65" s="15">
        <f t="shared" ref="X65:X90" si="33">R65*(-1)</f>
        <v>4361676</v>
      </c>
      <c r="Y65" s="15"/>
    </row>
    <row r="66" spans="2:25">
      <c r="B66" s="2" t="s">
        <v>9</v>
      </c>
      <c r="C66" s="3">
        <f>C35/(C35+O35+AA35) - O35</f>
        <v>-0.2954924657854659</v>
      </c>
      <c r="D66" s="3">
        <f>D35/(D35+P35+AB35) - P35</f>
        <v>-0.25273906160924492</v>
      </c>
      <c r="E66" s="3">
        <f>E35/(E35+Q35+AC35) - Q35</f>
        <v>-0.20985695089605683</v>
      </c>
      <c r="F66" s="3">
        <f>F35/(F35+R35+AD35) - R35</f>
        <v>-0.16436869355684691</v>
      </c>
      <c r="G66" s="3">
        <f>G35/(G35+S35+AE35) - S35</f>
        <v>-0.15323744277411605</v>
      </c>
      <c r="H66" s="3">
        <f>H35/(H35+T35+AF35) - T35</f>
        <v>-0.47437576318729119</v>
      </c>
      <c r="I66" s="3">
        <f>I35/(I35+U35+AG35) - U35</f>
        <v>-0.51378782673870282</v>
      </c>
      <c r="J66" s="3">
        <f>J35/(J35+V35+AH35) - V35</f>
        <v>-0.54268853533927719</v>
      </c>
      <c r="K66" s="3">
        <f>K35/(K35+W35+AI35) - W35</f>
        <v>-0.57500039820084736</v>
      </c>
      <c r="L66" s="3">
        <f>L35/(L35+X35+AJ35) - X35</f>
        <v>-0.76971815599737825</v>
      </c>
      <c r="N66" s="12">
        <f>0</f>
        <v>0</v>
      </c>
      <c r="O66" s="12"/>
      <c r="P66" s="12">
        <f>0</f>
        <v>0</v>
      </c>
      <c r="Q66" s="12"/>
      <c r="R66" s="13">
        <v>-4365474</v>
      </c>
      <c r="S66" s="14"/>
      <c r="T66" s="17">
        <v>2817263</v>
      </c>
      <c r="U66" s="17"/>
      <c r="V66" s="17">
        <v>474318</v>
      </c>
      <c r="W66" s="17"/>
      <c r="X66" s="13">
        <f t="shared" si="33"/>
        <v>4365474</v>
      </c>
      <c r="Y66" s="13"/>
    </row>
    <row r="67" spans="2:25">
      <c r="B67" s="2" t="s">
        <v>10</v>
      </c>
      <c r="C67" s="3">
        <f>C36/(C36+O36+AA36) - O36</f>
        <v>-0.29129696446831099</v>
      </c>
      <c r="D67" s="3">
        <f>D36/(D36+P36+AB36) - P36</f>
        <v>-0.2502357185715065</v>
      </c>
      <c r="E67" s="3">
        <f>E36/(E36+Q36+AC36) - Q36</f>
        <v>-0.20927676927604016</v>
      </c>
      <c r="F67" s="3">
        <f>F36/(F36+R36+AD36) - R36</f>
        <v>-0.16480319474614014</v>
      </c>
      <c r="G67" s="3">
        <f>G36/(G36+S36+AE36) - S36</f>
        <v>-0.15356854267727088</v>
      </c>
      <c r="H67" s="3">
        <f>H36/(H36+T36+AF36) - T36</f>
        <v>-0.47689563678862029</v>
      </c>
      <c r="I67" s="3">
        <f>I36/(I36+U36+AG36) - U36</f>
        <v>-0.51177402825037532</v>
      </c>
      <c r="J67" s="3">
        <f>J36/(J36+V36+AH36) - V36</f>
        <v>-0.54087120542905542</v>
      </c>
      <c r="K67" s="3">
        <f>K36/(K36+W36+AI36) - W36</f>
        <v>-0.5752360036487989</v>
      </c>
      <c r="L67" s="3">
        <f>L36/(L36+X36+AJ36) - X36</f>
        <v>-0.76963467856107481</v>
      </c>
      <c r="N67" s="11">
        <f>0</f>
        <v>0</v>
      </c>
      <c r="O67" s="11"/>
      <c r="P67" s="11">
        <f>0</f>
        <v>0</v>
      </c>
      <c r="Q67" s="11"/>
      <c r="R67" s="15">
        <v>-4360904</v>
      </c>
      <c r="S67" s="16"/>
      <c r="T67" s="18">
        <v>2819548</v>
      </c>
      <c r="U67" s="18"/>
      <c r="V67" s="18">
        <v>475236</v>
      </c>
      <c r="W67" s="18"/>
      <c r="X67" s="15">
        <f t="shared" si="33"/>
        <v>4360904</v>
      </c>
      <c r="Y67" s="15"/>
    </row>
    <row r="68" spans="2:25">
      <c r="B68" s="2" t="s">
        <v>11</v>
      </c>
      <c r="C68" s="3">
        <f>C37/(C37+O37+AA37) - O37</f>
        <v>-0.29330864162184467</v>
      </c>
      <c r="D68" s="3">
        <f>D37/(D37+P37+AB37) - P37</f>
        <v>-0.25150861508874972</v>
      </c>
      <c r="E68" s="3">
        <f>E37/(E37+Q37+AC37) - Q37</f>
        <v>-0.2098842144534992</v>
      </c>
      <c r="F68" s="3">
        <f>F37/(F37+R37+AD37) - R37</f>
        <v>-0.1634558919059374</v>
      </c>
      <c r="G68" s="3">
        <f>G37/(G37+S37+AE37) - S37</f>
        <v>-0.15565612155756364</v>
      </c>
      <c r="H68" s="3">
        <f>H37/(H37+T37+AF37) - T37</f>
        <v>-0.47606402328119318</v>
      </c>
      <c r="I68" s="3">
        <f>I37/(I37+U37+AG37) - U37</f>
        <v>-0.51223287455995803</v>
      </c>
      <c r="J68" s="3">
        <f>J37/(J37+V37+AH37) - V37</f>
        <v>-0.54218612093584317</v>
      </c>
      <c r="K68" s="3">
        <f>K37/(K37+W37+AI37) - W37</f>
        <v>-0.57505482809044794</v>
      </c>
      <c r="L68" s="3">
        <f>L37/(L37+X37+AJ37) - X37</f>
        <v>-0.76961556697214339</v>
      </c>
      <c r="N68" s="12">
        <f>0</f>
        <v>0</v>
      </c>
      <c r="O68" s="12"/>
      <c r="P68" s="12">
        <f>0</f>
        <v>0</v>
      </c>
      <c r="Q68" s="12"/>
      <c r="R68" s="13">
        <v>-4365116</v>
      </c>
      <c r="S68" s="14"/>
      <c r="T68" s="17">
        <v>2817442</v>
      </c>
      <c r="U68" s="17"/>
      <c r="V68" s="17">
        <v>475702</v>
      </c>
      <c r="W68" s="17"/>
      <c r="X68" s="13">
        <f t="shared" si="33"/>
        <v>4365116</v>
      </c>
      <c r="Y68" s="13"/>
    </row>
    <row r="69" spans="2:25">
      <c r="B69" s="2" t="s">
        <v>12</v>
      </c>
      <c r="C69" s="3">
        <f>C38/(C38+O38+AA38) - O38</f>
        <v>-0.29183514794715038</v>
      </c>
      <c r="D69" s="3">
        <f>D38/(D38+P38+AB38) - P38</f>
        <v>-0.25229882142731741</v>
      </c>
      <c r="E69" s="3">
        <f>E38/(E38+Q38+AC38) - Q38</f>
        <v>-0.20899284411831265</v>
      </c>
      <c r="F69" s="3">
        <f>F38/(F38+R38+AD38) - R38</f>
        <v>-0.16410295046022189</v>
      </c>
      <c r="G69" s="3">
        <f>G38/(G38+S38+AE38) - S38</f>
        <v>-0.15468524423302621</v>
      </c>
      <c r="H69" s="3">
        <f>H38/(H38+T38+AF38) - T38</f>
        <v>-0.47485857623872646</v>
      </c>
      <c r="I69" s="3">
        <f>I38/(I38+U38+AG38) - U38</f>
        <v>-0.51225088565319843</v>
      </c>
      <c r="J69" s="3">
        <f>J38/(J38+V38+AH38) - V38</f>
        <v>-0.54101592686344824</v>
      </c>
      <c r="K69" s="3">
        <f>K38/(K38+W38+AI38) - W38</f>
        <v>-0.57487331722381718</v>
      </c>
      <c r="L69" s="3">
        <f>L38/(L38+X38+AJ38) - X38</f>
        <v>-0.76852018950257528</v>
      </c>
      <c r="N69" s="11">
        <f>0</f>
        <v>0</v>
      </c>
      <c r="O69" s="11"/>
      <c r="P69" s="11">
        <f>0</f>
        <v>0</v>
      </c>
      <c r="Q69" s="11"/>
      <c r="R69" s="15">
        <v>-4359850</v>
      </c>
      <c r="S69" s="16"/>
      <c r="T69" s="18">
        <v>2820075</v>
      </c>
      <c r="U69" s="18"/>
      <c r="V69" s="18">
        <v>474649</v>
      </c>
      <c r="W69" s="18"/>
      <c r="X69" s="15">
        <f t="shared" si="33"/>
        <v>4359850</v>
      </c>
      <c r="Y69" s="15"/>
    </row>
    <row r="70" spans="2:25">
      <c r="B70" s="2" t="s">
        <v>13</v>
      </c>
      <c r="C70" s="3">
        <f>C39/(C39+O39+AA39) - O39</f>
        <v>-0.29543188126921804</v>
      </c>
      <c r="D70" s="3">
        <f>D39/(D39+P39+AB39) - P39</f>
        <v>-0.25185443812633929</v>
      </c>
      <c r="E70" s="3">
        <f>E39/(E39+Q39+AC39) - Q39</f>
        <v>-0.20917110149599988</v>
      </c>
      <c r="F70" s="3">
        <f>F39/(F39+R39+AD39) - R39</f>
        <v>-0.16033753079162105</v>
      </c>
      <c r="G70" s="3">
        <f>G39/(G39+S39+AE39) - S39</f>
        <v>-0.15599990642812767</v>
      </c>
      <c r="H70" s="3">
        <f>H39/(H39+T39+AF39) - T39</f>
        <v>-0.47369078198666886</v>
      </c>
      <c r="I70" s="3">
        <f>I39/(I39+U39+AG39) - U39</f>
        <v>-0.51091240538743499</v>
      </c>
      <c r="J70" s="3">
        <f>J39/(J39+V39+AH39) - V39</f>
        <v>-0.54145966183543481</v>
      </c>
      <c r="K70" s="3">
        <f>K39/(K39+W39+AI39) - W39</f>
        <v>-0.57557729086410636</v>
      </c>
      <c r="L70" s="3">
        <f>L39/(L39+X39+AJ39) - X39</f>
        <v>-0.7688643163783011</v>
      </c>
      <c r="N70" s="12">
        <f>0</f>
        <v>0</v>
      </c>
      <c r="O70" s="12"/>
      <c r="P70" s="12">
        <f>0</f>
        <v>0</v>
      </c>
      <c r="Q70" s="12"/>
      <c r="R70" s="13">
        <v>-4360986</v>
      </c>
      <c r="S70" s="14"/>
      <c r="T70" s="17">
        <v>2819507</v>
      </c>
      <c r="U70" s="17"/>
      <c r="V70" s="17">
        <v>474117</v>
      </c>
      <c r="W70" s="17"/>
      <c r="X70" s="13">
        <f t="shared" si="33"/>
        <v>4360986</v>
      </c>
      <c r="Y70" s="13"/>
    </row>
    <row r="71" spans="2:25">
      <c r="B71" s="2" t="s">
        <v>14</v>
      </c>
      <c r="C71" s="3">
        <f>C40/(C40+O40+AA40) - O40</f>
        <v>-0.29196753603276582</v>
      </c>
      <c r="D71" s="3">
        <f>D40/(D40+P40+AB40) - P40</f>
        <v>-0.25128498446579228</v>
      </c>
      <c r="E71" s="3">
        <f>E40/(E40+Q40+AC40) - Q40</f>
        <v>-0.20918864809349857</v>
      </c>
      <c r="F71" s="3">
        <f>F40/(F40+R40+AD40) - R40</f>
        <v>-0.16162074520577868</v>
      </c>
      <c r="G71" s="3">
        <f>G40/(G40+S40+AE40) - S40</f>
        <v>-0.15277387968940032</v>
      </c>
      <c r="H71" s="3">
        <f>H40/(H40+T40+AF40) - T40</f>
        <v>-0.47644604078915026</v>
      </c>
      <c r="I71" s="3">
        <f>I40/(I40+U40+AG40) - U40</f>
        <v>-0.51277698216378065</v>
      </c>
      <c r="J71" s="3">
        <f>J40/(J40+V40+AH40) - V40</f>
        <v>-0.54169780544706625</v>
      </c>
      <c r="K71" s="3">
        <f>K40/(K40+W40+AI40) - W40</f>
        <v>-0.57513968358853051</v>
      </c>
      <c r="L71" s="3">
        <f>L40/(L40+X40+AJ40) - X40</f>
        <v>-0.76914979883354651</v>
      </c>
      <c r="N71" s="11">
        <f>0</f>
        <v>0</v>
      </c>
      <c r="O71" s="11"/>
      <c r="P71" s="11">
        <f>0</f>
        <v>0</v>
      </c>
      <c r="Q71" s="11"/>
      <c r="R71" s="15">
        <v>-4359798</v>
      </c>
      <c r="S71" s="16"/>
      <c r="T71" s="18">
        <v>2820101</v>
      </c>
      <c r="U71" s="18"/>
      <c r="V71" s="18">
        <v>473687</v>
      </c>
      <c r="W71" s="18"/>
      <c r="X71" s="15">
        <f t="shared" si="33"/>
        <v>4359798</v>
      </c>
      <c r="Y71" s="15"/>
    </row>
    <row r="72" spans="2:25">
      <c r="B72" s="2" t="s">
        <v>15</v>
      </c>
      <c r="C72" s="3">
        <f>C41/(C41+O41+AA41) - O41</f>
        <v>-0.29203133034503898</v>
      </c>
      <c r="D72" s="3">
        <f>D41/(D41+P41+AB41) - P41</f>
        <v>-0.25047098118805572</v>
      </c>
      <c r="E72" s="3">
        <f>E41/(E41+Q41+AC41) - Q41</f>
        <v>-0.20980623889185757</v>
      </c>
      <c r="F72" s="3">
        <f>F41/(F41+R41+AD41) - R41</f>
        <v>-0.1624974477487518</v>
      </c>
      <c r="G72" s="3">
        <f>G41/(G41+S41+AE41) - S41</f>
        <v>-0.15520238326195956</v>
      </c>
      <c r="H72" s="3">
        <f>H41/(H41+T41+AF41) - T41</f>
        <v>-0.47528026621551861</v>
      </c>
      <c r="I72" s="3">
        <f>I41/(I41+U41+AG41) - U41</f>
        <v>-0.5118241198770932</v>
      </c>
      <c r="J72" s="3">
        <f>J41/(J41+V41+AH41) - V41</f>
        <v>-0.54023137715098701</v>
      </c>
      <c r="K72" s="3">
        <f>K41/(K41+W41+AI41) - W41</f>
        <v>-0.5751820301192172</v>
      </c>
      <c r="L72" s="3">
        <f>L41/(L41+X41+AJ41) - X41</f>
        <v>-0.77013044382080875</v>
      </c>
      <c r="N72" s="12">
        <f>0</f>
        <v>0</v>
      </c>
      <c r="O72" s="12"/>
      <c r="P72" s="12">
        <f>0</f>
        <v>0</v>
      </c>
      <c r="Q72" s="12"/>
      <c r="R72" s="13">
        <v>-4360724</v>
      </c>
      <c r="S72" s="14"/>
      <c r="T72" s="17">
        <v>2819638</v>
      </c>
      <c r="U72" s="17"/>
      <c r="V72" s="17">
        <v>475012</v>
      </c>
      <c r="W72" s="17"/>
      <c r="X72" s="13">
        <f t="shared" si="33"/>
        <v>4360724</v>
      </c>
      <c r="Y72" s="13"/>
    </row>
    <row r="73" spans="2:25">
      <c r="B73" s="2" t="s">
        <v>16</v>
      </c>
      <c r="C73" s="3">
        <f>C42/(C42+O42+AA42) - O42</f>
        <v>-0.29250985271685087</v>
      </c>
      <c r="D73" s="3">
        <f>D42/(D42+P42+AB42) - P42</f>
        <v>-0.25409588641851943</v>
      </c>
      <c r="E73" s="3">
        <f>E42/(E42+Q42+AC42) - Q42</f>
        <v>-0.2088475037530213</v>
      </c>
      <c r="F73" s="3">
        <f>F42/(F42+R42+AD42) - R42</f>
        <v>-0.16422821705103985</v>
      </c>
      <c r="G73" s="3">
        <f>G42/(G42+S42+AE42) - S42</f>
        <v>-0.15517160771520438</v>
      </c>
      <c r="H73" s="3">
        <f>H42/(H42+T42+AF42) - T42</f>
        <v>-0.47666912398538086</v>
      </c>
      <c r="I73" s="3">
        <f>I42/(I42+U42+AG42) - U42</f>
        <v>-0.51015855579317493</v>
      </c>
      <c r="J73" s="3">
        <f>J42/(J42+V42+AH42) - V42</f>
        <v>-0.54236078336538207</v>
      </c>
      <c r="K73" s="3">
        <f>K42/(K42+W42+AI42) - W42</f>
        <v>-0.5745114134913758</v>
      </c>
      <c r="L73" s="3">
        <f>L42/(L42+X42+AJ42) - X42</f>
        <v>-0.76790659886882473</v>
      </c>
      <c r="N73" s="11">
        <f>0</f>
        <v>0</v>
      </c>
      <c r="O73" s="11"/>
      <c r="P73" s="11">
        <f>0</f>
        <v>0</v>
      </c>
      <c r="Q73" s="11"/>
      <c r="R73" s="15">
        <v>-4361966</v>
      </c>
      <c r="S73" s="16"/>
      <c r="T73" s="18">
        <v>2819017</v>
      </c>
      <c r="U73" s="18"/>
      <c r="V73" s="18">
        <v>474843</v>
      </c>
      <c r="W73" s="18"/>
      <c r="X73" s="15">
        <f t="shared" si="33"/>
        <v>4361966</v>
      </c>
      <c r="Y73" s="15"/>
    </row>
    <row r="74" spans="2:25">
      <c r="B74" s="2" t="s">
        <v>17</v>
      </c>
      <c r="C74" s="3">
        <f>C43/(C43+O43+AA43) - O43</f>
        <v>-0.29476199285548649</v>
      </c>
      <c r="D74" s="3">
        <f>D43/(D43+P43+AB43) - P43</f>
        <v>-0.25182433328910703</v>
      </c>
      <c r="E74" s="3">
        <f>E43/(E43+Q43+AC43) - Q43</f>
        <v>-0.21001265089504434</v>
      </c>
      <c r="F74" s="3">
        <f>F43/(F43+R43+AD43) - R43</f>
        <v>-0.16150279701496029</v>
      </c>
      <c r="G74" s="3">
        <f>G43/(G43+S43+AE43) - S43</f>
        <v>-0.1535492924804116</v>
      </c>
      <c r="H74" s="3">
        <f>H43/(H43+T43+AF43) - T43</f>
        <v>-0.47621246632489661</v>
      </c>
      <c r="I74" s="3">
        <f>I43/(I43+U43+AG43) - U43</f>
        <v>-0.51267564300174384</v>
      </c>
      <c r="J74" s="3">
        <f>J43/(J43+V43+AH43) - V43</f>
        <v>-0.54107252756422963</v>
      </c>
      <c r="K74" s="3">
        <f>K43/(K43+W43+AI43) - W43</f>
        <v>-0.57554239681883623</v>
      </c>
      <c r="L74" s="3">
        <f>L43/(L43+X43+AJ43) - X43</f>
        <v>-0.76887653275970513</v>
      </c>
      <c r="N74" s="12">
        <f>0</f>
        <v>0</v>
      </c>
      <c r="O74" s="12"/>
      <c r="P74" s="12">
        <f>0</f>
        <v>0</v>
      </c>
      <c r="Q74" s="12"/>
      <c r="R74" s="13">
        <v>-4363940</v>
      </c>
      <c r="S74" s="14"/>
      <c r="T74" s="17">
        <v>2818030</v>
      </c>
      <c r="U74" s="17"/>
      <c r="V74" s="17">
        <v>476452</v>
      </c>
      <c r="W74" s="17"/>
      <c r="X74" s="13">
        <f t="shared" si="33"/>
        <v>4363940</v>
      </c>
      <c r="Y74" s="13"/>
    </row>
    <row r="75" spans="2:25">
      <c r="B75" s="2" t="s">
        <v>18</v>
      </c>
      <c r="C75" s="3">
        <f>C44/(C44+O44+AA44) - O44</f>
        <v>-0.29228975185916911</v>
      </c>
      <c r="D75" s="3">
        <f>D44/(D44+P44+AB44) - P44</f>
        <v>-0.25079788822553289</v>
      </c>
      <c r="E75" s="3">
        <f>E44/(E44+Q44+AC44) - Q44</f>
        <v>-0.20950090073204003</v>
      </c>
      <c r="F75" s="3">
        <f>F44/(F44+R44+AD44) - R44</f>
        <v>-0.16258659849042018</v>
      </c>
      <c r="G75" s="3">
        <f>G44/(G44+S44+AE44) - S44</f>
        <v>-0.15272570207872027</v>
      </c>
      <c r="H75" s="3">
        <f>H44/(H44+T44+AF44) - T44</f>
        <v>-0.4776127545599318</v>
      </c>
      <c r="I75" s="3">
        <f>I44/(I44+U44+AG44) - U44</f>
        <v>-0.5108698196991257</v>
      </c>
      <c r="J75" s="3">
        <f>J44/(J44+V44+AH44) - V44</f>
        <v>-0.54092010440606053</v>
      </c>
      <c r="K75" s="3">
        <f>K44/(K44+W44+AI44) - W44</f>
        <v>-0.57562576285290334</v>
      </c>
      <c r="L75" s="3">
        <f>L44/(L44+X44+AJ44) - X44</f>
        <v>-0.77012540269006058</v>
      </c>
      <c r="N75" s="11">
        <f>0</f>
        <v>0</v>
      </c>
      <c r="O75" s="11"/>
      <c r="P75" s="11">
        <f>0</f>
        <v>0</v>
      </c>
      <c r="Q75" s="11"/>
      <c r="R75" s="15">
        <v>-4361284</v>
      </c>
      <c r="S75" s="16"/>
      <c r="T75" s="18">
        <v>2819358</v>
      </c>
      <c r="U75" s="18"/>
      <c r="V75" s="18">
        <v>475920</v>
      </c>
      <c r="W75" s="18"/>
      <c r="X75" s="15">
        <f t="shared" si="33"/>
        <v>4361284</v>
      </c>
      <c r="Y75" s="15"/>
    </row>
    <row r="76" spans="2:25">
      <c r="B76" s="2" t="s">
        <v>19</v>
      </c>
      <c r="C76" s="3">
        <f>C45/(C45+O45+AA45) - O45</f>
        <v>-0.29262548222400153</v>
      </c>
      <c r="D76" s="3">
        <f>D45/(D45+P45+AB45) - P45</f>
        <v>-0.25194617778107725</v>
      </c>
      <c r="E76" s="3">
        <f>E45/(E45+Q45+AC45) - Q45</f>
        <v>-0.20965931191126946</v>
      </c>
      <c r="F76" s="3">
        <f>F45/(F45+R45+AD45) - R45</f>
        <v>-0.16092330401879457</v>
      </c>
      <c r="G76" s="3">
        <f>G45/(G45+S45+AE45) - S45</f>
        <v>-0.15530627160391069</v>
      </c>
      <c r="H76" s="3">
        <f>H45/(H45+T45+AF45) - T45</f>
        <v>-0.47485175181134465</v>
      </c>
      <c r="I76" s="3">
        <f>I45/(I45+U45+AG45) - U45</f>
        <v>-0.51040193952763024</v>
      </c>
      <c r="J76" s="3">
        <f>J45/(J45+V45+AH45) - V45</f>
        <v>-0.54047863990417322</v>
      </c>
      <c r="K76" s="3">
        <f>K45/(K45+W45+AI45) - W45</f>
        <v>-0.5754917286159611</v>
      </c>
      <c r="L76" s="3">
        <f>L45/(L45+X45+AJ45) - X45</f>
        <v>-0.76938177229257598</v>
      </c>
      <c r="N76" s="12">
        <f>0</f>
        <v>0</v>
      </c>
      <c r="O76" s="12"/>
      <c r="P76" s="12">
        <f>0</f>
        <v>0</v>
      </c>
      <c r="Q76" s="12"/>
      <c r="R76" s="13">
        <v>-4360462</v>
      </c>
      <c r="S76" s="14"/>
      <c r="T76" s="17">
        <v>2819769</v>
      </c>
      <c r="U76" s="17"/>
      <c r="V76" s="17">
        <v>475503</v>
      </c>
      <c r="W76" s="17"/>
      <c r="X76" s="13">
        <f t="shared" si="33"/>
        <v>4360462</v>
      </c>
      <c r="Y76" s="13"/>
    </row>
    <row r="77" spans="2:25">
      <c r="B77" s="2" t="s">
        <v>20</v>
      </c>
      <c r="C77" s="3">
        <f>C46/(C46+O46+AA46) - O46</f>
        <v>-0.1531896541645611</v>
      </c>
      <c r="D77" s="3">
        <f>D46/(D46+P46+AB46) - P46</f>
        <v>-0.11582076763795218</v>
      </c>
      <c r="E77" s="3">
        <f>E46/(E46+Q46+AC46) - Q46</f>
        <v>-7.685614133519314E-2</v>
      </c>
      <c r="F77" s="3">
        <f>F46/(F46+R46+AD46) - R46</f>
        <v>-4.1151739736734805E-2</v>
      </c>
      <c r="G77" s="3">
        <f>G46/(G46+S46+AE46) - S46</f>
        <v>9.7486697493459618E-3</v>
      </c>
      <c r="H77" s="3">
        <f>H46/(H46+T46+AF46) - T46</f>
        <v>-0.10649651368508689</v>
      </c>
      <c r="I77" s="3">
        <f>I46/(I46+U46+AG46) - U46</f>
        <v>-0.38392731828271121</v>
      </c>
      <c r="J77" s="3">
        <f>J46/(J46+V46+AH46) - V46</f>
        <v>-0.42009008223485145</v>
      </c>
      <c r="K77" s="3">
        <f>K46/(K46+W46+AI46) - W46</f>
        <v>-0.46254658025653839</v>
      </c>
      <c r="L77" s="3">
        <f>L46/(L46+X46+AJ46) - X46</f>
        <v>-0.63797560626374916</v>
      </c>
      <c r="N77" s="11">
        <f>0</f>
        <v>0</v>
      </c>
      <c r="O77" s="11"/>
      <c r="P77" s="11">
        <f>0</f>
        <v>0</v>
      </c>
      <c r="Q77" s="11"/>
      <c r="R77" s="15">
        <v>-2903460</v>
      </c>
      <c r="S77" s="16"/>
      <c r="T77" s="18">
        <v>2820685</v>
      </c>
      <c r="U77" s="18"/>
      <c r="V77" s="18">
        <v>473496</v>
      </c>
      <c r="W77" s="18"/>
      <c r="X77" s="15">
        <f t="shared" si="33"/>
        <v>2903460</v>
      </c>
      <c r="Y77" s="15"/>
    </row>
    <row r="78" spans="2:25">
      <c r="B78" s="2" t="s">
        <v>21</v>
      </c>
      <c r="C78" s="3">
        <f>C47/(C47+O47+AA47) - O47</f>
        <v>0.12108683962374434</v>
      </c>
      <c r="D78" s="3">
        <f>D47/(D47+P47+AB47) - P47</f>
        <v>0.14751036831749093</v>
      </c>
      <c r="E78" s="3">
        <f>E47/(E47+Q47+AC47) - Q47</f>
        <v>0.17566686325503572</v>
      </c>
      <c r="F78" s="3">
        <f>F47/(F47+R47+AD47) - R47</f>
        <v>0.20329276183458339</v>
      </c>
      <c r="G78" s="3">
        <f>G47/(G47+S47+AE47) - S47</f>
        <v>0.28441150325166481</v>
      </c>
      <c r="H78" s="3">
        <f>H47/(H47+T47+AF47) - T47</f>
        <v>0.39981048805815156</v>
      </c>
      <c r="I78" s="3">
        <f>I47/(I47+U47+AG47) - U47</f>
        <v>0.10393598492047579</v>
      </c>
      <c r="J78" s="3">
        <f>J47/(J47+V47+AH47) - V47</f>
        <v>-0.1846033595696755</v>
      </c>
      <c r="K78" s="3">
        <f>K47/(K47+W47+AI47) - W47</f>
        <v>-0.24051325320157591</v>
      </c>
      <c r="L78" s="3">
        <f>L47/(L47+X47+AJ47) - X47</f>
        <v>-0.37900335524246898</v>
      </c>
      <c r="N78" s="12">
        <f>0</f>
        <v>0</v>
      </c>
      <c r="O78" s="12"/>
      <c r="P78" s="12">
        <f>0</f>
        <v>0</v>
      </c>
      <c r="Q78" s="12"/>
      <c r="R78" s="13">
        <v>-68878</v>
      </c>
      <c r="S78" s="14"/>
      <c r="T78" s="17">
        <v>2817344</v>
      </c>
      <c r="U78" s="17"/>
      <c r="V78" s="17">
        <v>475156</v>
      </c>
      <c r="W78" s="17"/>
      <c r="X78" s="13">
        <f t="shared" si="33"/>
        <v>68878</v>
      </c>
      <c r="Y78" s="13"/>
    </row>
    <row r="79" spans="2:25">
      <c r="B79" s="2" t="s">
        <v>22</v>
      </c>
      <c r="C79" s="3">
        <f>C48/(C48+O48+AA48) - O48</f>
        <v>0.38432529218348144</v>
      </c>
      <c r="D79" s="3">
        <f>D48/(D48+P48+AB48) - P48</f>
        <v>0.40391598100381298</v>
      </c>
      <c r="E79" s="3">
        <f>E48/(E48+Q48+AC48) - Q48</f>
        <v>0.42212992174109798</v>
      </c>
      <c r="F79" s="3">
        <f>F48/(F48+R48+AD48) - R48</f>
        <v>0.44370293072130823</v>
      </c>
      <c r="G79" s="3">
        <f>G48/(G48+S48+AE48) - S48</f>
        <v>0.49451782324952542</v>
      </c>
      <c r="H79" s="3">
        <f>H48/(H48+T48+AF48) - T48</f>
        <v>0.61709998504677765</v>
      </c>
      <c r="I79" s="3">
        <f>I48/(I48+U48+AG48) - U48</f>
        <v>0.59244239798886389</v>
      </c>
      <c r="J79" s="3">
        <f>J48/(J48+V48+AH48) - V48</f>
        <v>0.28619563661909531</v>
      </c>
      <c r="K79" s="3">
        <f>K48/(K48+W48+AI48) - W48</f>
        <v>-1.5582102697299594E-2</v>
      </c>
      <c r="L79" s="3">
        <f>L48/(L48+X48+AJ48) - X48</f>
        <v>-0.11726931654886763</v>
      </c>
      <c r="N79" s="11">
        <f>0</f>
        <v>0</v>
      </c>
      <c r="O79" s="11"/>
      <c r="P79" s="11">
        <f>0</f>
        <v>0</v>
      </c>
      <c r="Q79" s="11"/>
      <c r="R79" s="15">
        <v>2664509</v>
      </c>
      <c r="S79" s="16"/>
      <c r="T79" s="18">
        <v>2817478</v>
      </c>
      <c r="U79" s="18"/>
      <c r="V79" s="18">
        <v>474827</v>
      </c>
      <c r="W79" s="18"/>
      <c r="X79" s="15">
        <f t="shared" si="33"/>
        <v>-2664509</v>
      </c>
      <c r="Y79" s="15"/>
    </row>
    <row r="80" spans="2:25">
      <c r="B80" s="2" t="s">
        <v>23</v>
      </c>
      <c r="C80" s="3">
        <f>C49/(C49+O49+AA49) - O49</f>
        <v>0.63864322523554207</v>
      </c>
      <c r="D80" s="3">
        <f>D49/(D49+P49+AB49) - P49</f>
        <v>0.6483267165619282</v>
      </c>
      <c r="E80" s="3">
        <f>E49/(E49+Q49+AC49) - Q49</f>
        <v>0.6594576069643151</v>
      </c>
      <c r="F80" s="3">
        <f>F49/(F49+R49+AD49) - R49</f>
        <v>0.67188247281196056</v>
      </c>
      <c r="G80" s="3">
        <f>G49/(G49+S49+AE49) - S49</f>
        <v>0.70314070564125508</v>
      </c>
      <c r="H80" s="3">
        <f>H49/(H49+T49+AF49) - T49</f>
        <v>0.77306952066373635</v>
      </c>
      <c r="I80" s="3">
        <f>I49/(I49+U49+AG49) - U49</f>
        <v>0.79200329557371696</v>
      </c>
      <c r="J80" s="3">
        <f>J49/(J49+V49+AH49) - V49</f>
        <v>0.75821385979804501</v>
      </c>
      <c r="K80" s="3">
        <f>K49/(K49+W49+AI49) - W49</f>
        <v>0.43634568812657659</v>
      </c>
      <c r="L80" s="3">
        <f>L49/(L49+X49+AJ49) - X49</f>
        <v>0.14533955584583536</v>
      </c>
      <c r="N80" s="12">
        <f>0</f>
        <v>0</v>
      </c>
      <c r="O80" s="12"/>
      <c r="P80" s="12">
        <f>0</f>
        <v>0</v>
      </c>
      <c r="Q80" s="12"/>
      <c r="R80" s="13">
        <v>5796590</v>
      </c>
      <c r="S80" s="14"/>
      <c r="T80" s="17">
        <v>2820797</v>
      </c>
      <c r="U80" s="17"/>
      <c r="V80" s="17">
        <v>474760</v>
      </c>
      <c r="W80" s="17"/>
      <c r="X80" s="13">
        <f t="shared" si="33"/>
        <v>-5796590</v>
      </c>
      <c r="Y80" s="13"/>
    </row>
    <row r="81" spans="2:25">
      <c r="B81" s="2" t="s">
        <v>24</v>
      </c>
      <c r="C81" s="3">
        <f>C50/(C50+O50+AA50) - O50</f>
        <v>-0.29254514746004934</v>
      </c>
      <c r="D81" s="3">
        <f>D50/(D50+P50+AB50) - P50</f>
        <v>-0.25102295289150778</v>
      </c>
      <c r="E81" s="3">
        <f>E50/(E50+Q50+AC50) - Q50</f>
        <v>-0.20858908492168532</v>
      </c>
      <c r="F81" s="3">
        <f>F50/(F50+R50+AD50) - R50</f>
        <v>-0.16369301069685327</v>
      </c>
      <c r="G81" s="3">
        <f>G50/(G50+S50+AE50) - S50</f>
        <v>-0.15474432438616015</v>
      </c>
      <c r="H81" s="3">
        <f>H50/(H50+T50+AF50) - T50</f>
        <v>-0.47695375392260608</v>
      </c>
      <c r="I81" s="3">
        <f>I50/(I50+U50+AG50) - U50</f>
        <v>-0.51334607235242879</v>
      </c>
      <c r="J81" s="3">
        <f>J50/(J50+V50+AH50) - V50</f>
        <v>-0.54164384562018486</v>
      </c>
      <c r="K81" s="3">
        <f>K50/(K50+W50+AI50) - W50</f>
        <v>-0.57442762901339939</v>
      </c>
      <c r="L81" s="3">
        <f>L50/(L50+X50+AJ50) - X50</f>
        <v>-0.76975611530511889</v>
      </c>
      <c r="N81" s="11">
        <f>0</f>
        <v>0</v>
      </c>
      <c r="O81" s="11"/>
      <c r="P81" s="11">
        <f>0</f>
        <v>0</v>
      </c>
      <c r="Q81" s="11"/>
      <c r="R81" s="15">
        <v>-4361832</v>
      </c>
      <c r="S81" s="16"/>
      <c r="T81" s="18">
        <v>2819084</v>
      </c>
      <c r="U81" s="18"/>
      <c r="V81" s="18">
        <v>474792</v>
      </c>
      <c r="W81" s="18"/>
      <c r="X81" s="15">
        <f t="shared" si="33"/>
        <v>4361832</v>
      </c>
      <c r="Y81" s="15"/>
    </row>
    <row r="82" spans="2:25">
      <c r="B82" s="2" t="s">
        <v>25</v>
      </c>
      <c r="C82" s="3">
        <f>C51/(C51+O51+AA51) - O51</f>
        <v>-0.2925063410283712</v>
      </c>
      <c r="D82" s="3">
        <f>D51/(D51+P51+AB51) - P51</f>
        <v>-0.25157889398752492</v>
      </c>
      <c r="E82" s="3">
        <f>E51/(E51+Q51+AC51) - Q51</f>
        <v>-0.20969576841403414</v>
      </c>
      <c r="F82" s="3">
        <f>F51/(F51+R51+AD51) - R51</f>
        <v>-0.16301488552895532</v>
      </c>
      <c r="G82" s="3">
        <f>G51/(G51+S51+AE51) - S51</f>
        <v>-0.15384555327404881</v>
      </c>
      <c r="H82" s="3">
        <f>H51/(H51+T51+AF51) - T51</f>
        <v>-0.47513677179577146</v>
      </c>
      <c r="I82" s="3">
        <f>I51/(I51+U51+AG51) - U51</f>
        <v>-0.51409701366407945</v>
      </c>
      <c r="J82" s="3">
        <f>J51/(J51+V51+AH51) - V51</f>
        <v>-0.54208988161692173</v>
      </c>
      <c r="K82" s="3">
        <f>K51/(K51+W51+AI51) - W51</f>
        <v>-0.57489082479878251</v>
      </c>
      <c r="L82" s="3">
        <f>L51/(L51+X51+AJ51) - X51</f>
        <v>-0.76926977687626774</v>
      </c>
      <c r="N82" s="12">
        <f>0</f>
        <v>0</v>
      </c>
      <c r="O82" s="12"/>
      <c r="P82" s="12">
        <f>0</f>
        <v>0</v>
      </c>
      <c r="Q82" s="12"/>
      <c r="R82" s="13">
        <v>-4362122</v>
      </c>
      <c r="S82" s="14"/>
      <c r="T82" s="17">
        <v>2818939</v>
      </c>
      <c r="U82" s="17"/>
      <c r="V82" s="17">
        <v>474068</v>
      </c>
      <c r="W82" s="17"/>
      <c r="X82" s="13">
        <f t="shared" si="33"/>
        <v>4362122</v>
      </c>
      <c r="Y82" s="13"/>
    </row>
    <row r="83" spans="2:25">
      <c r="B83" s="2" t="s">
        <v>26</v>
      </c>
      <c r="C83" s="3">
        <f>C52/(C52+O52+AA52) - O52</f>
        <v>-0.29335406736481628</v>
      </c>
      <c r="D83" s="3">
        <f>D52/(D52+P52+AB52) - P52</f>
        <v>-0.25146509348877705</v>
      </c>
      <c r="E83" s="3">
        <f>E52/(E52+Q52+AC52) - Q52</f>
        <v>-0.20930159875298049</v>
      </c>
      <c r="F83" s="3">
        <f>F52/(F52+R52+AD52) - R52</f>
        <v>-0.16267238681647433</v>
      </c>
      <c r="G83" s="3">
        <f>G52/(G52+S52+AE52) - S52</f>
        <v>-0.15715198879354902</v>
      </c>
      <c r="H83" s="3">
        <f>H52/(H52+T52+AF52) - T52</f>
        <v>-0.47555524424001394</v>
      </c>
      <c r="I83" s="3">
        <f>I52/(I52+U52+AG52) - U52</f>
        <v>-0.51179104089122562</v>
      </c>
      <c r="J83" s="3">
        <f>J52/(J52+V52+AH52) - V52</f>
        <v>-0.54021685136396846</v>
      </c>
      <c r="K83" s="3">
        <f>K52/(K52+W52+AI52) - W52</f>
        <v>-0.57528211791456885</v>
      </c>
      <c r="L83" s="3">
        <f>L52/(L52+X52+AJ52) - X52</f>
        <v>-0.7699664056372979</v>
      </c>
      <c r="N83" s="11">
        <f>0</f>
        <v>0</v>
      </c>
      <c r="O83" s="11"/>
      <c r="P83" s="11">
        <f>0</f>
        <v>0</v>
      </c>
      <c r="Q83" s="11"/>
      <c r="R83" s="15">
        <v>-4364062</v>
      </c>
      <c r="S83" s="16"/>
      <c r="T83" s="18">
        <v>2817969</v>
      </c>
      <c r="U83" s="18"/>
      <c r="V83" s="18">
        <v>473930</v>
      </c>
      <c r="W83" s="18"/>
      <c r="X83" s="15">
        <f t="shared" si="33"/>
        <v>4364062</v>
      </c>
      <c r="Y83" s="15"/>
    </row>
    <row r="84" spans="2:25">
      <c r="B84" s="2" t="s">
        <v>27</v>
      </c>
      <c r="C84" s="3">
        <f>C53/(C53+O53+AA53) - O53</f>
        <v>-0.29284443861251463</v>
      </c>
      <c r="D84" s="3">
        <f>D53/(D53+P53+AB53) - P53</f>
        <v>-0.24943495045749531</v>
      </c>
      <c r="E84" s="3">
        <f>E53/(E53+Q53+AC53) - Q53</f>
        <v>-0.20857101943580192</v>
      </c>
      <c r="F84" s="3">
        <f>F53/(F53+R53+AD53) - R53</f>
        <v>-0.16351866193339815</v>
      </c>
      <c r="G84" s="3">
        <f>G53/(G53+S53+AE53) - S53</f>
        <v>-0.15459097976609582</v>
      </c>
      <c r="H84" s="3">
        <f>H53/(H53+T53+AF53) - T53</f>
        <v>-0.4747788168308405</v>
      </c>
      <c r="I84" s="3">
        <f>I53/(I53+U53+AG53) - U53</f>
        <v>-0.51225888522547325</v>
      </c>
      <c r="J84" s="3">
        <f>J53/(J53+V53+AH53) - V53</f>
        <v>-0.54050988553590007</v>
      </c>
      <c r="K84" s="3">
        <f>K53/(K53+W53+AI53) - W53</f>
        <v>-0.57470335315586829</v>
      </c>
      <c r="L84" s="3">
        <f>L53/(L53+X53+AJ53) - X53</f>
        <v>-0.768471672074023</v>
      </c>
      <c r="N84" s="12">
        <f>0</f>
        <v>0</v>
      </c>
      <c r="O84" s="12"/>
      <c r="P84" s="12">
        <f>0</f>
        <v>0</v>
      </c>
      <c r="Q84" s="12"/>
      <c r="R84" s="13">
        <v>-4356784</v>
      </c>
      <c r="S84" s="14"/>
      <c r="T84" s="17">
        <v>2821608</v>
      </c>
      <c r="U84" s="17"/>
      <c r="V84" s="17">
        <v>473917</v>
      </c>
      <c r="W84" s="17"/>
      <c r="X84" s="13">
        <f t="shared" si="33"/>
        <v>4356784</v>
      </c>
      <c r="Y84" s="13"/>
    </row>
    <row r="85" spans="2:25">
      <c r="B85" s="2" t="s">
        <v>28</v>
      </c>
      <c r="C85" s="3">
        <f>C54/(C54+O54+AA54) - O54</f>
        <v>-0.29040969141241263</v>
      </c>
      <c r="D85" s="3">
        <f>D54/(D54+P54+AB54) - P54</f>
        <v>-0.25161545014440362</v>
      </c>
      <c r="E85" s="3">
        <f>E54/(E54+Q54+AC54) - Q54</f>
        <v>-0.21043077486015616</v>
      </c>
      <c r="F85" s="3">
        <f>F54/(F54+R54+AD54) - R54</f>
        <v>-0.16304019891388033</v>
      </c>
      <c r="G85" s="3">
        <f>G54/(G54+S54+AE54) - S54</f>
        <v>-0.15422443786674972</v>
      </c>
      <c r="H85" s="3">
        <f>H54/(H54+T54+AF54) - T54</f>
        <v>-0.47545403209647152</v>
      </c>
      <c r="I85" s="3">
        <f>I54/(I54+U54+AG54) - U54</f>
        <v>-0.5109530586919353</v>
      </c>
      <c r="J85" s="3">
        <f>J54/(J54+V54+AH54) - V54</f>
        <v>-0.54034206920245009</v>
      </c>
      <c r="K85" s="3">
        <f>K54/(K54+W54+AI54) - W54</f>
        <v>-0.57492409707124059</v>
      </c>
      <c r="L85" s="3">
        <f>L54/(L54+X54+AJ54) - X54</f>
        <v>-0.7695120872718193</v>
      </c>
      <c r="N85" s="11">
        <f>0</f>
        <v>0</v>
      </c>
      <c r="O85" s="11"/>
      <c r="P85" s="11">
        <f>0</f>
        <v>0</v>
      </c>
      <c r="Q85" s="11"/>
      <c r="R85" s="15">
        <v>-4357114</v>
      </c>
      <c r="S85" s="16"/>
      <c r="T85" s="18">
        <v>2821443</v>
      </c>
      <c r="U85" s="18"/>
      <c r="V85" s="18">
        <v>474952</v>
      </c>
      <c r="W85" s="18"/>
      <c r="X85" s="15">
        <f t="shared" si="33"/>
        <v>4357114</v>
      </c>
      <c r="Y85" s="15"/>
    </row>
    <row r="86" spans="2:25">
      <c r="B86" s="2" t="s">
        <v>29</v>
      </c>
      <c r="C86" s="3">
        <f>C55/(C55+O55+AA55) - O55</f>
        <v>-0.15434128312557832</v>
      </c>
      <c r="D86" s="3">
        <f>D55/(D55+P55+AB55) - P55</f>
        <v>-0.1169463327137788</v>
      </c>
      <c r="E86" s="3">
        <f>E55/(E55+Q55+AC55) - Q55</f>
        <v>-7.9445530043966761E-2</v>
      </c>
      <c r="F86" s="3">
        <f>F55/(F55+R55+AD55) - R55</f>
        <v>-4.3004001279161319E-2</v>
      </c>
      <c r="G86" s="3">
        <f>G55/(G55+S55+AE55) - S55</f>
        <v>1.1470190871347763E-2</v>
      </c>
      <c r="H86" s="3">
        <f>H55/(H55+T55+AF55) - T55</f>
        <v>-0.1087971335416737</v>
      </c>
      <c r="I86" s="3">
        <f>I55/(I55+U55+AG55) - U55</f>
        <v>-0.38387297714678748</v>
      </c>
      <c r="J86" s="3">
        <f>J55/(J55+V55+AH55) - V55</f>
        <v>-0.42101119106276708</v>
      </c>
      <c r="K86" s="3">
        <f>K55/(K55+W55+AI55) - W55</f>
        <v>-0.4626254998530035</v>
      </c>
      <c r="L86" s="3">
        <f>L55/(L55+X55+AJ55) - X55</f>
        <v>-0.63917474844647826</v>
      </c>
      <c r="N86" s="12">
        <f>0</f>
        <v>0</v>
      </c>
      <c r="O86" s="12"/>
      <c r="P86" s="12">
        <f>0</f>
        <v>0</v>
      </c>
      <c r="Q86" s="12"/>
      <c r="R86" s="13">
        <v>-2911246</v>
      </c>
      <c r="S86" s="14"/>
      <c r="T86" s="17">
        <v>2817912</v>
      </c>
      <c r="U86" s="17"/>
      <c r="V86" s="17">
        <v>474521</v>
      </c>
      <c r="W86" s="17"/>
      <c r="X86" s="13">
        <f t="shared" si="33"/>
        <v>2911246</v>
      </c>
      <c r="Y86" s="13"/>
    </row>
    <row r="87" spans="2:25">
      <c r="B87" s="2" t="s">
        <v>30</v>
      </c>
      <c r="C87" s="3">
        <f>C56/(C56+O56+AA56) - O56</f>
        <v>0.1230188777266204</v>
      </c>
      <c r="D87" s="3">
        <f>D56/(D56+P56+AB56) - P56</f>
        <v>0.1473520484202806</v>
      </c>
      <c r="E87" s="3">
        <f>E56/(E56+Q56+AC56) - Q56</f>
        <v>0.17701992189379578</v>
      </c>
      <c r="F87" s="3">
        <f>F56/(F56+R56+AD56) - R56</f>
        <v>0.20251753412625612</v>
      </c>
      <c r="G87" s="3">
        <f>G56/(G56+S56+AE56) - S56</f>
        <v>0.28340944910559634</v>
      </c>
      <c r="H87" s="3">
        <f>H56/(H56+T56+AF56) - T56</f>
        <v>0.39880138704460733</v>
      </c>
      <c r="I87" s="3">
        <f>I56/(I56+U56+AG56) - U56</f>
        <v>0.10535798895300158</v>
      </c>
      <c r="J87" s="3">
        <f>J56/(J56+V56+AH56) - V56</f>
        <v>-0.18371548217463934</v>
      </c>
      <c r="K87" s="3">
        <f>K56/(K56+W56+AI56) - W56</f>
        <v>-0.23992549993210133</v>
      </c>
      <c r="L87" s="3">
        <f>L56/(L56+X56+AJ56) - X56</f>
        <v>-0.37878882310169315</v>
      </c>
      <c r="N87" s="11">
        <f>0</f>
        <v>0</v>
      </c>
      <c r="O87" s="11"/>
      <c r="P87" s="11">
        <f>0</f>
        <v>0</v>
      </c>
      <c r="Q87" s="11"/>
      <c r="R87" s="15">
        <v>-66100</v>
      </c>
      <c r="S87" s="16"/>
      <c r="T87" s="18">
        <v>2819185</v>
      </c>
      <c r="U87" s="18"/>
      <c r="V87" s="18">
        <v>475154</v>
      </c>
      <c r="W87" s="18"/>
      <c r="X87" s="15">
        <f t="shared" si="33"/>
        <v>66100</v>
      </c>
      <c r="Y87" s="15"/>
    </row>
    <row r="88" spans="2:25">
      <c r="B88" s="2" t="s">
        <v>31</v>
      </c>
      <c r="C88" s="3">
        <f>C57/(C57+O57+AA57) - O57</f>
        <v>0.38588074379756976</v>
      </c>
      <c r="D88" s="3">
        <f>D57/(D57+P57+AB57) - P57</f>
        <v>0.40333325972850209</v>
      </c>
      <c r="E88" s="3">
        <f>E57/(E57+Q57+AC57) - Q57</f>
        <v>0.42167234451603008</v>
      </c>
      <c r="F88" s="3">
        <f>F57/(F57+R57+AD57) - R57</f>
        <v>0.44266612589143417</v>
      </c>
      <c r="G88" s="3">
        <f>G57/(G57+S57+AE57) - S57</f>
        <v>0.49649168432961005</v>
      </c>
      <c r="H88" s="3">
        <f>H57/(H57+T57+AF57) - T57</f>
        <v>0.6163255308201645</v>
      </c>
      <c r="I88" s="3">
        <f>I57/(I57+U57+AG57) - U57</f>
        <v>0.59384136000915555</v>
      </c>
      <c r="J88" s="3">
        <f>J57/(J57+V57+AH57) - V57</f>
        <v>0.28613131276322157</v>
      </c>
      <c r="K88" s="3">
        <f>K57/(K57+W57+AI57) - W57</f>
        <v>-1.6553072249819556E-2</v>
      </c>
      <c r="L88" s="3">
        <f>L57/(L57+X57+AJ57) - X57</f>
        <v>-0.11558251934443636</v>
      </c>
      <c r="N88" s="12">
        <f>0</f>
        <v>0</v>
      </c>
      <c r="O88" s="12"/>
      <c r="P88" s="12">
        <f>0</f>
        <v>0</v>
      </c>
      <c r="Q88" s="12"/>
      <c r="R88" s="13">
        <v>2666112</v>
      </c>
      <c r="S88" s="14"/>
      <c r="T88" s="17">
        <v>2822575</v>
      </c>
      <c r="U88" s="17"/>
      <c r="V88" s="17">
        <v>473840</v>
      </c>
      <c r="W88" s="17"/>
      <c r="X88" s="13">
        <f t="shared" si="33"/>
        <v>-2666112</v>
      </c>
      <c r="Y88" s="13"/>
    </row>
    <row r="89" spans="2:25">
      <c r="B89" s="2" t="s">
        <v>32</v>
      </c>
      <c r="C89" s="3">
        <f>C58/(C58+O58+AA58) - O58</f>
        <v>0.63880948202458254</v>
      </c>
      <c r="D89" s="3">
        <f>D58/(D58+P58+AB58) - P58</f>
        <v>0.64916395137845595</v>
      </c>
      <c r="E89" s="3">
        <f>E58/(E58+Q58+AC58) - Q58</f>
        <v>0.65891232154828783</v>
      </c>
      <c r="F89" s="3">
        <f>F58/(F58+R58+AD58) - R58</f>
        <v>0.6714487018828289</v>
      </c>
      <c r="G89" s="3">
        <f>G58/(G58+S58+AE58) - S58</f>
        <v>0.70452858781339678</v>
      </c>
      <c r="H89" s="3">
        <f>H58/(H58+T58+AF58) - T58</f>
        <v>0.77458451861130295</v>
      </c>
      <c r="I89" s="3">
        <f>I58/(I58+U58+AG58) - U58</f>
        <v>0.791361170400257</v>
      </c>
      <c r="J89" s="3">
        <f>J58/(J58+V58+AH58) - V58</f>
        <v>0.75832465302581231</v>
      </c>
      <c r="K89" s="3">
        <f>K58/(K58+W58+AI58) - W58</f>
        <v>0.43604231485625339</v>
      </c>
      <c r="L89" s="3">
        <f>L58/(L58+X58+AJ58) - X58</f>
        <v>0.14424320406746644</v>
      </c>
      <c r="N89" s="11">
        <f>0</f>
        <v>0</v>
      </c>
      <c r="O89" s="11"/>
      <c r="P89" s="11">
        <f>0</f>
        <v>0</v>
      </c>
      <c r="Q89" s="11"/>
      <c r="R89" s="15">
        <v>5797346</v>
      </c>
      <c r="S89" s="16"/>
      <c r="T89" s="18">
        <v>2819530</v>
      </c>
      <c r="U89" s="18"/>
      <c r="V89" s="18">
        <v>474431</v>
      </c>
      <c r="W89" s="18"/>
      <c r="X89" s="15">
        <f t="shared" si="33"/>
        <v>-5797346</v>
      </c>
      <c r="Y89" s="15"/>
    </row>
    <row r="90" spans="2:25">
      <c r="B90" s="2" t="s">
        <v>33</v>
      </c>
      <c r="C90" s="3">
        <f>C59/(C59+O59+AA59) - O59</f>
        <v>1</v>
      </c>
      <c r="D90" s="3">
        <f>D59/(D59+P59+AB59) - P59</f>
        <v>1</v>
      </c>
      <c r="E90" s="3">
        <f>E59/(E59+Q59+AC59) - Q59</f>
        <v>1</v>
      </c>
      <c r="F90" s="3">
        <f>F59/(F59+R59+AD59) - R59</f>
        <v>1</v>
      </c>
      <c r="G90" s="3">
        <f>G59/(G59+S59+AE59) - S59</f>
        <v>1</v>
      </c>
      <c r="H90" s="3">
        <f>H59/(H59+T59+AF59) - T59</f>
        <v>1</v>
      </c>
      <c r="I90" s="3">
        <f>I59/(I59+U59+AG59) - U59</f>
        <v>1</v>
      </c>
      <c r="J90" s="3">
        <f>J59/(J59+V59+AH59) - V59</f>
        <v>1</v>
      </c>
      <c r="K90" s="3">
        <f>K59/(K59+W59+AI59) - W59</f>
        <v>0.9226142521148174</v>
      </c>
      <c r="L90" s="3">
        <f>L59/(L59+X59+AJ59) - X59</f>
        <v>0.69167442518773026</v>
      </c>
      <c r="N90" s="12">
        <f>0</f>
        <v>0</v>
      </c>
      <c r="O90" s="12"/>
      <c r="P90" s="12">
        <v>10000000</v>
      </c>
      <c r="Q90" s="12"/>
      <c r="R90" s="13">
        <v>4762168.5</v>
      </c>
      <c r="S90" s="14"/>
      <c r="T90" s="17">
        <v>0</v>
      </c>
      <c r="U90" s="17"/>
      <c r="V90" s="17">
        <v>475663</v>
      </c>
      <c r="W90" s="17"/>
      <c r="X90" s="13">
        <f t="shared" si="33"/>
        <v>-4762168.5</v>
      </c>
      <c r="Y90" s="13"/>
    </row>
  </sheetData>
  <mergeCells count="196">
    <mergeCell ref="AL34:AM34"/>
    <mergeCell ref="AN34:AO34"/>
    <mergeCell ref="AP34:AQ34"/>
    <mergeCell ref="AR34:AS34"/>
    <mergeCell ref="AT34:AU34"/>
    <mergeCell ref="AV34:AW34"/>
    <mergeCell ref="AL1:AV1"/>
    <mergeCell ref="AX1:BH1"/>
    <mergeCell ref="BJ1:BT1"/>
    <mergeCell ref="AL31:AW31"/>
    <mergeCell ref="AL32:AQ32"/>
    <mergeCell ref="AR32:AW32"/>
    <mergeCell ref="AL33:AM33"/>
    <mergeCell ref="AN33:AO33"/>
    <mergeCell ref="AP33:AQ33"/>
    <mergeCell ref="AR33:AS33"/>
    <mergeCell ref="AT33:AU33"/>
    <mergeCell ref="AV33:AW33"/>
    <mergeCell ref="V90:W90"/>
    <mergeCell ref="V83:W83"/>
    <mergeCell ref="V84:W84"/>
    <mergeCell ref="V85:W85"/>
    <mergeCell ref="V86:W86"/>
    <mergeCell ref="V87:W87"/>
    <mergeCell ref="V78:W78"/>
    <mergeCell ref="V79:W79"/>
    <mergeCell ref="V80:W80"/>
    <mergeCell ref="V81:W81"/>
    <mergeCell ref="V82:W82"/>
    <mergeCell ref="T90:U90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T84:U84"/>
    <mergeCell ref="T85:U85"/>
    <mergeCell ref="T86:U86"/>
    <mergeCell ref="T87:U87"/>
    <mergeCell ref="T88:U88"/>
    <mergeCell ref="T79:U79"/>
    <mergeCell ref="T80:U80"/>
    <mergeCell ref="T81:U81"/>
    <mergeCell ref="V88:W88"/>
    <mergeCell ref="T64:U64"/>
    <mergeCell ref="T65:U65"/>
    <mergeCell ref="T66:U66"/>
    <mergeCell ref="T67:U67"/>
    <mergeCell ref="T68:U68"/>
    <mergeCell ref="X86:Y86"/>
    <mergeCell ref="X87:Y87"/>
    <mergeCell ref="X88:Y88"/>
    <mergeCell ref="X89:Y89"/>
    <mergeCell ref="T82:U82"/>
    <mergeCell ref="T83:U83"/>
    <mergeCell ref="T74:U74"/>
    <mergeCell ref="T75:U75"/>
    <mergeCell ref="T76:U76"/>
    <mergeCell ref="T77:U77"/>
    <mergeCell ref="T78:U78"/>
    <mergeCell ref="T69:U69"/>
    <mergeCell ref="T70:U70"/>
    <mergeCell ref="T71:U71"/>
    <mergeCell ref="T72:U72"/>
    <mergeCell ref="T73:U73"/>
    <mergeCell ref="T89:U89"/>
    <mergeCell ref="V89:W89"/>
    <mergeCell ref="X90:Y90"/>
    <mergeCell ref="X81:Y81"/>
    <mergeCell ref="X82:Y82"/>
    <mergeCell ref="X83:Y83"/>
    <mergeCell ref="X84:Y84"/>
    <mergeCell ref="X85:Y85"/>
    <mergeCell ref="X76:Y76"/>
    <mergeCell ref="X77:Y77"/>
    <mergeCell ref="X78:Y78"/>
    <mergeCell ref="X79:Y79"/>
    <mergeCell ref="X80:Y80"/>
    <mergeCell ref="R87:S87"/>
    <mergeCell ref="R88:S88"/>
    <mergeCell ref="R89:S89"/>
    <mergeCell ref="R90:S90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R82:S82"/>
    <mergeCell ref="R83:S83"/>
    <mergeCell ref="R84:S84"/>
    <mergeCell ref="R85:S85"/>
    <mergeCell ref="R86:S86"/>
    <mergeCell ref="R77:S77"/>
    <mergeCell ref="R78:S78"/>
    <mergeCell ref="R79:S79"/>
    <mergeCell ref="R80:S80"/>
    <mergeCell ref="R81:S81"/>
    <mergeCell ref="P88:Q88"/>
    <mergeCell ref="P89:Q89"/>
    <mergeCell ref="P90:Q90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P83:Q83"/>
    <mergeCell ref="P84:Q84"/>
    <mergeCell ref="P85:Q85"/>
    <mergeCell ref="P86:Q86"/>
    <mergeCell ref="P87:Q87"/>
    <mergeCell ref="P78:Q78"/>
    <mergeCell ref="P79:Q79"/>
    <mergeCell ref="P80:Q80"/>
    <mergeCell ref="P81:Q81"/>
    <mergeCell ref="P82:Q82"/>
    <mergeCell ref="N89:O89"/>
    <mergeCell ref="N90:O90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N84:O84"/>
    <mergeCell ref="N85:O85"/>
    <mergeCell ref="N86:O86"/>
    <mergeCell ref="N87:O87"/>
    <mergeCell ref="N88:O88"/>
    <mergeCell ref="N79:O79"/>
    <mergeCell ref="N80:O80"/>
    <mergeCell ref="N81:O81"/>
    <mergeCell ref="N82:O82"/>
    <mergeCell ref="N83:O83"/>
    <mergeCell ref="N74:O74"/>
    <mergeCell ref="N75:O75"/>
    <mergeCell ref="N76:O76"/>
    <mergeCell ref="N77:O77"/>
    <mergeCell ref="N78:O78"/>
    <mergeCell ref="N69:O69"/>
    <mergeCell ref="N70:O70"/>
    <mergeCell ref="N71:O71"/>
    <mergeCell ref="N72:O72"/>
    <mergeCell ref="N73:O73"/>
    <mergeCell ref="N64:O64"/>
    <mergeCell ref="N65:O65"/>
    <mergeCell ref="N66:O66"/>
    <mergeCell ref="N67:O67"/>
    <mergeCell ref="N68:O68"/>
    <mergeCell ref="B62:L62"/>
    <mergeCell ref="B1:L1"/>
    <mergeCell ref="N1:X1"/>
    <mergeCell ref="Z1:AJ1"/>
    <mergeCell ref="B31:L31"/>
    <mergeCell ref="N31:X31"/>
    <mergeCell ref="Z31:AJ31"/>
    <mergeCell ref="N61:Y61"/>
    <mergeCell ref="N63:O63"/>
    <mergeCell ref="P63:Q63"/>
    <mergeCell ref="X63:Y63"/>
    <mergeCell ref="V63:W63"/>
    <mergeCell ref="T63:U63"/>
    <mergeCell ref="R63:S63"/>
    <mergeCell ref="N62:S62"/>
    <mergeCell ref="T62:Y62"/>
  </mergeCells>
  <conditionalFormatting sqref="C3:L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X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:AJ29">
    <cfRule type="colorScale" priority="8">
      <colorScale>
        <cfvo type="min"/>
        <cfvo type="max"/>
        <color rgb="FFFCFCFF"/>
        <color rgb="FF63BE7B"/>
      </colorScale>
    </cfRule>
  </conditionalFormatting>
  <conditionalFormatting sqref="C33:L5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3:X5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:AJ59">
    <cfRule type="colorScale" priority="5">
      <colorScale>
        <cfvo type="min"/>
        <cfvo type="max"/>
        <color rgb="FFFCFCFF"/>
        <color rgb="FF63BE7B"/>
      </colorScale>
    </cfRule>
  </conditionalFormatting>
  <conditionalFormatting sqref="C64:L9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V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BH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3:BT29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Jonas Travassos</cp:lastModifiedBy>
  <cp:revision/>
  <dcterms:created xsi:type="dcterms:W3CDTF">2026-02-09T16:19:54Z</dcterms:created>
  <dcterms:modified xsi:type="dcterms:W3CDTF">2026-02-12T04:31:22Z</dcterms:modified>
  <cp:category/>
  <cp:contentStatus/>
</cp:coreProperties>
</file>