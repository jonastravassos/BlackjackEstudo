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188" documentId="11_B206A8909140CA0F62355476585DCE3A47C65BC6" xr6:coauthVersionLast="47" xr6:coauthVersionMax="47" xr10:uidLastSave="{E174C3B2-6B16-4158-8720-0CB4E4D4DB75}"/>
  <bookViews>
    <workbookView xWindow="0" yWindow="0" windowWidth="0" windowHeight="0" xr2:uid="{00000000-000D-0000-FFFF-FFFF00000000}"/>
  </bookViews>
  <sheets>
    <sheet name="Pedir até 1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5" i="1" l="1"/>
  <c r="AB65" i="1"/>
  <c r="AC65" i="1"/>
  <c r="AD65" i="1"/>
  <c r="AE65" i="1"/>
  <c r="AF65" i="1"/>
  <c r="AG65" i="1"/>
  <c r="AH65" i="1"/>
  <c r="AI65" i="1"/>
  <c r="AJ65" i="1"/>
  <c r="AA66" i="1"/>
  <c r="AB66" i="1"/>
  <c r="AC66" i="1"/>
  <c r="AD66" i="1"/>
  <c r="AE66" i="1"/>
  <c r="AF66" i="1"/>
  <c r="AG66" i="1"/>
  <c r="AH66" i="1"/>
  <c r="AI66" i="1"/>
  <c r="AJ66" i="1"/>
  <c r="AA67" i="1"/>
  <c r="AB67" i="1"/>
  <c r="AC67" i="1"/>
  <c r="AD67" i="1"/>
  <c r="AE67" i="1"/>
  <c r="AF67" i="1"/>
  <c r="AG67" i="1"/>
  <c r="AH67" i="1"/>
  <c r="AI67" i="1"/>
  <c r="AJ67" i="1"/>
  <c r="AA68" i="1"/>
  <c r="AB68" i="1"/>
  <c r="AC68" i="1"/>
  <c r="AD68" i="1"/>
  <c r="AE68" i="1"/>
  <c r="AF68" i="1"/>
  <c r="AG68" i="1"/>
  <c r="AH68" i="1"/>
  <c r="AI68" i="1"/>
  <c r="AJ68" i="1"/>
  <c r="AA69" i="1"/>
  <c r="AB69" i="1"/>
  <c r="AC69" i="1"/>
  <c r="AD69" i="1"/>
  <c r="AE69" i="1"/>
  <c r="AF69" i="1"/>
  <c r="AG69" i="1"/>
  <c r="AH69" i="1"/>
  <c r="AI69" i="1"/>
  <c r="AJ69" i="1"/>
  <c r="AA70" i="1"/>
  <c r="AB70" i="1"/>
  <c r="AC70" i="1"/>
  <c r="AD70" i="1"/>
  <c r="AE70" i="1"/>
  <c r="AF70" i="1"/>
  <c r="AG70" i="1"/>
  <c r="AH70" i="1"/>
  <c r="AI70" i="1"/>
  <c r="AJ70" i="1"/>
  <c r="AA71" i="1"/>
  <c r="AB71" i="1"/>
  <c r="AC71" i="1"/>
  <c r="AD71" i="1"/>
  <c r="AE71" i="1"/>
  <c r="AF71" i="1"/>
  <c r="AG71" i="1"/>
  <c r="AH71" i="1"/>
  <c r="AI71" i="1"/>
  <c r="AJ71" i="1"/>
  <c r="AA72" i="1"/>
  <c r="AB72" i="1"/>
  <c r="AC72" i="1"/>
  <c r="AD72" i="1"/>
  <c r="AE72" i="1"/>
  <c r="AF72" i="1"/>
  <c r="AG72" i="1"/>
  <c r="AH72" i="1"/>
  <c r="AI72" i="1"/>
  <c r="AJ72" i="1"/>
  <c r="AA73" i="1"/>
  <c r="AB73" i="1"/>
  <c r="AC73" i="1"/>
  <c r="AD73" i="1"/>
  <c r="AE73" i="1"/>
  <c r="AF73" i="1"/>
  <c r="AG73" i="1"/>
  <c r="AH73" i="1"/>
  <c r="AI73" i="1"/>
  <c r="AJ73" i="1"/>
  <c r="AA74" i="1"/>
  <c r="AB74" i="1"/>
  <c r="AC74" i="1"/>
  <c r="AD74" i="1"/>
  <c r="AE74" i="1"/>
  <c r="AF74" i="1"/>
  <c r="AG74" i="1"/>
  <c r="AH74" i="1"/>
  <c r="AI74" i="1"/>
  <c r="AJ74" i="1"/>
  <c r="AA75" i="1"/>
  <c r="AB75" i="1"/>
  <c r="AC75" i="1"/>
  <c r="AD75" i="1"/>
  <c r="AE75" i="1"/>
  <c r="AF75" i="1"/>
  <c r="AG75" i="1"/>
  <c r="AH75" i="1"/>
  <c r="AI75" i="1"/>
  <c r="AJ75" i="1"/>
  <c r="AA76" i="1"/>
  <c r="AB76" i="1"/>
  <c r="AC76" i="1"/>
  <c r="AD76" i="1"/>
  <c r="AE76" i="1"/>
  <c r="AF76" i="1"/>
  <c r="AG76" i="1"/>
  <c r="AH76" i="1"/>
  <c r="AI76" i="1"/>
  <c r="AJ76" i="1"/>
  <c r="AA77" i="1"/>
  <c r="AB77" i="1"/>
  <c r="AC77" i="1"/>
  <c r="AD77" i="1"/>
  <c r="AE77" i="1"/>
  <c r="AF77" i="1"/>
  <c r="AG77" i="1"/>
  <c r="AH77" i="1"/>
  <c r="AI77" i="1"/>
  <c r="AJ77" i="1"/>
  <c r="AA78" i="1"/>
  <c r="AB78" i="1"/>
  <c r="AC78" i="1"/>
  <c r="AD78" i="1"/>
  <c r="AE78" i="1"/>
  <c r="AF78" i="1"/>
  <c r="AG78" i="1"/>
  <c r="AH78" i="1"/>
  <c r="AI78" i="1"/>
  <c r="AJ78" i="1"/>
  <c r="AA79" i="1"/>
  <c r="AB79" i="1"/>
  <c r="AC79" i="1"/>
  <c r="AD79" i="1"/>
  <c r="AE79" i="1"/>
  <c r="AF79" i="1"/>
  <c r="AG79" i="1"/>
  <c r="AH79" i="1"/>
  <c r="AI79" i="1"/>
  <c r="AJ79" i="1"/>
  <c r="AA80" i="1"/>
  <c r="AB80" i="1"/>
  <c r="AC80" i="1"/>
  <c r="AD80" i="1"/>
  <c r="AE80" i="1"/>
  <c r="AF80" i="1"/>
  <c r="AG80" i="1"/>
  <c r="AH80" i="1"/>
  <c r="AI80" i="1"/>
  <c r="AJ80" i="1"/>
  <c r="AA81" i="1"/>
  <c r="AB81" i="1"/>
  <c r="AC81" i="1"/>
  <c r="AD81" i="1"/>
  <c r="AE81" i="1"/>
  <c r="AF81" i="1"/>
  <c r="AG81" i="1"/>
  <c r="AH81" i="1"/>
  <c r="AI81" i="1"/>
  <c r="AJ81" i="1"/>
  <c r="AA82" i="1"/>
  <c r="AB82" i="1"/>
  <c r="AC82" i="1"/>
  <c r="AD82" i="1"/>
  <c r="AE82" i="1"/>
  <c r="AF82" i="1"/>
  <c r="AG82" i="1"/>
  <c r="AH82" i="1"/>
  <c r="AI82" i="1"/>
  <c r="AJ82" i="1"/>
  <c r="AA83" i="1"/>
  <c r="AB83" i="1"/>
  <c r="AC83" i="1"/>
  <c r="AD83" i="1"/>
  <c r="AE83" i="1"/>
  <c r="AF83" i="1"/>
  <c r="AG83" i="1"/>
  <c r="AH83" i="1"/>
  <c r="AI83" i="1"/>
  <c r="AJ83" i="1"/>
  <c r="AA84" i="1"/>
  <c r="AB84" i="1"/>
  <c r="AC84" i="1"/>
  <c r="AD84" i="1"/>
  <c r="AE84" i="1"/>
  <c r="AF84" i="1"/>
  <c r="AG84" i="1"/>
  <c r="AH84" i="1"/>
  <c r="AI84" i="1"/>
  <c r="AJ84" i="1"/>
  <c r="AA85" i="1"/>
  <c r="AB85" i="1"/>
  <c r="AC85" i="1"/>
  <c r="AD85" i="1"/>
  <c r="AE85" i="1"/>
  <c r="AF85" i="1"/>
  <c r="AG85" i="1"/>
  <c r="AH85" i="1"/>
  <c r="AI85" i="1"/>
  <c r="AJ85" i="1"/>
  <c r="AA86" i="1"/>
  <c r="AB86" i="1"/>
  <c r="AC86" i="1"/>
  <c r="AD86" i="1"/>
  <c r="AE86" i="1"/>
  <c r="AF86" i="1"/>
  <c r="AG86" i="1"/>
  <c r="AH86" i="1"/>
  <c r="AI86" i="1"/>
  <c r="AJ86" i="1"/>
  <c r="AA87" i="1"/>
  <c r="AB87" i="1"/>
  <c r="AC87" i="1"/>
  <c r="AD87" i="1"/>
  <c r="AE87" i="1"/>
  <c r="AF87" i="1"/>
  <c r="AG87" i="1"/>
  <c r="AH87" i="1"/>
  <c r="AI87" i="1"/>
  <c r="AJ87" i="1"/>
  <c r="AA88" i="1"/>
  <c r="AB88" i="1"/>
  <c r="AC88" i="1"/>
  <c r="AD88" i="1"/>
  <c r="AE88" i="1"/>
  <c r="AF88" i="1"/>
  <c r="AG88" i="1"/>
  <c r="AH88" i="1"/>
  <c r="AI88" i="1"/>
  <c r="AJ88" i="1"/>
  <c r="AA89" i="1"/>
  <c r="AB89" i="1"/>
  <c r="AC89" i="1"/>
  <c r="AD89" i="1"/>
  <c r="AE89" i="1"/>
  <c r="AF89" i="1"/>
  <c r="AG89" i="1"/>
  <c r="AH89" i="1"/>
  <c r="AI89" i="1"/>
  <c r="AJ89" i="1"/>
  <c r="AA90" i="1"/>
  <c r="AB90" i="1"/>
  <c r="AC90" i="1"/>
  <c r="AD90" i="1"/>
  <c r="AE90" i="1"/>
  <c r="AF90" i="1"/>
  <c r="AG90" i="1"/>
  <c r="AH90" i="1"/>
  <c r="AI90" i="1"/>
  <c r="AJ90" i="1"/>
  <c r="AB64" i="1"/>
  <c r="AC64" i="1"/>
  <c r="AD64" i="1"/>
  <c r="AE64" i="1"/>
  <c r="AF64" i="1"/>
  <c r="AG64" i="1"/>
  <c r="AH64" i="1"/>
  <c r="AI64" i="1"/>
  <c r="AJ64" i="1"/>
  <c r="AA64" i="1"/>
  <c r="BI5" i="1"/>
  <c r="C65" i="1"/>
  <c r="D65" i="1"/>
  <c r="E65" i="1"/>
  <c r="F65" i="1"/>
  <c r="G65" i="1"/>
  <c r="H65" i="1"/>
  <c r="I65" i="1"/>
  <c r="J65" i="1"/>
  <c r="K65" i="1"/>
  <c r="L65" i="1"/>
  <c r="C66" i="1"/>
  <c r="D66" i="1"/>
  <c r="E66" i="1"/>
  <c r="F66" i="1"/>
  <c r="G66" i="1"/>
  <c r="H66" i="1"/>
  <c r="I66" i="1"/>
  <c r="J66" i="1"/>
  <c r="K66" i="1"/>
  <c r="L66" i="1"/>
  <c r="C67" i="1"/>
  <c r="D67" i="1"/>
  <c r="E67" i="1"/>
  <c r="F67" i="1"/>
  <c r="G67" i="1"/>
  <c r="H67" i="1"/>
  <c r="I67" i="1"/>
  <c r="J67" i="1"/>
  <c r="K67" i="1"/>
  <c r="L67" i="1"/>
  <c r="C68" i="1"/>
  <c r="D68" i="1"/>
  <c r="E68" i="1"/>
  <c r="F68" i="1"/>
  <c r="G68" i="1"/>
  <c r="H68" i="1"/>
  <c r="I68" i="1"/>
  <c r="J68" i="1"/>
  <c r="K68" i="1"/>
  <c r="L68" i="1"/>
  <c r="C69" i="1"/>
  <c r="D69" i="1"/>
  <c r="E69" i="1"/>
  <c r="F69" i="1"/>
  <c r="G69" i="1"/>
  <c r="H69" i="1"/>
  <c r="I69" i="1"/>
  <c r="J69" i="1"/>
  <c r="K69" i="1"/>
  <c r="L69" i="1"/>
  <c r="C70" i="1"/>
  <c r="D70" i="1"/>
  <c r="E70" i="1"/>
  <c r="F70" i="1"/>
  <c r="G70" i="1"/>
  <c r="H70" i="1"/>
  <c r="I70" i="1"/>
  <c r="J70" i="1"/>
  <c r="K70" i="1"/>
  <c r="L70" i="1"/>
  <c r="C71" i="1"/>
  <c r="D71" i="1"/>
  <c r="E71" i="1"/>
  <c r="F71" i="1"/>
  <c r="G71" i="1"/>
  <c r="H71" i="1"/>
  <c r="I71" i="1"/>
  <c r="J71" i="1"/>
  <c r="K71" i="1"/>
  <c r="L71" i="1"/>
  <c r="C72" i="1"/>
  <c r="D72" i="1"/>
  <c r="E72" i="1"/>
  <c r="F72" i="1"/>
  <c r="G72" i="1"/>
  <c r="H72" i="1"/>
  <c r="I72" i="1"/>
  <c r="J72" i="1"/>
  <c r="K72" i="1"/>
  <c r="L72" i="1"/>
  <c r="C73" i="1"/>
  <c r="D73" i="1"/>
  <c r="E73" i="1"/>
  <c r="F73" i="1"/>
  <c r="G73" i="1"/>
  <c r="H73" i="1"/>
  <c r="I73" i="1"/>
  <c r="J73" i="1"/>
  <c r="K73" i="1"/>
  <c r="L73" i="1"/>
  <c r="C74" i="1"/>
  <c r="D74" i="1"/>
  <c r="E74" i="1"/>
  <c r="F74" i="1"/>
  <c r="G74" i="1"/>
  <c r="H74" i="1"/>
  <c r="I74" i="1"/>
  <c r="J74" i="1"/>
  <c r="K74" i="1"/>
  <c r="L74" i="1"/>
  <c r="C75" i="1"/>
  <c r="D75" i="1"/>
  <c r="E75" i="1"/>
  <c r="F75" i="1"/>
  <c r="G75" i="1"/>
  <c r="H75" i="1"/>
  <c r="I75" i="1"/>
  <c r="J75" i="1"/>
  <c r="K75" i="1"/>
  <c r="L75" i="1"/>
  <c r="C76" i="1"/>
  <c r="D76" i="1"/>
  <c r="E76" i="1"/>
  <c r="F76" i="1"/>
  <c r="G76" i="1"/>
  <c r="H76" i="1"/>
  <c r="I76" i="1"/>
  <c r="J76" i="1"/>
  <c r="K76" i="1"/>
  <c r="L76" i="1"/>
  <c r="C77" i="1"/>
  <c r="D77" i="1"/>
  <c r="E77" i="1"/>
  <c r="F77" i="1"/>
  <c r="G77" i="1"/>
  <c r="H77" i="1"/>
  <c r="I77" i="1"/>
  <c r="J77" i="1"/>
  <c r="K77" i="1"/>
  <c r="L77" i="1"/>
  <c r="C78" i="1"/>
  <c r="D78" i="1"/>
  <c r="E78" i="1"/>
  <c r="F78" i="1"/>
  <c r="G78" i="1"/>
  <c r="H78" i="1"/>
  <c r="I78" i="1"/>
  <c r="J78" i="1"/>
  <c r="K78" i="1"/>
  <c r="L78" i="1"/>
  <c r="C79" i="1"/>
  <c r="D79" i="1"/>
  <c r="E79" i="1"/>
  <c r="F79" i="1"/>
  <c r="G79" i="1"/>
  <c r="H79" i="1"/>
  <c r="I79" i="1"/>
  <c r="J79" i="1"/>
  <c r="K79" i="1"/>
  <c r="L79" i="1"/>
  <c r="C80" i="1"/>
  <c r="D80" i="1"/>
  <c r="E80" i="1"/>
  <c r="F80" i="1"/>
  <c r="G80" i="1"/>
  <c r="H80" i="1"/>
  <c r="I80" i="1"/>
  <c r="J80" i="1"/>
  <c r="K80" i="1"/>
  <c r="L80" i="1"/>
  <c r="C81" i="1"/>
  <c r="D81" i="1"/>
  <c r="E81" i="1"/>
  <c r="F81" i="1"/>
  <c r="G81" i="1"/>
  <c r="H81" i="1"/>
  <c r="I81" i="1"/>
  <c r="J81" i="1"/>
  <c r="K81" i="1"/>
  <c r="L81" i="1"/>
  <c r="C82" i="1"/>
  <c r="D82" i="1"/>
  <c r="E82" i="1"/>
  <c r="F82" i="1"/>
  <c r="G82" i="1"/>
  <c r="H82" i="1"/>
  <c r="I82" i="1"/>
  <c r="J82" i="1"/>
  <c r="K82" i="1"/>
  <c r="L82" i="1"/>
  <c r="C83" i="1"/>
  <c r="D83" i="1"/>
  <c r="E83" i="1"/>
  <c r="F83" i="1"/>
  <c r="G83" i="1"/>
  <c r="H83" i="1"/>
  <c r="I83" i="1"/>
  <c r="J83" i="1"/>
  <c r="K83" i="1"/>
  <c r="L83" i="1"/>
  <c r="C84" i="1"/>
  <c r="D84" i="1"/>
  <c r="E84" i="1"/>
  <c r="F84" i="1"/>
  <c r="G84" i="1"/>
  <c r="H84" i="1"/>
  <c r="I84" i="1"/>
  <c r="J84" i="1"/>
  <c r="K84" i="1"/>
  <c r="L84" i="1"/>
  <c r="C85" i="1"/>
  <c r="D85" i="1"/>
  <c r="E85" i="1"/>
  <c r="F85" i="1"/>
  <c r="G85" i="1"/>
  <c r="H85" i="1"/>
  <c r="I85" i="1"/>
  <c r="J85" i="1"/>
  <c r="K85" i="1"/>
  <c r="L85" i="1"/>
  <c r="C86" i="1"/>
  <c r="D86" i="1"/>
  <c r="E86" i="1"/>
  <c r="F86" i="1"/>
  <c r="G86" i="1"/>
  <c r="H86" i="1"/>
  <c r="I86" i="1"/>
  <c r="J86" i="1"/>
  <c r="K86" i="1"/>
  <c r="L86" i="1"/>
  <c r="C87" i="1"/>
  <c r="D87" i="1"/>
  <c r="E87" i="1"/>
  <c r="F87" i="1"/>
  <c r="G87" i="1"/>
  <c r="H87" i="1"/>
  <c r="I87" i="1"/>
  <c r="J87" i="1"/>
  <c r="K87" i="1"/>
  <c r="L87" i="1"/>
  <c r="C88" i="1"/>
  <c r="D88" i="1"/>
  <c r="E88" i="1"/>
  <c r="F88" i="1"/>
  <c r="G88" i="1"/>
  <c r="H88" i="1"/>
  <c r="I88" i="1"/>
  <c r="J88" i="1"/>
  <c r="K88" i="1"/>
  <c r="L88" i="1"/>
  <c r="C89" i="1"/>
  <c r="D89" i="1"/>
  <c r="E89" i="1"/>
  <c r="F89" i="1"/>
  <c r="G89" i="1"/>
  <c r="H89" i="1"/>
  <c r="I89" i="1"/>
  <c r="J89" i="1"/>
  <c r="K89" i="1"/>
  <c r="L89" i="1"/>
  <c r="C90" i="1"/>
  <c r="D90" i="1"/>
  <c r="E90" i="1"/>
  <c r="F90" i="1"/>
  <c r="G90" i="1"/>
  <c r="H90" i="1"/>
  <c r="I90" i="1"/>
  <c r="J90" i="1"/>
  <c r="K90" i="1"/>
  <c r="L90" i="1"/>
  <c r="D64" i="1"/>
  <c r="E64" i="1"/>
  <c r="F64" i="1"/>
  <c r="G64" i="1"/>
  <c r="H64" i="1"/>
  <c r="I64" i="1"/>
  <c r="J64" i="1"/>
  <c r="K64" i="1"/>
  <c r="L64" i="1"/>
  <c r="C64" i="1"/>
  <c r="AA35" i="1"/>
  <c r="AB35" i="1"/>
  <c r="AC35" i="1"/>
  <c r="AD35" i="1"/>
  <c r="AE35" i="1"/>
  <c r="AF35" i="1"/>
  <c r="AG35" i="1"/>
  <c r="AH35" i="1"/>
  <c r="AI35" i="1"/>
  <c r="AJ35" i="1"/>
  <c r="AA36" i="1"/>
  <c r="AB36" i="1"/>
  <c r="AC36" i="1"/>
  <c r="AD36" i="1"/>
  <c r="AE36" i="1"/>
  <c r="AF36" i="1"/>
  <c r="AG36" i="1"/>
  <c r="AH36" i="1"/>
  <c r="AI36" i="1"/>
  <c r="AJ36" i="1"/>
  <c r="AA37" i="1"/>
  <c r="AB37" i="1"/>
  <c r="AC37" i="1"/>
  <c r="AD37" i="1"/>
  <c r="AE37" i="1"/>
  <c r="AF37" i="1"/>
  <c r="AG37" i="1"/>
  <c r="AH37" i="1"/>
  <c r="AI37" i="1"/>
  <c r="AJ37" i="1"/>
  <c r="AA38" i="1"/>
  <c r="AB38" i="1"/>
  <c r="AC38" i="1"/>
  <c r="AD38" i="1"/>
  <c r="AE38" i="1"/>
  <c r="AF38" i="1"/>
  <c r="AG38" i="1"/>
  <c r="AH38" i="1"/>
  <c r="AI38" i="1"/>
  <c r="AJ38" i="1"/>
  <c r="AA39" i="1"/>
  <c r="AB39" i="1"/>
  <c r="AC39" i="1"/>
  <c r="AD39" i="1"/>
  <c r="AE39" i="1"/>
  <c r="AF39" i="1"/>
  <c r="AG39" i="1"/>
  <c r="AH39" i="1"/>
  <c r="AI39" i="1"/>
  <c r="AJ39" i="1"/>
  <c r="AA40" i="1"/>
  <c r="AB40" i="1"/>
  <c r="AC40" i="1"/>
  <c r="AD40" i="1"/>
  <c r="AE40" i="1"/>
  <c r="AF40" i="1"/>
  <c r="AG40" i="1"/>
  <c r="AH40" i="1"/>
  <c r="AI40" i="1"/>
  <c r="AJ40" i="1"/>
  <c r="AA41" i="1"/>
  <c r="AB41" i="1"/>
  <c r="AC41" i="1"/>
  <c r="AD41" i="1"/>
  <c r="AE41" i="1"/>
  <c r="AF41" i="1"/>
  <c r="AG41" i="1"/>
  <c r="AH41" i="1"/>
  <c r="AI41" i="1"/>
  <c r="AJ41" i="1"/>
  <c r="AA42" i="1"/>
  <c r="AB42" i="1"/>
  <c r="AC42" i="1"/>
  <c r="AD42" i="1"/>
  <c r="AE42" i="1"/>
  <c r="AF42" i="1"/>
  <c r="AG42" i="1"/>
  <c r="AH42" i="1"/>
  <c r="AI42" i="1"/>
  <c r="AJ42" i="1"/>
  <c r="AA43" i="1"/>
  <c r="AB43" i="1"/>
  <c r="AC43" i="1"/>
  <c r="AD43" i="1"/>
  <c r="AE43" i="1"/>
  <c r="AF43" i="1"/>
  <c r="AG43" i="1"/>
  <c r="AH43" i="1"/>
  <c r="AI43" i="1"/>
  <c r="AJ43" i="1"/>
  <c r="AA44" i="1"/>
  <c r="AB44" i="1"/>
  <c r="AC44" i="1"/>
  <c r="AD44" i="1"/>
  <c r="AE44" i="1"/>
  <c r="AF44" i="1"/>
  <c r="AG44" i="1"/>
  <c r="AH44" i="1"/>
  <c r="AI44" i="1"/>
  <c r="AJ44" i="1"/>
  <c r="AA45" i="1"/>
  <c r="AB45" i="1"/>
  <c r="AC45" i="1"/>
  <c r="AD45" i="1"/>
  <c r="AE45" i="1"/>
  <c r="AF45" i="1"/>
  <c r="AG45" i="1"/>
  <c r="AH45" i="1"/>
  <c r="AI45" i="1"/>
  <c r="AJ45" i="1"/>
  <c r="AA46" i="1"/>
  <c r="AB46" i="1"/>
  <c r="AC46" i="1"/>
  <c r="AD46" i="1"/>
  <c r="AE46" i="1"/>
  <c r="AF46" i="1"/>
  <c r="AG46" i="1"/>
  <c r="AH46" i="1"/>
  <c r="AI46" i="1"/>
  <c r="AJ46" i="1"/>
  <c r="AA47" i="1"/>
  <c r="AB47" i="1"/>
  <c r="AC47" i="1"/>
  <c r="AD47" i="1"/>
  <c r="AE47" i="1"/>
  <c r="AF47" i="1"/>
  <c r="AG47" i="1"/>
  <c r="AH47" i="1"/>
  <c r="AI47" i="1"/>
  <c r="AJ47" i="1"/>
  <c r="AA48" i="1"/>
  <c r="AB48" i="1"/>
  <c r="AC48" i="1"/>
  <c r="AD48" i="1"/>
  <c r="AE48" i="1"/>
  <c r="AF48" i="1"/>
  <c r="AG48" i="1"/>
  <c r="AH48" i="1"/>
  <c r="AI48" i="1"/>
  <c r="AJ48" i="1"/>
  <c r="AA49" i="1"/>
  <c r="AB49" i="1"/>
  <c r="AC49" i="1"/>
  <c r="AD49" i="1"/>
  <c r="AE49" i="1"/>
  <c r="AF49" i="1"/>
  <c r="AG49" i="1"/>
  <c r="AH49" i="1"/>
  <c r="AI49" i="1"/>
  <c r="AJ49" i="1"/>
  <c r="AA50" i="1"/>
  <c r="AB50" i="1"/>
  <c r="AC50" i="1"/>
  <c r="AD50" i="1"/>
  <c r="AE50" i="1"/>
  <c r="AF50" i="1"/>
  <c r="AG50" i="1"/>
  <c r="AH50" i="1"/>
  <c r="AI50" i="1"/>
  <c r="AJ50" i="1"/>
  <c r="AA51" i="1"/>
  <c r="AB51" i="1"/>
  <c r="AC51" i="1"/>
  <c r="AD51" i="1"/>
  <c r="AE51" i="1"/>
  <c r="AF51" i="1"/>
  <c r="AG51" i="1"/>
  <c r="AH51" i="1"/>
  <c r="AI51" i="1"/>
  <c r="AJ51" i="1"/>
  <c r="AA52" i="1"/>
  <c r="AB52" i="1"/>
  <c r="AC52" i="1"/>
  <c r="AD52" i="1"/>
  <c r="AE52" i="1"/>
  <c r="AF52" i="1"/>
  <c r="AG52" i="1"/>
  <c r="AH52" i="1"/>
  <c r="AI52" i="1"/>
  <c r="AJ52" i="1"/>
  <c r="AA53" i="1"/>
  <c r="AB53" i="1"/>
  <c r="AC53" i="1"/>
  <c r="AD53" i="1"/>
  <c r="AE53" i="1"/>
  <c r="AF53" i="1"/>
  <c r="AG53" i="1"/>
  <c r="AH53" i="1"/>
  <c r="AI53" i="1"/>
  <c r="AJ53" i="1"/>
  <c r="AA54" i="1"/>
  <c r="AB54" i="1"/>
  <c r="AC54" i="1"/>
  <c r="AD54" i="1"/>
  <c r="AE54" i="1"/>
  <c r="AF54" i="1"/>
  <c r="AG54" i="1"/>
  <c r="AH54" i="1"/>
  <c r="AI54" i="1"/>
  <c r="AJ54" i="1"/>
  <c r="AA55" i="1"/>
  <c r="AB55" i="1"/>
  <c r="AC55" i="1"/>
  <c r="AD55" i="1"/>
  <c r="AE55" i="1"/>
  <c r="AF55" i="1"/>
  <c r="AG55" i="1"/>
  <c r="AH55" i="1"/>
  <c r="AI55" i="1"/>
  <c r="AJ55" i="1"/>
  <c r="AA56" i="1"/>
  <c r="AB56" i="1"/>
  <c r="AC56" i="1"/>
  <c r="AD56" i="1"/>
  <c r="AE56" i="1"/>
  <c r="AF56" i="1"/>
  <c r="AG56" i="1"/>
  <c r="AH56" i="1"/>
  <c r="AI56" i="1"/>
  <c r="AJ56" i="1"/>
  <c r="AA57" i="1"/>
  <c r="AB57" i="1"/>
  <c r="AC57" i="1"/>
  <c r="AD57" i="1"/>
  <c r="AE57" i="1"/>
  <c r="AF57" i="1"/>
  <c r="AG57" i="1"/>
  <c r="AH57" i="1"/>
  <c r="AI57" i="1"/>
  <c r="AJ57" i="1"/>
  <c r="AA58" i="1"/>
  <c r="AB58" i="1"/>
  <c r="AC58" i="1"/>
  <c r="AD58" i="1"/>
  <c r="AE58" i="1"/>
  <c r="AF58" i="1"/>
  <c r="AG58" i="1"/>
  <c r="AH58" i="1"/>
  <c r="AI58" i="1"/>
  <c r="AJ58" i="1"/>
  <c r="AA59" i="1"/>
  <c r="AB59" i="1"/>
  <c r="AC59" i="1"/>
  <c r="AD59" i="1"/>
  <c r="AE59" i="1"/>
  <c r="AF59" i="1"/>
  <c r="AG59" i="1"/>
  <c r="AH59" i="1"/>
  <c r="AI59" i="1"/>
  <c r="AJ59" i="1"/>
  <c r="AA60" i="1"/>
  <c r="AB60" i="1"/>
  <c r="AC60" i="1"/>
  <c r="AD60" i="1"/>
  <c r="AE60" i="1"/>
  <c r="AF60" i="1"/>
  <c r="AG60" i="1"/>
  <c r="AH60" i="1"/>
  <c r="AI60" i="1"/>
  <c r="AJ60" i="1"/>
  <c r="AB34" i="1"/>
  <c r="AC34" i="1"/>
  <c r="AD34" i="1"/>
  <c r="AE34" i="1"/>
  <c r="AF34" i="1"/>
  <c r="AG34" i="1"/>
  <c r="AH34" i="1"/>
  <c r="AI34" i="1"/>
  <c r="AJ34" i="1"/>
  <c r="AA34" i="1"/>
  <c r="O34" i="1"/>
  <c r="O35" i="1"/>
  <c r="P35" i="1"/>
  <c r="Q35" i="1"/>
  <c r="R35" i="1"/>
  <c r="S35" i="1"/>
  <c r="T35" i="1"/>
  <c r="U35" i="1"/>
  <c r="V35" i="1"/>
  <c r="W35" i="1"/>
  <c r="X35" i="1"/>
  <c r="O36" i="1"/>
  <c r="P36" i="1"/>
  <c r="Q36" i="1"/>
  <c r="R36" i="1"/>
  <c r="S36" i="1"/>
  <c r="T36" i="1"/>
  <c r="U36" i="1"/>
  <c r="V36" i="1"/>
  <c r="W36" i="1"/>
  <c r="X36" i="1"/>
  <c r="O37" i="1"/>
  <c r="P37" i="1"/>
  <c r="Q37" i="1"/>
  <c r="R37" i="1"/>
  <c r="S37" i="1"/>
  <c r="T37" i="1"/>
  <c r="U37" i="1"/>
  <c r="V37" i="1"/>
  <c r="W37" i="1"/>
  <c r="X37" i="1"/>
  <c r="O38" i="1"/>
  <c r="P38" i="1"/>
  <c r="Q38" i="1"/>
  <c r="R38" i="1"/>
  <c r="S38" i="1"/>
  <c r="T38" i="1"/>
  <c r="U38" i="1"/>
  <c r="V38" i="1"/>
  <c r="W38" i="1"/>
  <c r="X38" i="1"/>
  <c r="O39" i="1"/>
  <c r="P39" i="1"/>
  <c r="Q39" i="1"/>
  <c r="R39" i="1"/>
  <c r="S39" i="1"/>
  <c r="T39" i="1"/>
  <c r="U39" i="1"/>
  <c r="V39" i="1"/>
  <c r="W39" i="1"/>
  <c r="X39" i="1"/>
  <c r="O40" i="1"/>
  <c r="P40" i="1"/>
  <c r="Q40" i="1"/>
  <c r="R40" i="1"/>
  <c r="S40" i="1"/>
  <c r="T40" i="1"/>
  <c r="U40" i="1"/>
  <c r="V40" i="1"/>
  <c r="W40" i="1"/>
  <c r="X40" i="1"/>
  <c r="O41" i="1"/>
  <c r="P41" i="1"/>
  <c r="Q41" i="1"/>
  <c r="R41" i="1"/>
  <c r="S41" i="1"/>
  <c r="T41" i="1"/>
  <c r="U41" i="1"/>
  <c r="V41" i="1"/>
  <c r="W41" i="1"/>
  <c r="X41" i="1"/>
  <c r="O42" i="1"/>
  <c r="P42" i="1"/>
  <c r="Q42" i="1"/>
  <c r="R42" i="1"/>
  <c r="S42" i="1"/>
  <c r="T42" i="1"/>
  <c r="U42" i="1"/>
  <c r="V42" i="1"/>
  <c r="W42" i="1"/>
  <c r="X42" i="1"/>
  <c r="O43" i="1"/>
  <c r="P43" i="1"/>
  <c r="Q43" i="1"/>
  <c r="R43" i="1"/>
  <c r="S43" i="1"/>
  <c r="T43" i="1"/>
  <c r="U43" i="1"/>
  <c r="V43" i="1"/>
  <c r="W43" i="1"/>
  <c r="X43" i="1"/>
  <c r="O44" i="1"/>
  <c r="P44" i="1"/>
  <c r="Q44" i="1"/>
  <c r="R44" i="1"/>
  <c r="S44" i="1"/>
  <c r="T44" i="1"/>
  <c r="U44" i="1"/>
  <c r="V44" i="1"/>
  <c r="W44" i="1"/>
  <c r="X44" i="1"/>
  <c r="O45" i="1"/>
  <c r="P45" i="1"/>
  <c r="Q45" i="1"/>
  <c r="R45" i="1"/>
  <c r="S45" i="1"/>
  <c r="T45" i="1"/>
  <c r="U45" i="1"/>
  <c r="V45" i="1"/>
  <c r="W45" i="1"/>
  <c r="X45" i="1"/>
  <c r="O46" i="1"/>
  <c r="P46" i="1"/>
  <c r="Q46" i="1"/>
  <c r="R46" i="1"/>
  <c r="S46" i="1"/>
  <c r="T46" i="1"/>
  <c r="U46" i="1"/>
  <c r="V46" i="1"/>
  <c r="W46" i="1"/>
  <c r="X46" i="1"/>
  <c r="O47" i="1"/>
  <c r="P47" i="1"/>
  <c r="Q47" i="1"/>
  <c r="R47" i="1"/>
  <c r="S47" i="1"/>
  <c r="T47" i="1"/>
  <c r="U47" i="1"/>
  <c r="V47" i="1"/>
  <c r="W47" i="1"/>
  <c r="X47" i="1"/>
  <c r="O48" i="1"/>
  <c r="P48" i="1"/>
  <c r="Q48" i="1"/>
  <c r="R48" i="1"/>
  <c r="S48" i="1"/>
  <c r="T48" i="1"/>
  <c r="U48" i="1"/>
  <c r="V48" i="1"/>
  <c r="W48" i="1"/>
  <c r="X48" i="1"/>
  <c r="O49" i="1"/>
  <c r="P49" i="1"/>
  <c r="Q49" i="1"/>
  <c r="R49" i="1"/>
  <c r="S49" i="1"/>
  <c r="T49" i="1"/>
  <c r="U49" i="1"/>
  <c r="V49" i="1"/>
  <c r="W49" i="1"/>
  <c r="X49" i="1"/>
  <c r="O50" i="1"/>
  <c r="P50" i="1"/>
  <c r="Q50" i="1"/>
  <c r="R50" i="1"/>
  <c r="S50" i="1"/>
  <c r="T50" i="1"/>
  <c r="U50" i="1"/>
  <c r="V50" i="1"/>
  <c r="W50" i="1"/>
  <c r="X50" i="1"/>
  <c r="O51" i="1"/>
  <c r="P51" i="1"/>
  <c r="Q51" i="1"/>
  <c r="R51" i="1"/>
  <c r="S51" i="1"/>
  <c r="T51" i="1"/>
  <c r="U51" i="1"/>
  <c r="V51" i="1"/>
  <c r="W51" i="1"/>
  <c r="X51" i="1"/>
  <c r="O52" i="1"/>
  <c r="P52" i="1"/>
  <c r="Q52" i="1"/>
  <c r="R52" i="1"/>
  <c r="S52" i="1"/>
  <c r="T52" i="1"/>
  <c r="U52" i="1"/>
  <c r="V52" i="1"/>
  <c r="W52" i="1"/>
  <c r="X52" i="1"/>
  <c r="O53" i="1"/>
  <c r="P53" i="1"/>
  <c r="Q53" i="1"/>
  <c r="R53" i="1"/>
  <c r="S53" i="1"/>
  <c r="T53" i="1"/>
  <c r="U53" i="1"/>
  <c r="V53" i="1"/>
  <c r="W53" i="1"/>
  <c r="X53" i="1"/>
  <c r="O54" i="1"/>
  <c r="P54" i="1"/>
  <c r="Q54" i="1"/>
  <c r="R54" i="1"/>
  <c r="S54" i="1"/>
  <c r="T54" i="1"/>
  <c r="U54" i="1"/>
  <c r="V54" i="1"/>
  <c r="W54" i="1"/>
  <c r="X54" i="1"/>
  <c r="O55" i="1"/>
  <c r="P55" i="1"/>
  <c r="Q55" i="1"/>
  <c r="R55" i="1"/>
  <c r="S55" i="1"/>
  <c r="T55" i="1"/>
  <c r="U55" i="1"/>
  <c r="V55" i="1"/>
  <c r="W55" i="1"/>
  <c r="X55" i="1"/>
  <c r="O56" i="1"/>
  <c r="P56" i="1"/>
  <c r="Q56" i="1"/>
  <c r="R56" i="1"/>
  <c r="S56" i="1"/>
  <c r="T56" i="1"/>
  <c r="U56" i="1"/>
  <c r="V56" i="1"/>
  <c r="W56" i="1"/>
  <c r="X56" i="1"/>
  <c r="O57" i="1"/>
  <c r="P57" i="1"/>
  <c r="Q57" i="1"/>
  <c r="R57" i="1"/>
  <c r="S57" i="1"/>
  <c r="T57" i="1"/>
  <c r="U57" i="1"/>
  <c r="V57" i="1"/>
  <c r="W57" i="1"/>
  <c r="X57" i="1"/>
  <c r="O58" i="1"/>
  <c r="P58" i="1"/>
  <c r="Q58" i="1"/>
  <c r="R58" i="1"/>
  <c r="S58" i="1"/>
  <c r="T58" i="1"/>
  <c r="U58" i="1"/>
  <c r="V58" i="1"/>
  <c r="W58" i="1"/>
  <c r="X58" i="1"/>
  <c r="O59" i="1"/>
  <c r="P59" i="1"/>
  <c r="Q59" i="1"/>
  <c r="R59" i="1"/>
  <c r="S59" i="1"/>
  <c r="T59" i="1"/>
  <c r="U59" i="1"/>
  <c r="V59" i="1"/>
  <c r="W59" i="1"/>
  <c r="X59" i="1"/>
  <c r="O60" i="1"/>
  <c r="P60" i="1"/>
  <c r="Q60" i="1"/>
  <c r="R60" i="1"/>
  <c r="S60" i="1"/>
  <c r="T60" i="1"/>
  <c r="U60" i="1"/>
  <c r="V60" i="1"/>
  <c r="W60" i="1"/>
  <c r="X60" i="1"/>
  <c r="P34" i="1"/>
  <c r="Q34" i="1"/>
  <c r="R34" i="1"/>
  <c r="S34" i="1"/>
  <c r="T34" i="1"/>
  <c r="U34" i="1"/>
  <c r="V34" i="1"/>
  <c r="W34" i="1"/>
  <c r="X34" i="1"/>
  <c r="C34" i="1"/>
  <c r="C35" i="1"/>
  <c r="D35" i="1"/>
  <c r="E35" i="1"/>
  <c r="F35" i="1"/>
  <c r="G35" i="1"/>
  <c r="H35" i="1"/>
  <c r="I35" i="1"/>
  <c r="J35" i="1"/>
  <c r="K35" i="1"/>
  <c r="L35" i="1"/>
  <c r="C36" i="1"/>
  <c r="D36" i="1"/>
  <c r="E36" i="1"/>
  <c r="F36" i="1"/>
  <c r="G36" i="1"/>
  <c r="H36" i="1"/>
  <c r="I36" i="1"/>
  <c r="J36" i="1"/>
  <c r="K36" i="1"/>
  <c r="L36" i="1"/>
  <c r="C37" i="1"/>
  <c r="D37" i="1"/>
  <c r="E37" i="1"/>
  <c r="F37" i="1"/>
  <c r="G37" i="1"/>
  <c r="H37" i="1"/>
  <c r="I37" i="1"/>
  <c r="J37" i="1"/>
  <c r="K37" i="1"/>
  <c r="L37" i="1"/>
  <c r="C38" i="1"/>
  <c r="D38" i="1"/>
  <c r="E38" i="1"/>
  <c r="F38" i="1"/>
  <c r="G38" i="1"/>
  <c r="H38" i="1"/>
  <c r="I38" i="1"/>
  <c r="J38" i="1"/>
  <c r="K38" i="1"/>
  <c r="L38" i="1"/>
  <c r="C39" i="1"/>
  <c r="D39" i="1"/>
  <c r="E39" i="1"/>
  <c r="F39" i="1"/>
  <c r="G39" i="1"/>
  <c r="H39" i="1"/>
  <c r="I39" i="1"/>
  <c r="J39" i="1"/>
  <c r="K39" i="1"/>
  <c r="L39" i="1"/>
  <c r="C40" i="1"/>
  <c r="D40" i="1"/>
  <c r="E40" i="1"/>
  <c r="F40" i="1"/>
  <c r="G40" i="1"/>
  <c r="H40" i="1"/>
  <c r="I40" i="1"/>
  <c r="J40" i="1"/>
  <c r="K40" i="1"/>
  <c r="L40" i="1"/>
  <c r="C41" i="1"/>
  <c r="D41" i="1"/>
  <c r="E41" i="1"/>
  <c r="F41" i="1"/>
  <c r="G41" i="1"/>
  <c r="H41" i="1"/>
  <c r="I41" i="1"/>
  <c r="J41" i="1"/>
  <c r="K41" i="1"/>
  <c r="L41" i="1"/>
  <c r="C42" i="1"/>
  <c r="D42" i="1"/>
  <c r="E42" i="1"/>
  <c r="F42" i="1"/>
  <c r="G42" i="1"/>
  <c r="H42" i="1"/>
  <c r="I42" i="1"/>
  <c r="J42" i="1"/>
  <c r="K42" i="1"/>
  <c r="L42" i="1"/>
  <c r="C43" i="1"/>
  <c r="D43" i="1"/>
  <c r="E43" i="1"/>
  <c r="F43" i="1"/>
  <c r="G43" i="1"/>
  <c r="H43" i="1"/>
  <c r="I43" i="1"/>
  <c r="J43" i="1"/>
  <c r="K43" i="1"/>
  <c r="L43" i="1"/>
  <c r="C44" i="1"/>
  <c r="D44" i="1"/>
  <c r="E44" i="1"/>
  <c r="F44" i="1"/>
  <c r="G44" i="1"/>
  <c r="H44" i="1"/>
  <c r="I44" i="1"/>
  <c r="J44" i="1"/>
  <c r="K44" i="1"/>
  <c r="L44" i="1"/>
  <c r="C45" i="1"/>
  <c r="D45" i="1"/>
  <c r="E45" i="1"/>
  <c r="F45" i="1"/>
  <c r="G45" i="1"/>
  <c r="H45" i="1"/>
  <c r="I45" i="1"/>
  <c r="J45" i="1"/>
  <c r="K45" i="1"/>
  <c r="L45" i="1"/>
  <c r="C46" i="1"/>
  <c r="D46" i="1"/>
  <c r="E46" i="1"/>
  <c r="F46" i="1"/>
  <c r="G46" i="1"/>
  <c r="H46" i="1"/>
  <c r="I46" i="1"/>
  <c r="J46" i="1"/>
  <c r="K46" i="1"/>
  <c r="L46" i="1"/>
  <c r="C47" i="1"/>
  <c r="D47" i="1"/>
  <c r="E47" i="1"/>
  <c r="F47" i="1"/>
  <c r="G47" i="1"/>
  <c r="H47" i="1"/>
  <c r="I47" i="1"/>
  <c r="J47" i="1"/>
  <c r="K47" i="1"/>
  <c r="L47" i="1"/>
  <c r="C48" i="1"/>
  <c r="D48" i="1"/>
  <c r="E48" i="1"/>
  <c r="F48" i="1"/>
  <c r="G48" i="1"/>
  <c r="H48" i="1"/>
  <c r="I48" i="1"/>
  <c r="J48" i="1"/>
  <c r="K48" i="1"/>
  <c r="L48" i="1"/>
  <c r="C49" i="1"/>
  <c r="D49" i="1"/>
  <c r="E49" i="1"/>
  <c r="F49" i="1"/>
  <c r="G49" i="1"/>
  <c r="H49" i="1"/>
  <c r="I49" i="1"/>
  <c r="J49" i="1"/>
  <c r="K49" i="1"/>
  <c r="L49" i="1"/>
  <c r="C50" i="1"/>
  <c r="D50" i="1"/>
  <c r="E50" i="1"/>
  <c r="F50" i="1"/>
  <c r="G50" i="1"/>
  <c r="H50" i="1"/>
  <c r="I50" i="1"/>
  <c r="J50" i="1"/>
  <c r="K50" i="1"/>
  <c r="L50" i="1"/>
  <c r="C51" i="1"/>
  <c r="D51" i="1"/>
  <c r="E51" i="1"/>
  <c r="F51" i="1"/>
  <c r="G51" i="1"/>
  <c r="H51" i="1"/>
  <c r="I51" i="1"/>
  <c r="J51" i="1"/>
  <c r="K51" i="1"/>
  <c r="L51" i="1"/>
  <c r="C52" i="1"/>
  <c r="D52" i="1"/>
  <c r="E52" i="1"/>
  <c r="F52" i="1"/>
  <c r="G52" i="1"/>
  <c r="H52" i="1"/>
  <c r="I52" i="1"/>
  <c r="J52" i="1"/>
  <c r="K52" i="1"/>
  <c r="L52" i="1"/>
  <c r="C53" i="1"/>
  <c r="D53" i="1"/>
  <c r="E53" i="1"/>
  <c r="F53" i="1"/>
  <c r="G53" i="1"/>
  <c r="H53" i="1"/>
  <c r="I53" i="1"/>
  <c r="J53" i="1"/>
  <c r="K53" i="1"/>
  <c r="L53" i="1"/>
  <c r="C54" i="1"/>
  <c r="D54" i="1"/>
  <c r="E54" i="1"/>
  <c r="F54" i="1"/>
  <c r="G54" i="1"/>
  <c r="H54" i="1"/>
  <c r="I54" i="1"/>
  <c r="J54" i="1"/>
  <c r="K54" i="1"/>
  <c r="L54" i="1"/>
  <c r="C55" i="1"/>
  <c r="D55" i="1"/>
  <c r="E55" i="1"/>
  <c r="F55" i="1"/>
  <c r="G55" i="1"/>
  <c r="H55" i="1"/>
  <c r="I55" i="1"/>
  <c r="J55" i="1"/>
  <c r="K55" i="1"/>
  <c r="L55" i="1"/>
  <c r="C56" i="1"/>
  <c r="D56" i="1"/>
  <c r="E56" i="1"/>
  <c r="F56" i="1"/>
  <c r="G56" i="1"/>
  <c r="H56" i="1"/>
  <c r="I56" i="1"/>
  <c r="J56" i="1"/>
  <c r="K56" i="1"/>
  <c r="L56" i="1"/>
  <c r="C57" i="1"/>
  <c r="D57" i="1"/>
  <c r="E57" i="1"/>
  <c r="F57" i="1"/>
  <c r="G57" i="1"/>
  <c r="H57" i="1"/>
  <c r="I57" i="1"/>
  <c r="J57" i="1"/>
  <c r="K57" i="1"/>
  <c r="L57" i="1"/>
  <c r="C58" i="1"/>
  <c r="D58" i="1"/>
  <c r="E58" i="1"/>
  <c r="F58" i="1"/>
  <c r="G58" i="1"/>
  <c r="H58" i="1"/>
  <c r="I58" i="1"/>
  <c r="J58" i="1"/>
  <c r="K58" i="1"/>
  <c r="L58" i="1"/>
  <c r="C59" i="1"/>
  <c r="D59" i="1"/>
  <c r="E59" i="1"/>
  <c r="F59" i="1"/>
  <c r="G59" i="1"/>
  <c r="H59" i="1"/>
  <c r="I59" i="1"/>
  <c r="J59" i="1"/>
  <c r="K59" i="1"/>
  <c r="L59" i="1"/>
  <c r="C60" i="1"/>
  <c r="D60" i="1"/>
  <c r="E60" i="1"/>
  <c r="F60" i="1"/>
  <c r="G60" i="1"/>
  <c r="H60" i="1"/>
  <c r="I60" i="1"/>
  <c r="J60" i="1"/>
  <c r="K60" i="1"/>
  <c r="L60" i="1"/>
  <c r="D34" i="1"/>
  <c r="E34" i="1"/>
  <c r="F34" i="1"/>
  <c r="G34" i="1"/>
  <c r="H34" i="1"/>
  <c r="I34" i="1"/>
  <c r="J34" i="1"/>
  <c r="K34" i="1"/>
  <c r="L34" i="1"/>
</calcChain>
</file>

<file path=xl/sharedStrings.xml><?xml version="1.0" encoding="utf-8"?>
<sst xmlns="http://schemas.openxmlformats.org/spreadsheetml/2006/main" count="279" uniqueCount="44">
  <si>
    <t>FORAM 10 MILHÕES DE RODADAS PARA CADA PONTUAÇÃO, TOTALIZANDO UMA SIMULAÇÃO DE 270 MILHÕES DE RODADAS</t>
  </si>
  <si>
    <t>RESULTADOS NUMÉRICOS DE VITÓRIAS COM PONTUAÇÃO FIXADA</t>
  </si>
  <si>
    <t>RESULTADOS NUMÉRICOS DE DERROTAS COM PONTUAÇÃO FIXADA</t>
  </si>
  <si>
    <t>RESULTADOS NUMÉRICOS DE EMPATES COM PONTUAÇÃO FIXADA</t>
  </si>
  <si>
    <t>JOGADOR</t>
  </si>
  <si>
    <t>DEALER</t>
  </si>
  <si>
    <t>ESTATÍSTICAS COM PONTUAÇÃO NÃO FIXADA COM 100 MILHÕES DE RODADAS</t>
  </si>
  <si>
    <t>A</t>
  </si>
  <si>
    <t>BUSTS</t>
  </si>
  <si>
    <t>BLACKJACKS</t>
  </si>
  <si>
    <t>SALDO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</si>
  <si>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</si>
  <si>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</si>
  <si>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</si>
  <si>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</si>
  <si>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</si>
  <si>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</si>
  <si>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</si>
  <si>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</si>
  <si>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</si>
  <si>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</si>
  <si>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</si>
  <si>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</si>
  <si>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</si>
  <si>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</si>
  <si>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</si>
  <si>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</si>
  <si>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</si>
  <si>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</si>
  <si>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</si>
  <si>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</si>
  <si>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</si>
  <si>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</si>
  <si>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</si>
  <si>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</si>
  <si>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</si>
  <si>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</si>
  <si>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</si>
  <si>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 COM PONTUAÇÃO FIXADA</t>
  </si>
  <si>
    <t>RESULTADOS PERCENTUAIS DE DERROTAS COM PONTUAÇÃO FIXADA</t>
  </si>
  <si>
    <t>RESULTADOS PERCENTUAIS DE EMPATES COM PONTUAÇÃO FIXADA</t>
  </si>
  <si>
    <t>PROBABILIDADE DE VENCER MENOS PROBABILIDADE DE PERDER (PEDIR)</t>
  </si>
  <si>
    <t>PROBABILIDADE DE VENCER MENOS PROBABILIDADE DE PERDER (PARAR)</t>
  </si>
  <si>
    <t>MELHOR ESTRATÉGIA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</si>
</sst>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0" fontId="0" fillId="0" borderId="1" xfId="0" applyNumberFormat="1" applyBorder="1"/>
    <xf numFmtId="0" fontId="2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0" fillId="0" borderId="0" xfId="0" applyNumberFormat="1"/>
    <xf numFmtId="0" fontId="4" fillId="0" borderId="0" xfId="0" applyFont="1" applyAlignment="1"/>
    <xf numFmtId="3" fontId="0" fillId="0" borderId="1" xfId="0" applyNumberFormat="1" applyBorder="1" applyAlignment="1"/>
    <xf numFmtId="164" fontId="0" fillId="0" borderId="1" xfId="0" applyNumberFormat="1" applyBorder="1" applyAlignme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J95"/>
  <sheetViews>
    <sheetView tabSelected="1" topLeftCell="A60" workbookViewId="0">
      <selection activeCell="S94" sqref="S94"/>
    </sheetView>
  </sheetViews>
  <sheetFormatPr defaultRowHeight="15"/>
  <sheetData>
    <row r="1" spans="2:62">
      <c r="N1" s="22" t="s">
        <v>0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2:62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N2" s="1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Z2" s="13" t="s">
        <v>3</v>
      </c>
      <c r="AA2" s="14"/>
      <c r="AB2" s="14"/>
      <c r="AC2" s="14"/>
      <c r="AD2" s="14"/>
      <c r="AE2" s="14"/>
      <c r="AF2" s="14"/>
      <c r="AG2" s="14"/>
      <c r="AH2" s="14"/>
      <c r="AI2" s="14"/>
      <c r="AJ2" s="15"/>
      <c r="AL2" s="1" t="s">
        <v>4</v>
      </c>
      <c r="AM2" s="1"/>
      <c r="AN2" s="1"/>
      <c r="AO2" s="1"/>
      <c r="AP2" s="1"/>
      <c r="AQ2" s="1"/>
      <c r="AR2" s="1" t="s">
        <v>5</v>
      </c>
      <c r="AS2" s="1"/>
      <c r="AT2" s="1"/>
      <c r="AU2" s="1"/>
      <c r="AV2" s="1"/>
      <c r="AW2" s="1"/>
      <c r="AY2" s="1" t="s">
        <v>6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2:62">
      <c r="B3" s="2"/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 t="s">
        <v>7</v>
      </c>
      <c r="N3" s="6"/>
      <c r="O3" s="7">
        <v>2</v>
      </c>
      <c r="P3" s="7">
        <v>3</v>
      </c>
      <c r="Q3" s="7">
        <v>4</v>
      </c>
      <c r="R3" s="7">
        <v>5</v>
      </c>
      <c r="S3" s="7">
        <v>6</v>
      </c>
      <c r="T3" s="7">
        <v>7</v>
      </c>
      <c r="U3" s="7">
        <v>8</v>
      </c>
      <c r="V3" s="7">
        <v>9</v>
      </c>
      <c r="W3" s="7">
        <v>10</v>
      </c>
      <c r="X3" s="8" t="s">
        <v>7</v>
      </c>
      <c r="Z3" s="2"/>
      <c r="AA3" s="10">
        <v>2</v>
      </c>
      <c r="AB3" s="10">
        <v>3</v>
      </c>
      <c r="AC3" s="10">
        <v>4</v>
      </c>
      <c r="AD3" s="10">
        <v>5</v>
      </c>
      <c r="AE3" s="10">
        <v>6</v>
      </c>
      <c r="AF3" s="10">
        <v>7</v>
      </c>
      <c r="AG3" s="10">
        <v>8</v>
      </c>
      <c r="AH3" s="10">
        <v>9</v>
      </c>
      <c r="AI3" s="10">
        <v>10</v>
      </c>
      <c r="AJ3" s="10" t="s">
        <v>7</v>
      </c>
      <c r="AL3" s="16" t="s">
        <v>8</v>
      </c>
      <c r="AM3" s="16"/>
      <c r="AN3" s="16" t="s">
        <v>9</v>
      </c>
      <c r="AO3" s="16"/>
      <c r="AP3" s="16" t="s">
        <v>10</v>
      </c>
      <c r="AQ3" s="16"/>
      <c r="AR3" s="16" t="s">
        <v>8</v>
      </c>
      <c r="AS3" s="16"/>
      <c r="AT3" s="16" t="s">
        <v>9</v>
      </c>
      <c r="AU3" s="16"/>
      <c r="AV3" s="16" t="s">
        <v>10</v>
      </c>
      <c r="AW3" s="16"/>
      <c r="AY3" s="18" t="s">
        <v>4</v>
      </c>
      <c r="AZ3" s="18"/>
      <c r="BA3" s="18"/>
      <c r="BB3" s="18"/>
      <c r="BC3" s="18"/>
      <c r="BD3" s="18"/>
      <c r="BE3" s="18" t="s">
        <v>5</v>
      </c>
      <c r="BF3" s="18"/>
      <c r="BG3" s="18"/>
      <c r="BH3" s="18"/>
      <c r="BI3" s="18"/>
      <c r="BJ3" s="18"/>
    </row>
    <row r="4" spans="2:62">
      <c r="B4" s="3" t="s">
        <v>11</v>
      </c>
      <c r="C4" s="4">
        <v>285746</v>
      </c>
      <c r="D4" s="4">
        <v>290299</v>
      </c>
      <c r="E4" s="4">
        <v>297798</v>
      </c>
      <c r="F4" s="4">
        <v>301415</v>
      </c>
      <c r="G4" s="4">
        <v>312720</v>
      </c>
      <c r="H4" s="4">
        <v>313325</v>
      </c>
      <c r="I4" s="4">
        <v>285925</v>
      </c>
      <c r="J4" s="4">
        <v>254086</v>
      </c>
      <c r="K4" s="4">
        <v>879081</v>
      </c>
      <c r="L4" s="4">
        <v>169900</v>
      </c>
      <c r="N4" s="3" t="s">
        <v>11</v>
      </c>
      <c r="O4" s="4">
        <v>423288</v>
      </c>
      <c r="P4" s="4">
        <v>421072</v>
      </c>
      <c r="Q4" s="4">
        <v>416464</v>
      </c>
      <c r="R4" s="4">
        <v>411332</v>
      </c>
      <c r="S4" s="4">
        <v>403093</v>
      </c>
      <c r="T4" s="4">
        <v>384615</v>
      </c>
      <c r="U4" s="4">
        <v>410238</v>
      </c>
      <c r="V4" s="4">
        <v>442645</v>
      </c>
      <c r="W4" s="5">
        <v>1935249</v>
      </c>
      <c r="X4" s="4">
        <v>545717</v>
      </c>
      <c r="Z4" s="9" t="s">
        <v>11</v>
      </c>
      <c r="AA4" s="4">
        <v>60430</v>
      </c>
      <c r="AB4" s="4">
        <v>58419</v>
      </c>
      <c r="AC4" s="4">
        <v>56013</v>
      </c>
      <c r="AD4" s="4">
        <v>54217</v>
      </c>
      <c r="AE4" s="4">
        <v>54237</v>
      </c>
      <c r="AF4" s="4">
        <v>70926</v>
      </c>
      <c r="AG4" s="4">
        <v>71882</v>
      </c>
      <c r="AH4" s="4">
        <v>72371</v>
      </c>
      <c r="AI4" s="4">
        <v>263883</v>
      </c>
      <c r="AJ4" s="4">
        <v>53614</v>
      </c>
      <c r="AL4" s="23">
        <v>3754941</v>
      </c>
      <c r="AM4" s="23"/>
      <c r="AN4" s="23">
        <v>0</v>
      </c>
      <c r="AO4" s="23"/>
      <c r="AP4" s="24">
        <v>-2403418</v>
      </c>
      <c r="AQ4" s="24"/>
      <c r="AR4" s="23">
        <v>1708791</v>
      </c>
      <c r="AS4" s="23"/>
      <c r="AT4" s="23">
        <v>474953</v>
      </c>
      <c r="AU4" s="23"/>
      <c r="AV4" s="24">
        <v>2403418</v>
      </c>
      <c r="AW4" s="24"/>
      <c r="AY4" s="19" t="s">
        <v>8</v>
      </c>
      <c r="AZ4" s="19"/>
      <c r="BA4" s="19" t="s">
        <v>9</v>
      </c>
      <c r="BB4" s="19"/>
      <c r="BC4" s="19" t="s">
        <v>10</v>
      </c>
      <c r="BD4" s="19"/>
      <c r="BE4" s="19" t="s">
        <v>8</v>
      </c>
      <c r="BF4" s="19"/>
      <c r="BG4" s="19" t="s">
        <v>9</v>
      </c>
      <c r="BH4" s="19"/>
      <c r="BI4" s="19" t="s">
        <v>10</v>
      </c>
      <c r="BJ4" s="19"/>
    </row>
    <row r="5" spans="2:62">
      <c r="B5" s="3" t="s">
        <v>12</v>
      </c>
      <c r="C5" s="4">
        <v>276122</v>
      </c>
      <c r="D5" s="4">
        <v>281046</v>
      </c>
      <c r="E5" s="4">
        <v>286013</v>
      </c>
      <c r="F5" s="4">
        <v>291520</v>
      </c>
      <c r="G5" s="4">
        <v>301792</v>
      </c>
      <c r="H5" s="4">
        <v>305088</v>
      </c>
      <c r="I5" s="4">
        <v>277300</v>
      </c>
      <c r="J5" s="4">
        <v>246896</v>
      </c>
      <c r="K5" s="4">
        <v>849539</v>
      </c>
      <c r="L5" s="4">
        <v>164954</v>
      </c>
      <c r="N5" s="3" t="s">
        <v>12</v>
      </c>
      <c r="O5" s="4">
        <v>435039</v>
      </c>
      <c r="P5" s="4">
        <v>431633</v>
      </c>
      <c r="Q5" s="4">
        <v>430238</v>
      </c>
      <c r="R5" s="4">
        <v>424330</v>
      </c>
      <c r="S5" s="4">
        <v>416254</v>
      </c>
      <c r="T5" s="4">
        <v>396441</v>
      </c>
      <c r="U5" s="4">
        <v>421327</v>
      </c>
      <c r="V5" s="4">
        <v>452726</v>
      </c>
      <c r="W5" s="5">
        <v>1975465</v>
      </c>
      <c r="X5" s="4">
        <v>550079</v>
      </c>
      <c r="Z5" s="9" t="s">
        <v>12</v>
      </c>
      <c r="AA5" s="4">
        <v>57473</v>
      </c>
      <c r="AB5" s="4">
        <v>55789</v>
      </c>
      <c r="AC5" s="4">
        <v>54205</v>
      </c>
      <c r="AD5" s="4">
        <v>51557</v>
      </c>
      <c r="AE5" s="4">
        <v>52209</v>
      </c>
      <c r="AF5" s="4">
        <v>67675</v>
      </c>
      <c r="AG5" s="4">
        <v>69649</v>
      </c>
      <c r="AH5" s="4">
        <v>70153</v>
      </c>
      <c r="AI5" s="4">
        <v>255515</v>
      </c>
      <c r="AJ5" s="4">
        <v>51973</v>
      </c>
      <c r="AL5" s="23">
        <v>3968231</v>
      </c>
      <c r="AM5" s="23"/>
      <c r="AN5" s="23">
        <v>0</v>
      </c>
      <c r="AO5" s="23"/>
      <c r="AP5" s="24">
        <v>-2653262</v>
      </c>
      <c r="AQ5" s="24"/>
      <c r="AR5" s="23">
        <v>1643887</v>
      </c>
      <c r="AS5" s="23"/>
      <c r="AT5" s="23">
        <v>473994</v>
      </c>
      <c r="AU5" s="23"/>
      <c r="AV5" s="24">
        <v>2653262</v>
      </c>
      <c r="AW5" s="24"/>
      <c r="AY5" s="23">
        <v>26851148</v>
      </c>
      <c r="AZ5" s="23"/>
      <c r="BA5" s="23">
        <v>4747746</v>
      </c>
      <c r="BB5" s="23"/>
      <c r="BC5" s="24">
        <v>-10205963.5</v>
      </c>
      <c r="BD5" s="24"/>
      <c r="BE5" s="23">
        <v>18910242</v>
      </c>
      <c r="BF5" s="23"/>
      <c r="BG5" s="23">
        <v>4750382</v>
      </c>
      <c r="BH5" s="23"/>
      <c r="BI5" s="24">
        <f>-BC5</f>
        <v>10205963.5</v>
      </c>
      <c r="BJ5" s="24"/>
    </row>
    <row r="6" spans="2:62">
      <c r="B6" s="3" t="s">
        <v>13</v>
      </c>
      <c r="C6" s="4">
        <v>261760</v>
      </c>
      <c r="D6" s="4">
        <v>266993</v>
      </c>
      <c r="E6" s="4">
        <v>272913</v>
      </c>
      <c r="F6" s="4">
        <v>278387</v>
      </c>
      <c r="G6" s="4">
        <v>289146</v>
      </c>
      <c r="H6" s="4">
        <v>283895</v>
      </c>
      <c r="I6" s="4">
        <v>258041</v>
      </c>
      <c r="J6" s="4">
        <v>230584</v>
      </c>
      <c r="K6" s="4">
        <v>795978</v>
      </c>
      <c r="L6" s="4">
        <v>152859</v>
      </c>
      <c r="N6" s="3" t="s">
        <v>13</v>
      </c>
      <c r="O6" s="4">
        <v>449750</v>
      </c>
      <c r="P6" s="4">
        <v>447381</v>
      </c>
      <c r="Q6" s="4">
        <v>441754</v>
      </c>
      <c r="R6" s="4">
        <v>439051</v>
      </c>
      <c r="S6" s="4">
        <v>426572</v>
      </c>
      <c r="T6" s="4">
        <v>408680</v>
      </c>
      <c r="U6" s="4">
        <v>443870</v>
      </c>
      <c r="V6" s="4">
        <v>471170</v>
      </c>
      <c r="W6" s="5">
        <v>2034109</v>
      </c>
      <c r="X6" s="4">
        <v>564483</v>
      </c>
      <c r="Z6" s="9" t="s">
        <v>13</v>
      </c>
      <c r="AA6" s="4">
        <v>57659</v>
      </c>
      <c r="AB6" s="4">
        <v>55609</v>
      </c>
      <c r="AC6" s="4">
        <v>53879</v>
      </c>
      <c r="AD6" s="4">
        <v>51664</v>
      </c>
      <c r="AE6" s="4">
        <v>53329</v>
      </c>
      <c r="AF6" s="4">
        <v>76542</v>
      </c>
      <c r="AG6" s="4">
        <v>67073</v>
      </c>
      <c r="AH6" s="4">
        <v>68048</v>
      </c>
      <c r="AI6" s="4">
        <v>246965</v>
      </c>
      <c r="AJ6" s="4">
        <v>51856</v>
      </c>
      <c r="AL6" s="23">
        <v>4029017</v>
      </c>
      <c r="AM6" s="23"/>
      <c r="AN6" s="23">
        <v>0</v>
      </c>
      <c r="AO6" s="23"/>
      <c r="AP6" s="24">
        <v>-3036264</v>
      </c>
      <c r="AQ6" s="24"/>
      <c r="AR6" s="23">
        <v>1628124</v>
      </c>
      <c r="AS6" s="23"/>
      <c r="AT6" s="23">
        <v>474352</v>
      </c>
      <c r="AU6" s="23"/>
      <c r="AV6" s="24">
        <v>3036264</v>
      </c>
      <c r="AW6" s="24"/>
    </row>
    <row r="7" spans="2:62">
      <c r="B7" s="3" t="s">
        <v>14</v>
      </c>
      <c r="C7" s="4">
        <v>285869</v>
      </c>
      <c r="D7" s="4">
        <v>294202</v>
      </c>
      <c r="E7" s="4">
        <v>303293</v>
      </c>
      <c r="F7" s="4">
        <v>314185</v>
      </c>
      <c r="G7" s="4">
        <v>324063</v>
      </c>
      <c r="H7" s="4">
        <v>291833</v>
      </c>
      <c r="I7" s="4">
        <v>258895</v>
      </c>
      <c r="J7" s="4">
        <v>234085</v>
      </c>
      <c r="K7" s="4">
        <v>816714</v>
      </c>
      <c r="L7" s="4">
        <v>148167</v>
      </c>
      <c r="N7" s="3" t="s">
        <v>14</v>
      </c>
      <c r="O7" s="4">
        <v>407662</v>
      </c>
      <c r="P7" s="4">
        <v>402206</v>
      </c>
      <c r="Q7" s="4">
        <v>394428</v>
      </c>
      <c r="R7" s="4">
        <v>388620</v>
      </c>
      <c r="S7" s="4">
        <v>368533</v>
      </c>
      <c r="T7" s="4">
        <v>344557</v>
      </c>
      <c r="U7" s="4">
        <v>421669</v>
      </c>
      <c r="V7" s="4">
        <v>456782</v>
      </c>
      <c r="W7" s="5">
        <v>1965789</v>
      </c>
      <c r="X7" s="4">
        <v>551255</v>
      </c>
      <c r="Z7" s="9" t="s">
        <v>14</v>
      </c>
      <c r="AA7" s="4">
        <v>76018</v>
      </c>
      <c r="AB7" s="4">
        <v>73369</v>
      </c>
      <c r="AC7" s="4">
        <v>70561</v>
      </c>
      <c r="AD7" s="4">
        <v>67900</v>
      </c>
      <c r="AE7" s="4">
        <v>76324</v>
      </c>
      <c r="AF7" s="4">
        <v>132072</v>
      </c>
      <c r="AG7" s="4">
        <v>91098</v>
      </c>
      <c r="AH7" s="4">
        <v>79268</v>
      </c>
      <c r="AI7" s="4">
        <v>291165</v>
      </c>
      <c r="AJ7" s="4">
        <v>69418</v>
      </c>
      <c r="AL7" s="23">
        <v>2501497</v>
      </c>
      <c r="AM7" s="23"/>
      <c r="AN7" s="23">
        <v>0</v>
      </c>
      <c r="AO7" s="23"/>
      <c r="AP7" s="24">
        <v>-2430195</v>
      </c>
      <c r="AQ7" s="24"/>
      <c r="AR7" s="23">
        <v>2077668</v>
      </c>
      <c r="AS7" s="23"/>
      <c r="AT7" s="23">
        <v>474953</v>
      </c>
      <c r="AU7" s="23"/>
      <c r="AV7" s="24">
        <v>2430195</v>
      </c>
      <c r="AW7" s="24"/>
    </row>
    <row r="8" spans="2:62">
      <c r="B8" s="3" t="s">
        <v>15</v>
      </c>
      <c r="C8" s="4">
        <v>320689</v>
      </c>
      <c r="D8" s="4">
        <v>328101</v>
      </c>
      <c r="E8" s="4">
        <v>336791</v>
      </c>
      <c r="F8" s="4">
        <v>345283</v>
      </c>
      <c r="G8" s="4">
        <v>364810</v>
      </c>
      <c r="H8" s="4">
        <v>371675</v>
      </c>
      <c r="I8" s="4">
        <v>297516</v>
      </c>
      <c r="J8" s="4">
        <v>259432</v>
      </c>
      <c r="K8" s="4">
        <v>920687</v>
      </c>
      <c r="L8" s="4">
        <v>177280</v>
      </c>
      <c r="N8" s="3" t="s">
        <v>15</v>
      </c>
      <c r="O8" s="4">
        <v>370480</v>
      </c>
      <c r="P8" s="4">
        <v>367003</v>
      </c>
      <c r="Q8" s="4">
        <v>361697</v>
      </c>
      <c r="R8" s="4">
        <v>354026</v>
      </c>
      <c r="S8" s="4">
        <v>338641</v>
      </c>
      <c r="T8" s="4">
        <v>306992</v>
      </c>
      <c r="U8" s="4">
        <v>340798</v>
      </c>
      <c r="V8" s="4">
        <v>420549</v>
      </c>
      <c r="W8" s="5">
        <v>1860500</v>
      </c>
      <c r="X8" s="4">
        <v>520884</v>
      </c>
      <c r="Z8" s="9" t="s">
        <v>15</v>
      </c>
      <c r="AA8" s="4">
        <v>77048</v>
      </c>
      <c r="AB8" s="4">
        <v>74140</v>
      </c>
      <c r="AC8" s="4">
        <v>71507</v>
      </c>
      <c r="AD8" s="4">
        <v>69424</v>
      </c>
      <c r="AE8" s="4">
        <v>67136</v>
      </c>
      <c r="AF8" s="4">
        <v>91279</v>
      </c>
      <c r="AG8" s="4">
        <v>131664</v>
      </c>
      <c r="AH8" s="4">
        <v>89168</v>
      </c>
      <c r="AI8" s="4">
        <v>292924</v>
      </c>
      <c r="AJ8" s="4">
        <v>71876</v>
      </c>
      <c r="AL8" s="23">
        <v>2331884</v>
      </c>
      <c r="AM8" s="23"/>
      <c r="AN8" s="23">
        <v>0</v>
      </c>
      <c r="AO8" s="23"/>
      <c r="AP8" s="24">
        <v>-1519306</v>
      </c>
      <c r="AQ8" s="24"/>
      <c r="AR8" s="23">
        <v>2128299</v>
      </c>
      <c r="AS8" s="23"/>
      <c r="AT8" s="23">
        <v>474295</v>
      </c>
      <c r="AU8" s="23"/>
      <c r="AV8" s="24">
        <v>1519306</v>
      </c>
      <c r="AW8" s="24"/>
    </row>
    <row r="9" spans="2:62">
      <c r="B9" s="3" t="s">
        <v>16</v>
      </c>
      <c r="C9" s="4">
        <v>357700</v>
      </c>
      <c r="D9" s="4">
        <v>365849</v>
      </c>
      <c r="E9" s="4">
        <v>373009</v>
      </c>
      <c r="F9" s="4">
        <v>381197</v>
      </c>
      <c r="G9" s="4">
        <v>396163</v>
      </c>
      <c r="H9" s="4">
        <v>411699</v>
      </c>
      <c r="I9" s="4">
        <v>377320</v>
      </c>
      <c r="J9" s="4">
        <v>299977</v>
      </c>
      <c r="K9" s="4">
        <v>1036828</v>
      </c>
      <c r="L9" s="4">
        <v>210732</v>
      </c>
      <c r="N9" s="3" t="s">
        <v>16</v>
      </c>
      <c r="O9" s="4">
        <v>333717</v>
      </c>
      <c r="P9" s="4">
        <v>328601</v>
      </c>
      <c r="Q9" s="4">
        <v>324838</v>
      </c>
      <c r="R9" s="4">
        <v>319018</v>
      </c>
      <c r="S9" s="4">
        <v>304509</v>
      </c>
      <c r="T9" s="4">
        <v>278397</v>
      </c>
      <c r="U9" s="4">
        <v>302411</v>
      </c>
      <c r="V9" s="4">
        <v>340030</v>
      </c>
      <c r="W9" s="5">
        <v>1702179</v>
      </c>
      <c r="X9" s="4">
        <v>483818</v>
      </c>
      <c r="Z9" s="9" t="s">
        <v>16</v>
      </c>
      <c r="AA9" s="4">
        <v>77444</v>
      </c>
      <c r="AB9" s="4">
        <v>75137</v>
      </c>
      <c r="AC9" s="4">
        <v>71787</v>
      </c>
      <c r="AD9" s="4">
        <v>69783</v>
      </c>
      <c r="AE9" s="4">
        <v>67684</v>
      </c>
      <c r="AF9" s="4">
        <v>79218</v>
      </c>
      <c r="AG9" s="4">
        <v>89728</v>
      </c>
      <c r="AH9" s="4">
        <v>130219</v>
      </c>
      <c r="AI9" s="4">
        <v>336669</v>
      </c>
      <c r="AJ9" s="4">
        <v>74339</v>
      </c>
      <c r="AL9" s="23">
        <v>2179375</v>
      </c>
      <c r="AM9" s="23"/>
      <c r="AN9" s="23">
        <v>0</v>
      </c>
      <c r="AO9" s="23"/>
      <c r="AP9" s="24">
        <v>-507044</v>
      </c>
      <c r="AQ9" s="24"/>
      <c r="AR9" s="23">
        <v>2172751</v>
      </c>
      <c r="AS9" s="23"/>
      <c r="AT9" s="23">
        <v>475147</v>
      </c>
      <c r="AU9" s="23"/>
      <c r="AV9" s="24">
        <v>507044</v>
      </c>
      <c r="AW9" s="24"/>
    </row>
    <row r="10" spans="2:62">
      <c r="B10" s="3" t="s">
        <v>17</v>
      </c>
      <c r="C10" s="4">
        <v>400931</v>
      </c>
      <c r="D10" s="4">
        <v>407245</v>
      </c>
      <c r="E10" s="4">
        <v>413525</v>
      </c>
      <c r="F10" s="4">
        <v>421112</v>
      </c>
      <c r="G10" s="4">
        <v>435328</v>
      </c>
      <c r="H10" s="4">
        <v>443319</v>
      </c>
      <c r="I10" s="4">
        <v>422410</v>
      </c>
      <c r="J10" s="4">
        <v>384070</v>
      </c>
      <c r="K10" s="4">
        <v>1216120</v>
      </c>
      <c r="L10" s="4">
        <v>251066</v>
      </c>
      <c r="N10" s="3" t="s">
        <v>17</v>
      </c>
      <c r="O10" s="4">
        <v>290437</v>
      </c>
      <c r="P10" s="4">
        <v>286156</v>
      </c>
      <c r="Q10" s="4">
        <v>283407</v>
      </c>
      <c r="R10" s="4">
        <v>279151</v>
      </c>
      <c r="S10" s="4">
        <v>267211</v>
      </c>
      <c r="T10" s="4">
        <v>246363</v>
      </c>
      <c r="U10" s="4">
        <v>270676</v>
      </c>
      <c r="V10" s="4">
        <v>297149</v>
      </c>
      <c r="W10" s="5">
        <v>1381850</v>
      </c>
      <c r="X10" s="4">
        <v>445896</v>
      </c>
      <c r="Z10" s="9" t="s">
        <v>17</v>
      </c>
      <c r="AA10" s="4">
        <v>77039</v>
      </c>
      <c r="AB10" s="4">
        <v>75451</v>
      </c>
      <c r="AC10" s="4">
        <v>72661</v>
      </c>
      <c r="AD10" s="4">
        <v>69720</v>
      </c>
      <c r="AE10" s="4">
        <v>67844</v>
      </c>
      <c r="AF10" s="4">
        <v>76764</v>
      </c>
      <c r="AG10" s="4">
        <v>76763</v>
      </c>
      <c r="AH10" s="4">
        <v>87422</v>
      </c>
      <c r="AI10" s="4">
        <v>480301</v>
      </c>
      <c r="AJ10" s="4">
        <v>72613</v>
      </c>
      <c r="AL10" s="23">
        <v>2024081</v>
      </c>
      <c r="AM10" s="23"/>
      <c r="AN10" s="23">
        <v>0</v>
      </c>
      <c r="AO10" s="23"/>
      <c r="AP10" s="24">
        <v>746830</v>
      </c>
      <c r="AQ10" s="24"/>
      <c r="AR10" s="23">
        <v>2219390</v>
      </c>
      <c r="AS10" s="23"/>
      <c r="AT10" s="23">
        <v>476189</v>
      </c>
      <c r="AU10" s="23"/>
      <c r="AV10" s="24">
        <v>-746830</v>
      </c>
      <c r="AW10" s="24"/>
    </row>
    <row r="11" spans="2:62">
      <c r="B11" s="3" t="s">
        <v>18</v>
      </c>
      <c r="C11" s="4">
        <v>423788</v>
      </c>
      <c r="D11" s="4">
        <v>429027</v>
      </c>
      <c r="E11" s="4">
        <v>435205</v>
      </c>
      <c r="F11" s="4">
        <v>440259</v>
      </c>
      <c r="G11" s="4">
        <v>452238</v>
      </c>
      <c r="H11" s="4">
        <v>458858</v>
      </c>
      <c r="I11" s="4">
        <v>434030</v>
      </c>
      <c r="J11" s="4">
        <v>405485</v>
      </c>
      <c r="K11" s="4">
        <v>1449435</v>
      </c>
      <c r="L11" s="4">
        <v>274569</v>
      </c>
      <c r="N11" s="3" t="s">
        <v>18</v>
      </c>
      <c r="O11" s="4">
        <v>269489</v>
      </c>
      <c r="P11" s="4">
        <v>266280</v>
      </c>
      <c r="Q11" s="4">
        <v>262230</v>
      </c>
      <c r="R11" s="4">
        <v>258651</v>
      </c>
      <c r="S11" s="4">
        <v>250572</v>
      </c>
      <c r="T11" s="4">
        <v>233984</v>
      </c>
      <c r="U11" s="4">
        <v>258102</v>
      </c>
      <c r="V11" s="4">
        <v>286322</v>
      </c>
      <c r="W11" s="5">
        <v>1359536</v>
      </c>
      <c r="X11" s="4">
        <v>436967</v>
      </c>
      <c r="Z11" s="9" t="s">
        <v>18</v>
      </c>
      <c r="AA11" s="4">
        <v>76746</v>
      </c>
      <c r="AB11" s="4">
        <v>74072</v>
      </c>
      <c r="AC11" s="4">
        <v>71345</v>
      </c>
      <c r="AD11" s="4">
        <v>69183</v>
      </c>
      <c r="AE11" s="4">
        <v>66570</v>
      </c>
      <c r="AF11" s="4">
        <v>75976</v>
      </c>
      <c r="AG11" s="4">
        <v>77197</v>
      </c>
      <c r="AH11" s="4">
        <v>76484</v>
      </c>
      <c r="AI11" s="4">
        <v>269212</v>
      </c>
      <c r="AJ11" s="4">
        <v>58188</v>
      </c>
      <c r="AL11" s="23">
        <v>2028875</v>
      </c>
      <c r="AM11" s="23"/>
      <c r="AN11" s="23">
        <v>0</v>
      </c>
      <c r="AO11" s="23"/>
      <c r="AP11" s="24">
        <v>1320761</v>
      </c>
      <c r="AQ11" s="24"/>
      <c r="AR11" s="23">
        <v>2216713</v>
      </c>
      <c r="AS11" s="23"/>
      <c r="AT11" s="23">
        <v>475510</v>
      </c>
      <c r="AU11" s="23"/>
      <c r="AV11" s="24">
        <v>-1320761</v>
      </c>
      <c r="AW11" s="24"/>
    </row>
    <row r="12" spans="2:62">
      <c r="B12" s="3" t="s">
        <v>19</v>
      </c>
      <c r="C12" s="4">
        <v>247912</v>
      </c>
      <c r="D12" s="4">
        <v>252901</v>
      </c>
      <c r="E12" s="4">
        <v>258054</v>
      </c>
      <c r="F12" s="4">
        <v>260959</v>
      </c>
      <c r="G12" s="4">
        <v>270699</v>
      </c>
      <c r="H12" s="4">
        <v>273519</v>
      </c>
      <c r="I12" s="4">
        <v>248506</v>
      </c>
      <c r="J12" s="4">
        <v>221159</v>
      </c>
      <c r="K12" s="4">
        <v>768948</v>
      </c>
      <c r="L12" s="4">
        <v>148898</v>
      </c>
      <c r="N12" s="3" t="s">
        <v>19</v>
      </c>
      <c r="O12" s="4">
        <v>470442</v>
      </c>
      <c r="P12" s="4">
        <v>467023</v>
      </c>
      <c r="Q12" s="4">
        <v>463810</v>
      </c>
      <c r="R12" s="4">
        <v>460584</v>
      </c>
      <c r="S12" s="4">
        <v>453673</v>
      </c>
      <c r="T12" s="4">
        <v>436936</v>
      </c>
      <c r="U12" s="4">
        <v>460618</v>
      </c>
      <c r="V12" s="4">
        <v>486234</v>
      </c>
      <c r="W12" s="5">
        <v>2082987</v>
      </c>
      <c r="X12" s="4">
        <v>574120</v>
      </c>
      <c r="Z12" s="9" t="s">
        <v>19</v>
      </c>
      <c r="AA12" s="4">
        <v>50924</v>
      </c>
      <c r="AB12" s="4">
        <v>49798</v>
      </c>
      <c r="AC12" s="4">
        <v>47658</v>
      </c>
      <c r="AD12" s="4">
        <v>46195</v>
      </c>
      <c r="AE12" s="4">
        <v>45414</v>
      </c>
      <c r="AF12" s="4">
        <v>58612</v>
      </c>
      <c r="AG12" s="4">
        <v>59976</v>
      </c>
      <c r="AH12" s="4">
        <v>61586</v>
      </c>
      <c r="AI12" s="4">
        <v>226427</v>
      </c>
      <c r="AJ12" s="4">
        <v>45428</v>
      </c>
      <c r="AL12" s="23">
        <v>4603416</v>
      </c>
      <c r="AM12" s="23"/>
      <c r="AN12" s="23">
        <v>0</v>
      </c>
      <c r="AO12" s="23"/>
      <c r="AP12" s="24">
        <v>-3404872</v>
      </c>
      <c r="AQ12" s="24"/>
      <c r="AR12" s="23">
        <v>1458613</v>
      </c>
      <c r="AS12" s="23"/>
      <c r="AT12" s="23">
        <v>475028</v>
      </c>
      <c r="AU12" s="23"/>
      <c r="AV12" s="24">
        <v>3404872</v>
      </c>
      <c r="AW12" s="24"/>
    </row>
    <row r="13" spans="2:62">
      <c r="B13" s="3" t="s">
        <v>20</v>
      </c>
      <c r="C13" s="4">
        <v>230776</v>
      </c>
      <c r="D13" s="4">
        <v>233917</v>
      </c>
      <c r="E13" s="4">
        <v>239634</v>
      </c>
      <c r="F13" s="4">
        <v>242343</v>
      </c>
      <c r="G13" s="4">
        <v>251030</v>
      </c>
      <c r="H13" s="4">
        <v>252896</v>
      </c>
      <c r="I13" s="4">
        <v>231293</v>
      </c>
      <c r="J13" s="4">
        <v>207976</v>
      </c>
      <c r="K13" s="4">
        <v>714208</v>
      </c>
      <c r="L13" s="4">
        <v>138543</v>
      </c>
      <c r="N13" s="3" t="s">
        <v>20</v>
      </c>
      <c r="O13" s="4">
        <v>491740</v>
      </c>
      <c r="P13" s="4">
        <v>488167</v>
      </c>
      <c r="Q13" s="4">
        <v>486595</v>
      </c>
      <c r="R13" s="4">
        <v>484067</v>
      </c>
      <c r="S13" s="4">
        <v>475823</v>
      </c>
      <c r="T13" s="4">
        <v>462194</v>
      </c>
      <c r="U13" s="4">
        <v>482686</v>
      </c>
      <c r="V13" s="4">
        <v>503851</v>
      </c>
      <c r="W13" s="5">
        <v>2150624</v>
      </c>
      <c r="X13" s="4">
        <v>587592</v>
      </c>
      <c r="Z13" s="9" t="s">
        <v>20</v>
      </c>
      <c r="AA13" s="4">
        <v>47587</v>
      </c>
      <c r="AB13" s="4">
        <v>46224</v>
      </c>
      <c r="AC13" s="4">
        <v>44410</v>
      </c>
      <c r="AD13" s="4">
        <v>42582</v>
      </c>
      <c r="AE13" s="4">
        <v>42256</v>
      </c>
      <c r="AF13" s="4">
        <v>54364</v>
      </c>
      <c r="AG13" s="4">
        <v>55899</v>
      </c>
      <c r="AH13" s="4">
        <v>57289</v>
      </c>
      <c r="AI13" s="4">
        <v>210705</v>
      </c>
      <c r="AJ13" s="4">
        <v>42729</v>
      </c>
      <c r="AL13" s="23">
        <v>4951726</v>
      </c>
      <c r="AM13" s="23"/>
      <c r="AN13" s="23">
        <v>0</v>
      </c>
      <c r="AO13" s="23"/>
      <c r="AP13" s="24">
        <v>-3870723</v>
      </c>
      <c r="AQ13" s="24"/>
      <c r="AR13" s="23">
        <v>1354775</v>
      </c>
      <c r="AS13" s="23"/>
      <c r="AT13" s="23">
        <v>475113</v>
      </c>
      <c r="AU13" s="23"/>
      <c r="AV13" s="24">
        <v>3870723</v>
      </c>
      <c r="AW13" s="24"/>
    </row>
    <row r="14" spans="2:62">
      <c r="B14" s="3" t="s">
        <v>21</v>
      </c>
      <c r="C14" s="4">
        <v>213239</v>
      </c>
      <c r="D14" s="4">
        <v>217328</v>
      </c>
      <c r="E14" s="4">
        <v>222183</v>
      </c>
      <c r="F14" s="4">
        <v>224221</v>
      </c>
      <c r="G14" s="4">
        <v>233675</v>
      </c>
      <c r="H14" s="4">
        <v>234399</v>
      </c>
      <c r="I14" s="4">
        <v>216233</v>
      </c>
      <c r="J14" s="4">
        <v>193447</v>
      </c>
      <c r="K14" s="4">
        <v>661946</v>
      </c>
      <c r="L14" s="4">
        <v>129266</v>
      </c>
      <c r="N14" s="3" t="s">
        <v>21</v>
      </c>
      <c r="O14" s="4">
        <v>510704</v>
      </c>
      <c r="P14" s="4">
        <v>510255</v>
      </c>
      <c r="Q14" s="4">
        <v>507295</v>
      </c>
      <c r="R14" s="4">
        <v>503369</v>
      </c>
      <c r="S14" s="4">
        <v>496324</v>
      </c>
      <c r="T14" s="4">
        <v>484652</v>
      </c>
      <c r="U14" s="4">
        <v>500242</v>
      </c>
      <c r="V14" s="4">
        <v>523089</v>
      </c>
      <c r="W14" s="5">
        <v>2218868</v>
      </c>
      <c r="X14" s="4">
        <v>601492</v>
      </c>
      <c r="Z14" s="9" t="s">
        <v>21</v>
      </c>
      <c r="AA14" s="4">
        <v>44216</v>
      </c>
      <c r="AB14" s="4">
        <v>42480</v>
      </c>
      <c r="AC14" s="4">
        <v>40631</v>
      </c>
      <c r="AD14" s="4">
        <v>39682</v>
      </c>
      <c r="AE14" s="4">
        <v>39452</v>
      </c>
      <c r="AF14" s="4">
        <v>50533</v>
      </c>
      <c r="AG14" s="4">
        <v>51802</v>
      </c>
      <c r="AH14" s="4">
        <v>52971</v>
      </c>
      <c r="AI14" s="4">
        <v>196631</v>
      </c>
      <c r="AJ14" s="4">
        <v>39375</v>
      </c>
      <c r="AL14" s="23">
        <v>5278408</v>
      </c>
      <c r="AM14" s="23"/>
      <c r="AN14" s="23">
        <v>0</v>
      </c>
      <c r="AO14" s="23"/>
      <c r="AP14" s="24">
        <v>-4310353</v>
      </c>
      <c r="AQ14" s="24"/>
      <c r="AR14" s="23">
        <v>1256871</v>
      </c>
      <c r="AS14" s="23"/>
      <c r="AT14" s="23">
        <v>475264</v>
      </c>
      <c r="AU14" s="23"/>
      <c r="AV14" s="24">
        <v>4310353</v>
      </c>
      <c r="AW14" s="24"/>
    </row>
    <row r="15" spans="2:62">
      <c r="B15" s="3" t="s">
        <v>22</v>
      </c>
      <c r="C15" s="4">
        <v>197242</v>
      </c>
      <c r="D15" s="4">
        <v>200815</v>
      </c>
      <c r="E15" s="4">
        <v>204275</v>
      </c>
      <c r="F15" s="4">
        <v>208978</v>
      </c>
      <c r="G15" s="4">
        <v>217034</v>
      </c>
      <c r="H15" s="4">
        <v>219576</v>
      </c>
      <c r="I15" s="4">
        <v>201709</v>
      </c>
      <c r="J15" s="4">
        <v>178996</v>
      </c>
      <c r="K15" s="4">
        <v>617082</v>
      </c>
      <c r="L15" s="4">
        <v>119940</v>
      </c>
      <c r="N15" s="3" t="s">
        <v>22</v>
      </c>
      <c r="O15" s="4">
        <v>530330</v>
      </c>
      <c r="P15" s="4">
        <v>528352</v>
      </c>
      <c r="Q15" s="4">
        <v>526297</v>
      </c>
      <c r="R15" s="4">
        <v>524674</v>
      </c>
      <c r="S15" s="4">
        <v>516706</v>
      </c>
      <c r="T15" s="4">
        <v>501839</v>
      </c>
      <c r="U15" s="4">
        <v>520675</v>
      </c>
      <c r="V15" s="4">
        <v>540911</v>
      </c>
      <c r="W15" s="5">
        <v>2278324</v>
      </c>
      <c r="X15" s="4">
        <v>612322</v>
      </c>
      <c r="Z15" s="9" t="s">
        <v>22</v>
      </c>
      <c r="AA15" s="4">
        <v>41029</v>
      </c>
      <c r="AB15" s="4">
        <v>39603</v>
      </c>
      <c r="AC15" s="4">
        <v>38097</v>
      </c>
      <c r="AD15" s="4">
        <v>36354</v>
      </c>
      <c r="AE15" s="4">
        <v>36566</v>
      </c>
      <c r="AF15" s="4">
        <v>47265</v>
      </c>
      <c r="AG15" s="4">
        <v>48065</v>
      </c>
      <c r="AH15" s="4">
        <v>49174</v>
      </c>
      <c r="AI15" s="4">
        <v>181335</v>
      </c>
      <c r="AJ15" s="4">
        <v>36435</v>
      </c>
      <c r="AL15" s="23">
        <v>5583114</v>
      </c>
      <c r="AM15" s="23"/>
      <c r="AN15" s="23">
        <v>0</v>
      </c>
      <c r="AO15" s="23"/>
      <c r="AP15" s="24">
        <v>-4714783</v>
      </c>
      <c r="AQ15" s="24"/>
      <c r="AR15" s="23">
        <v>1166589</v>
      </c>
      <c r="AS15" s="23"/>
      <c r="AT15" s="23">
        <v>474718</v>
      </c>
      <c r="AU15" s="23"/>
      <c r="AV15" s="24">
        <v>4714783</v>
      </c>
      <c r="AW15" s="24"/>
    </row>
    <row r="16" spans="2:62">
      <c r="B16" s="3" t="s">
        <v>23</v>
      </c>
      <c r="C16" s="4">
        <v>183966</v>
      </c>
      <c r="D16" s="4">
        <v>186635</v>
      </c>
      <c r="E16" s="4">
        <v>189917</v>
      </c>
      <c r="F16" s="4">
        <v>193560</v>
      </c>
      <c r="G16" s="4">
        <v>202942</v>
      </c>
      <c r="H16" s="4">
        <v>205279</v>
      </c>
      <c r="I16" s="4">
        <v>185811</v>
      </c>
      <c r="J16" s="4">
        <v>166712</v>
      </c>
      <c r="K16" s="4">
        <v>572561</v>
      </c>
      <c r="L16" s="4">
        <v>111337</v>
      </c>
      <c r="N16" s="3" t="s">
        <v>23</v>
      </c>
      <c r="O16" s="4">
        <v>547959</v>
      </c>
      <c r="P16" s="4">
        <v>545127</v>
      </c>
      <c r="Q16" s="4">
        <v>544245</v>
      </c>
      <c r="R16" s="4">
        <v>541465</v>
      </c>
      <c r="S16" s="4">
        <v>533122</v>
      </c>
      <c r="T16" s="4">
        <v>521590</v>
      </c>
      <c r="U16" s="4">
        <v>537758</v>
      </c>
      <c r="V16" s="4">
        <v>557186</v>
      </c>
      <c r="W16" s="5">
        <v>2335382</v>
      </c>
      <c r="X16" s="4">
        <v>623162</v>
      </c>
      <c r="Z16" s="9" t="s">
        <v>23</v>
      </c>
      <c r="AA16" s="4">
        <v>37976</v>
      </c>
      <c r="AB16" s="4">
        <v>36578</v>
      </c>
      <c r="AC16" s="4">
        <v>35540</v>
      </c>
      <c r="AD16" s="4">
        <v>34050</v>
      </c>
      <c r="AE16" s="4">
        <v>33591</v>
      </c>
      <c r="AF16" s="4">
        <v>44254</v>
      </c>
      <c r="AG16" s="4">
        <v>44820</v>
      </c>
      <c r="AH16" s="4">
        <v>45565</v>
      </c>
      <c r="AI16" s="4">
        <v>168553</v>
      </c>
      <c r="AJ16" s="4">
        <v>33357</v>
      </c>
      <c r="AL16" s="23">
        <v>5859892</v>
      </c>
      <c r="AM16" s="23"/>
      <c r="AN16" s="23">
        <v>0</v>
      </c>
      <c r="AO16" s="23"/>
      <c r="AP16" s="24">
        <v>-5088276</v>
      </c>
      <c r="AQ16" s="24"/>
      <c r="AR16" s="23">
        <v>1086658</v>
      </c>
      <c r="AS16" s="23"/>
      <c r="AT16" s="23">
        <v>474936</v>
      </c>
      <c r="AU16" s="23"/>
      <c r="AV16" s="24">
        <v>5088276</v>
      </c>
      <c r="AW16" s="24"/>
    </row>
    <row r="17" spans="2:49">
      <c r="B17" s="3" t="s">
        <v>24</v>
      </c>
      <c r="C17" s="4">
        <v>272421</v>
      </c>
      <c r="D17" s="4">
        <v>288259</v>
      </c>
      <c r="E17" s="4">
        <v>304566</v>
      </c>
      <c r="F17" s="4">
        <v>321586</v>
      </c>
      <c r="G17" s="4">
        <v>325635</v>
      </c>
      <c r="H17" s="4">
        <v>202127</v>
      </c>
      <c r="I17" s="4">
        <v>187417</v>
      </c>
      <c r="J17" s="4">
        <v>176262</v>
      </c>
      <c r="K17" s="4">
        <v>653470</v>
      </c>
      <c r="L17" s="4">
        <v>88280</v>
      </c>
      <c r="N17" s="3" t="s">
        <v>24</v>
      </c>
      <c r="O17" s="4">
        <v>389748</v>
      </c>
      <c r="P17" s="4">
        <v>378145</v>
      </c>
      <c r="Q17" s="4">
        <v>363886</v>
      </c>
      <c r="R17" s="4">
        <v>354278</v>
      </c>
      <c r="S17" s="4">
        <v>316963</v>
      </c>
      <c r="T17" s="4">
        <v>283812</v>
      </c>
      <c r="U17" s="4">
        <v>482873</v>
      </c>
      <c r="V17" s="4">
        <v>499783</v>
      </c>
      <c r="W17" s="5">
        <v>2078234</v>
      </c>
      <c r="X17" s="4">
        <v>579572</v>
      </c>
      <c r="Z17" s="9" t="s">
        <v>24</v>
      </c>
      <c r="AA17" s="4">
        <v>107689</v>
      </c>
      <c r="AB17" s="4">
        <v>103015</v>
      </c>
      <c r="AC17" s="4">
        <v>100661</v>
      </c>
      <c r="AD17" s="4">
        <v>93714</v>
      </c>
      <c r="AE17" s="4">
        <v>127687</v>
      </c>
      <c r="AF17" s="4">
        <v>283775</v>
      </c>
      <c r="AG17" s="4">
        <v>98883</v>
      </c>
      <c r="AH17" s="4">
        <v>92777</v>
      </c>
      <c r="AI17" s="4">
        <v>344340</v>
      </c>
      <c r="AJ17" s="4">
        <v>100142</v>
      </c>
      <c r="AL17" s="23">
        <v>0</v>
      </c>
      <c r="AM17" s="23"/>
      <c r="AN17" s="23">
        <v>0</v>
      </c>
      <c r="AO17" s="23"/>
      <c r="AP17" s="24">
        <v>-2907271</v>
      </c>
      <c r="AQ17" s="24"/>
      <c r="AR17" s="23">
        <v>2820023</v>
      </c>
      <c r="AS17" s="23"/>
      <c r="AT17" s="23">
        <v>473903</v>
      </c>
      <c r="AU17" s="23"/>
      <c r="AV17" s="24">
        <v>2907271</v>
      </c>
      <c r="AW17" s="24"/>
    </row>
    <row r="18" spans="2:49">
      <c r="B18" s="3" t="s">
        <v>25</v>
      </c>
      <c r="C18" s="4">
        <v>379857</v>
      </c>
      <c r="D18" s="4">
        <v>390188</v>
      </c>
      <c r="E18" s="4">
        <v>404045</v>
      </c>
      <c r="F18" s="4">
        <v>414664</v>
      </c>
      <c r="G18" s="4">
        <v>451725</v>
      </c>
      <c r="H18" s="4">
        <v>485423</v>
      </c>
      <c r="I18" s="4">
        <v>286786</v>
      </c>
      <c r="J18" s="4">
        <v>268472</v>
      </c>
      <c r="K18" s="4">
        <v>997408</v>
      </c>
      <c r="L18" s="4">
        <v>189622</v>
      </c>
      <c r="N18" s="3" t="s">
        <v>25</v>
      </c>
      <c r="O18" s="4">
        <v>286145</v>
      </c>
      <c r="P18" s="4">
        <v>277311</v>
      </c>
      <c r="Q18" s="4">
        <v>269469</v>
      </c>
      <c r="R18" s="4">
        <v>259289</v>
      </c>
      <c r="S18" s="4">
        <v>234719</v>
      </c>
      <c r="T18" s="4">
        <v>177181</v>
      </c>
      <c r="U18" s="4">
        <v>205850</v>
      </c>
      <c r="V18" s="4">
        <v>410417</v>
      </c>
      <c r="W18" s="5">
        <v>1736144</v>
      </c>
      <c r="X18" s="4">
        <v>480376</v>
      </c>
      <c r="Z18" s="9" t="s">
        <v>25</v>
      </c>
      <c r="AA18" s="4">
        <v>103898</v>
      </c>
      <c r="AB18" s="4">
        <v>100785</v>
      </c>
      <c r="AC18" s="4">
        <v>95658</v>
      </c>
      <c r="AD18" s="4">
        <v>93991</v>
      </c>
      <c r="AE18" s="4">
        <v>82063</v>
      </c>
      <c r="AF18" s="4">
        <v>105666</v>
      </c>
      <c r="AG18" s="4">
        <v>277662</v>
      </c>
      <c r="AH18" s="4">
        <v>89932</v>
      </c>
      <c r="AI18" s="4">
        <v>344007</v>
      </c>
      <c r="AJ18" s="4">
        <v>101247</v>
      </c>
      <c r="AL18" s="23">
        <v>0</v>
      </c>
      <c r="AM18" s="23"/>
      <c r="AN18" s="23">
        <v>0</v>
      </c>
      <c r="AO18" s="23"/>
      <c r="AP18" s="24">
        <v>-68711</v>
      </c>
      <c r="AQ18" s="24"/>
      <c r="AR18" s="23">
        <v>2817166</v>
      </c>
      <c r="AS18" s="23"/>
      <c r="AT18" s="23">
        <v>475588</v>
      </c>
      <c r="AU18" s="23"/>
      <c r="AV18" s="24">
        <v>68711</v>
      </c>
      <c r="AW18" s="24"/>
    </row>
    <row r="19" spans="2:49">
      <c r="B19" s="3" t="s">
        <v>26</v>
      </c>
      <c r="C19" s="4">
        <v>483014</v>
      </c>
      <c r="D19" s="4">
        <v>490774</v>
      </c>
      <c r="E19" s="4">
        <v>500662</v>
      </c>
      <c r="F19" s="4">
        <v>509712</v>
      </c>
      <c r="G19" s="4">
        <v>534331</v>
      </c>
      <c r="H19" s="4">
        <v>590869</v>
      </c>
      <c r="I19" s="4">
        <v>562670</v>
      </c>
      <c r="J19" s="4">
        <v>359021</v>
      </c>
      <c r="K19" s="4">
        <v>1341472</v>
      </c>
      <c r="L19" s="4">
        <v>289977</v>
      </c>
      <c r="N19" s="3" t="s">
        <v>26</v>
      </c>
      <c r="O19" s="4">
        <v>186067</v>
      </c>
      <c r="P19" s="4">
        <v>181152</v>
      </c>
      <c r="Q19" s="4">
        <v>175945</v>
      </c>
      <c r="R19" s="4">
        <v>169292</v>
      </c>
      <c r="S19" s="4">
        <v>152862</v>
      </c>
      <c r="T19" s="4">
        <v>117861</v>
      </c>
      <c r="U19" s="4">
        <v>106974</v>
      </c>
      <c r="V19" s="4">
        <v>139383</v>
      </c>
      <c r="W19" s="5">
        <v>1391420</v>
      </c>
      <c r="X19" s="4">
        <v>378618</v>
      </c>
      <c r="Z19" s="9" t="s">
        <v>26</v>
      </c>
      <c r="AA19" s="4">
        <v>100172</v>
      </c>
      <c r="AB19" s="4">
        <v>96453</v>
      </c>
      <c r="AC19" s="4">
        <v>93561</v>
      </c>
      <c r="AD19" s="4">
        <v>90291</v>
      </c>
      <c r="AE19" s="4">
        <v>81833</v>
      </c>
      <c r="AF19" s="4">
        <v>60314</v>
      </c>
      <c r="AG19" s="4">
        <v>99368</v>
      </c>
      <c r="AH19" s="4">
        <v>270845</v>
      </c>
      <c r="AI19" s="4">
        <v>345224</v>
      </c>
      <c r="AJ19" s="4">
        <v>99863</v>
      </c>
      <c r="AL19" s="23">
        <v>0</v>
      </c>
      <c r="AM19" s="23"/>
      <c r="AN19" s="23">
        <v>0</v>
      </c>
      <c r="AO19" s="23"/>
      <c r="AP19" s="24">
        <v>2662928</v>
      </c>
      <c r="AQ19" s="24"/>
      <c r="AR19" s="23">
        <v>2818741</v>
      </c>
      <c r="AS19" s="23"/>
      <c r="AT19" s="23">
        <v>475426</v>
      </c>
      <c r="AU19" s="23"/>
      <c r="AV19" s="24">
        <v>-2662928</v>
      </c>
      <c r="AW19" s="24"/>
    </row>
    <row r="20" spans="2:49">
      <c r="B20" s="3" t="s">
        <v>27</v>
      </c>
      <c r="C20" s="4">
        <v>582681</v>
      </c>
      <c r="D20" s="4">
        <v>588207</v>
      </c>
      <c r="E20" s="4">
        <v>592535</v>
      </c>
      <c r="F20" s="4">
        <v>598941</v>
      </c>
      <c r="G20" s="4">
        <v>615129</v>
      </c>
      <c r="H20" s="4">
        <v>653387</v>
      </c>
      <c r="I20" s="4">
        <v>662413</v>
      </c>
      <c r="J20" s="4">
        <v>630637</v>
      </c>
      <c r="K20" s="4">
        <v>1685779</v>
      </c>
      <c r="L20" s="4">
        <v>389530</v>
      </c>
      <c r="N20" s="3" t="s">
        <v>27</v>
      </c>
      <c r="O20" s="4">
        <v>91252</v>
      </c>
      <c r="P20" s="4">
        <v>88763</v>
      </c>
      <c r="Q20" s="4">
        <v>85722</v>
      </c>
      <c r="R20" s="4">
        <v>82555</v>
      </c>
      <c r="S20" s="4">
        <v>75221</v>
      </c>
      <c r="T20" s="4">
        <v>56376</v>
      </c>
      <c r="U20" s="4">
        <v>53574</v>
      </c>
      <c r="V20" s="4">
        <v>46935</v>
      </c>
      <c r="W20" s="5">
        <v>344103</v>
      </c>
      <c r="X20" s="4">
        <v>279316</v>
      </c>
      <c r="Z20" s="9" t="s">
        <v>27</v>
      </c>
      <c r="AA20" s="4">
        <v>95991</v>
      </c>
      <c r="AB20" s="4">
        <v>93284</v>
      </c>
      <c r="AC20" s="4">
        <v>90290</v>
      </c>
      <c r="AD20" s="4">
        <v>85981</v>
      </c>
      <c r="AE20" s="4">
        <v>77730</v>
      </c>
      <c r="AF20" s="4">
        <v>60245</v>
      </c>
      <c r="AG20" s="4">
        <v>53203</v>
      </c>
      <c r="AH20" s="4">
        <v>92730</v>
      </c>
      <c r="AI20" s="4">
        <v>1046695</v>
      </c>
      <c r="AJ20" s="4">
        <v>100795</v>
      </c>
      <c r="AL20" s="23">
        <v>0</v>
      </c>
      <c r="AM20" s="23"/>
      <c r="AN20" s="23">
        <v>0</v>
      </c>
      <c r="AO20" s="23"/>
      <c r="AP20" s="24">
        <v>5795422</v>
      </c>
      <c r="AQ20" s="24"/>
      <c r="AR20" s="23">
        <v>2817794</v>
      </c>
      <c r="AS20" s="23"/>
      <c r="AT20" s="23">
        <v>475516</v>
      </c>
      <c r="AU20" s="23"/>
      <c r="AV20" s="24">
        <v>-5795422</v>
      </c>
      <c r="AW20" s="24"/>
    </row>
    <row r="21" spans="2:49">
      <c r="B21" s="3" t="s">
        <v>28</v>
      </c>
      <c r="C21" s="4">
        <v>361928</v>
      </c>
      <c r="D21" s="4">
        <v>368832</v>
      </c>
      <c r="E21" s="4">
        <v>375399</v>
      </c>
      <c r="F21" s="4">
        <v>381881</v>
      </c>
      <c r="G21" s="4">
        <v>395106</v>
      </c>
      <c r="H21" s="4">
        <v>399849</v>
      </c>
      <c r="I21" s="4">
        <v>363130</v>
      </c>
      <c r="J21" s="4">
        <v>324138</v>
      </c>
      <c r="K21" s="4">
        <v>1121721</v>
      </c>
      <c r="L21" s="4">
        <v>218202</v>
      </c>
      <c r="N21" s="3" t="s">
        <v>28</v>
      </c>
      <c r="O21" s="4">
        <v>332508</v>
      </c>
      <c r="P21" s="4">
        <v>327235</v>
      </c>
      <c r="Q21" s="4">
        <v>321741</v>
      </c>
      <c r="R21" s="4">
        <v>319692</v>
      </c>
      <c r="S21" s="4">
        <v>306680</v>
      </c>
      <c r="T21" s="4">
        <v>285308</v>
      </c>
      <c r="U21" s="4">
        <v>318235</v>
      </c>
      <c r="V21" s="4">
        <v>355488</v>
      </c>
      <c r="W21" s="5">
        <v>1624007</v>
      </c>
      <c r="X21" s="4">
        <v>485022</v>
      </c>
      <c r="Z21" s="9" t="s">
        <v>28</v>
      </c>
      <c r="AA21" s="4">
        <v>74664</v>
      </c>
      <c r="AB21" s="4">
        <v>72500</v>
      </c>
      <c r="AC21" s="4">
        <v>69936</v>
      </c>
      <c r="AD21" s="4">
        <v>67617</v>
      </c>
      <c r="AE21" s="4">
        <v>66865</v>
      </c>
      <c r="AF21" s="4">
        <v>85932</v>
      </c>
      <c r="AG21" s="4">
        <v>88031</v>
      </c>
      <c r="AH21" s="4">
        <v>89675</v>
      </c>
      <c r="AI21" s="4">
        <v>331495</v>
      </c>
      <c r="AJ21" s="4">
        <v>67183</v>
      </c>
      <c r="AL21" s="23">
        <v>2331868</v>
      </c>
      <c r="AM21" s="23"/>
      <c r="AN21" s="23">
        <v>0</v>
      </c>
      <c r="AO21" s="23"/>
      <c r="AP21" s="24">
        <v>-365730</v>
      </c>
      <c r="AQ21" s="24"/>
      <c r="AR21" s="23">
        <v>2129724</v>
      </c>
      <c r="AS21" s="23"/>
      <c r="AT21" s="23">
        <v>475981</v>
      </c>
      <c r="AU21" s="23"/>
      <c r="AV21" s="24">
        <v>365730</v>
      </c>
      <c r="AW21" s="24"/>
    </row>
    <row r="22" spans="2:49">
      <c r="B22" s="3" t="s">
        <v>29</v>
      </c>
      <c r="C22" s="4">
        <v>348049</v>
      </c>
      <c r="D22" s="4">
        <v>355262</v>
      </c>
      <c r="E22" s="4">
        <v>362587</v>
      </c>
      <c r="F22" s="4">
        <v>369141</v>
      </c>
      <c r="G22" s="4">
        <v>380867</v>
      </c>
      <c r="H22" s="4">
        <v>383603</v>
      </c>
      <c r="I22" s="4">
        <v>350988</v>
      </c>
      <c r="J22" s="4">
        <v>314481</v>
      </c>
      <c r="K22" s="4">
        <v>1079443</v>
      </c>
      <c r="L22" s="4">
        <v>210450</v>
      </c>
      <c r="N22" s="3" t="s">
        <v>29</v>
      </c>
      <c r="O22" s="4">
        <v>349249</v>
      </c>
      <c r="P22" s="4">
        <v>343695</v>
      </c>
      <c r="Q22" s="4">
        <v>338773</v>
      </c>
      <c r="R22" s="4">
        <v>336660</v>
      </c>
      <c r="S22" s="4">
        <v>323460</v>
      </c>
      <c r="T22" s="4">
        <v>303949</v>
      </c>
      <c r="U22" s="4">
        <v>334529</v>
      </c>
      <c r="V22" s="4">
        <v>368400</v>
      </c>
      <c r="W22" s="5">
        <v>1675624</v>
      </c>
      <c r="X22" s="4">
        <v>494986</v>
      </c>
      <c r="Z22" s="9" t="s">
        <v>29</v>
      </c>
      <c r="AA22" s="4">
        <v>72504</v>
      </c>
      <c r="AB22" s="4">
        <v>69297</v>
      </c>
      <c r="AC22" s="4">
        <v>67313</v>
      </c>
      <c r="AD22" s="4">
        <v>65013</v>
      </c>
      <c r="AE22" s="4">
        <v>64350</v>
      </c>
      <c r="AF22" s="4">
        <v>82972</v>
      </c>
      <c r="AG22" s="4">
        <v>84831</v>
      </c>
      <c r="AH22" s="4">
        <v>86444</v>
      </c>
      <c r="AI22" s="4">
        <v>318820</v>
      </c>
      <c r="AJ22" s="4">
        <v>64260</v>
      </c>
      <c r="AL22" s="23">
        <v>2596586</v>
      </c>
      <c r="AM22" s="23"/>
      <c r="AN22" s="23">
        <v>0</v>
      </c>
      <c r="AO22" s="23"/>
      <c r="AP22" s="24">
        <v>-714454</v>
      </c>
      <c r="AQ22" s="24"/>
      <c r="AR22" s="23">
        <v>2053151</v>
      </c>
      <c r="AS22" s="23"/>
      <c r="AT22" s="23">
        <v>475200</v>
      </c>
      <c r="AU22" s="23"/>
      <c r="AV22" s="24">
        <v>714454</v>
      </c>
      <c r="AW22" s="24"/>
    </row>
    <row r="23" spans="2:49">
      <c r="B23" s="3" t="s">
        <v>30</v>
      </c>
      <c r="C23" s="4">
        <v>335679</v>
      </c>
      <c r="D23" s="4">
        <v>342034</v>
      </c>
      <c r="E23" s="4">
        <v>348755</v>
      </c>
      <c r="F23" s="4">
        <v>354071</v>
      </c>
      <c r="G23" s="4">
        <v>365002</v>
      </c>
      <c r="H23" s="4">
        <v>367976</v>
      </c>
      <c r="I23" s="4">
        <v>339515</v>
      </c>
      <c r="J23" s="4">
        <v>302588</v>
      </c>
      <c r="K23" s="4">
        <v>1040391</v>
      </c>
      <c r="L23" s="4">
        <v>202398</v>
      </c>
      <c r="N23" s="3" t="s">
        <v>30</v>
      </c>
      <c r="O23" s="4">
        <v>364521</v>
      </c>
      <c r="P23" s="4">
        <v>361258</v>
      </c>
      <c r="Q23" s="4">
        <v>356059</v>
      </c>
      <c r="R23" s="4">
        <v>353734</v>
      </c>
      <c r="S23" s="4">
        <v>340704</v>
      </c>
      <c r="T23" s="4">
        <v>321286</v>
      </c>
      <c r="U23" s="4">
        <v>348700</v>
      </c>
      <c r="V23" s="4">
        <v>383975</v>
      </c>
      <c r="W23" s="5">
        <v>1728529</v>
      </c>
      <c r="X23" s="4">
        <v>503938</v>
      </c>
      <c r="Z23" s="9" t="s">
        <v>30</v>
      </c>
      <c r="AA23" s="4">
        <v>69748</v>
      </c>
      <c r="AB23" s="4">
        <v>66972</v>
      </c>
      <c r="AC23" s="4">
        <v>64340</v>
      </c>
      <c r="AD23" s="4">
        <v>62131</v>
      </c>
      <c r="AE23" s="4">
        <v>61854</v>
      </c>
      <c r="AF23" s="4">
        <v>79423</v>
      </c>
      <c r="AG23" s="4">
        <v>81457</v>
      </c>
      <c r="AH23" s="4">
        <v>83474</v>
      </c>
      <c r="AI23" s="4">
        <v>307119</v>
      </c>
      <c r="AJ23" s="4">
        <v>62369</v>
      </c>
      <c r="AL23" s="23">
        <v>2856849</v>
      </c>
      <c r="AM23" s="23"/>
      <c r="AN23" s="23">
        <v>0</v>
      </c>
      <c r="AO23" s="23"/>
      <c r="AP23" s="24">
        <v>-1064295</v>
      </c>
      <c r="AQ23" s="24"/>
      <c r="AR23" s="23">
        <v>1975386</v>
      </c>
      <c r="AS23" s="23"/>
      <c r="AT23" s="23">
        <v>475299</v>
      </c>
      <c r="AU23" s="23"/>
      <c r="AV23" s="24">
        <v>1064295</v>
      </c>
      <c r="AW23" s="24"/>
    </row>
    <row r="24" spans="2:49">
      <c r="B24" s="3" t="s">
        <v>31</v>
      </c>
      <c r="C24" s="4">
        <v>322365</v>
      </c>
      <c r="D24" s="4">
        <v>327477</v>
      </c>
      <c r="E24" s="4">
        <v>333158</v>
      </c>
      <c r="F24" s="4">
        <v>339824</v>
      </c>
      <c r="G24" s="4">
        <v>351297</v>
      </c>
      <c r="H24" s="4">
        <v>356586</v>
      </c>
      <c r="I24" s="4">
        <v>325484</v>
      </c>
      <c r="J24" s="4">
        <v>290103</v>
      </c>
      <c r="K24" s="4">
        <v>1000204</v>
      </c>
      <c r="L24" s="4">
        <v>194691</v>
      </c>
      <c r="N24" s="3" t="s">
        <v>31</v>
      </c>
      <c r="O24" s="4">
        <v>381256</v>
      </c>
      <c r="P24" s="4">
        <v>376811</v>
      </c>
      <c r="Q24" s="4">
        <v>372951</v>
      </c>
      <c r="R24" s="4">
        <v>370173</v>
      </c>
      <c r="S24" s="4">
        <v>357398</v>
      </c>
      <c r="T24" s="4">
        <v>336901</v>
      </c>
      <c r="U24" s="4">
        <v>364689</v>
      </c>
      <c r="V24" s="4">
        <v>399249</v>
      </c>
      <c r="W24" s="5">
        <v>1781869</v>
      </c>
      <c r="X24" s="4">
        <v>514095</v>
      </c>
      <c r="Z24" s="9" t="s">
        <v>31</v>
      </c>
      <c r="AA24" s="4">
        <v>66810</v>
      </c>
      <c r="AB24" s="4">
        <v>64269</v>
      </c>
      <c r="AC24" s="4">
        <v>62291</v>
      </c>
      <c r="AD24" s="4">
        <v>59664</v>
      </c>
      <c r="AE24" s="4">
        <v>60044</v>
      </c>
      <c r="AF24" s="4">
        <v>76865</v>
      </c>
      <c r="AG24" s="4">
        <v>78745</v>
      </c>
      <c r="AH24" s="4">
        <v>80327</v>
      </c>
      <c r="AI24" s="4">
        <v>295175</v>
      </c>
      <c r="AJ24" s="4">
        <v>59229</v>
      </c>
      <c r="AL24" s="23">
        <v>3116471</v>
      </c>
      <c r="AM24" s="23"/>
      <c r="AN24" s="23">
        <v>0</v>
      </c>
      <c r="AO24" s="23"/>
      <c r="AP24" s="24">
        <v>-1414203</v>
      </c>
      <c r="AQ24" s="24"/>
      <c r="AR24" s="23">
        <v>1897785</v>
      </c>
      <c r="AS24" s="23"/>
      <c r="AT24" s="23">
        <v>474126</v>
      </c>
      <c r="AU24" s="23"/>
      <c r="AV24" s="24">
        <v>1414203</v>
      </c>
      <c r="AW24" s="24"/>
    </row>
    <row r="25" spans="2:49">
      <c r="B25" s="3" t="s">
        <v>32</v>
      </c>
      <c r="C25" s="4">
        <v>308330</v>
      </c>
      <c r="D25" s="4">
        <v>314428</v>
      </c>
      <c r="E25" s="4">
        <v>320625</v>
      </c>
      <c r="F25" s="4">
        <v>325397</v>
      </c>
      <c r="G25" s="4">
        <v>340087</v>
      </c>
      <c r="H25" s="4">
        <v>342539</v>
      </c>
      <c r="I25" s="4">
        <v>312356</v>
      </c>
      <c r="J25" s="4">
        <v>279081</v>
      </c>
      <c r="K25" s="4">
        <v>959443</v>
      </c>
      <c r="L25" s="4">
        <v>187693</v>
      </c>
      <c r="N25" s="3" t="s">
        <v>32</v>
      </c>
      <c r="O25" s="4">
        <v>397562</v>
      </c>
      <c r="P25" s="4">
        <v>393043</v>
      </c>
      <c r="Q25" s="4">
        <v>388896</v>
      </c>
      <c r="R25" s="4">
        <v>386888</v>
      </c>
      <c r="S25" s="4">
        <v>372777</v>
      </c>
      <c r="T25" s="4">
        <v>353996</v>
      </c>
      <c r="U25" s="4">
        <v>381130</v>
      </c>
      <c r="V25" s="4">
        <v>412465</v>
      </c>
      <c r="W25" s="5">
        <v>1831802</v>
      </c>
      <c r="X25" s="4">
        <v>526416</v>
      </c>
      <c r="Z25" s="9" t="s">
        <v>32</v>
      </c>
      <c r="AA25" s="4">
        <v>64423</v>
      </c>
      <c r="AB25" s="4">
        <v>62253</v>
      </c>
      <c r="AC25" s="4">
        <v>59589</v>
      </c>
      <c r="AD25" s="4">
        <v>57432</v>
      </c>
      <c r="AE25" s="4">
        <v>56626</v>
      </c>
      <c r="AF25" s="4">
        <v>73458</v>
      </c>
      <c r="AG25" s="4">
        <v>74934</v>
      </c>
      <c r="AH25" s="4">
        <v>76960</v>
      </c>
      <c r="AI25" s="4">
        <v>282566</v>
      </c>
      <c r="AJ25" s="4">
        <v>56805</v>
      </c>
      <c r="AL25" s="23">
        <v>3371187</v>
      </c>
      <c r="AM25" s="23"/>
      <c r="AN25" s="23">
        <v>0</v>
      </c>
      <c r="AO25" s="23"/>
      <c r="AP25" s="24">
        <v>-1754996</v>
      </c>
      <c r="AQ25" s="24"/>
      <c r="AR25" s="23">
        <v>1823669</v>
      </c>
      <c r="AS25" s="23"/>
      <c r="AT25" s="23">
        <v>475218</v>
      </c>
      <c r="AU25" s="23"/>
      <c r="AV25" s="24">
        <v>1754996</v>
      </c>
      <c r="AW25" s="24"/>
    </row>
    <row r="26" spans="2:49">
      <c r="B26" s="3" t="s">
        <v>33</v>
      </c>
      <c r="C26" s="4">
        <v>271154</v>
      </c>
      <c r="D26" s="4">
        <v>288166</v>
      </c>
      <c r="E26" s="4">
        <v>305445</v>
      </c>
      <c r="F26" s="4">
        <v>322960</v>
      </c>
      <c r="G26" s="4">
        <v>325111</v>
      </c>
      <c r="H26" s="4">
        <v>201359</v>
      </c>
      <c r="I26" s="4">
        <v>187221</v>
      </c>
      <c r="J26" s="4">
        <v>176452</v>
      </c>
      <c r="K26" s="4">
        <v>653739</v>
      </c>
      <c r="L26" s="4">
        <v>88760</v>
      </c>
      <c r="N26" s="3" t="s">
        <v>33</v>
      </c>
      <c r="O26" s="4">
        <v>389246</v>
      </c>
      <c r="P26" s="4">
        <v>377614</v>
      </c>
      <c r="Q26" s="4">
        <v>364568</v>
      </c>
      <c r="R26" s="4">
        <v>354607</v>
      </c>
      <c r="S26" s="4">
        <v>316549</v>
      </c>
      <c r="T26" s="4">
        <v>284672</v>
      </c>
      <c r="U26" s="4">
        <v>481571</v>
      </c>
      <c r="V26" s="4">
        <v>499554</v>
      </c>
      <c r="W26" s="5">
        <v>2077054</v>
      </c>
      <c r="X26" s="4">
        <v>580468</v>
      </c>
      <c r="Z26" s="9" t="s">
        <v>33</v>
      </c>
      <c r="AA26" s="4">
        <v>107620</v>
      </c>
      <c r="AB26" s="4">
        <v>103680</v>
      </c>
      <c r="AC26" s="4">
        <v>100885</v>
      </c>
      <c r="AD26" s="4">
        <v>93690</v>
      </c>
      <c r="AE26" s="4">
        <v>128156</v>
      </c>
      <c r="AF26" s="4">
        <v>283155</v>
      </c>
      <c r="AG26" s="4">
        <v>99647</v>
      </c>
      <c r="AH26" s="4">
        <v>92855</v>
      </c>
      <c r="AI26" s="4">
        <v>343799</v>
      </c>
      <c r="AJ26" s="4">
        <v>100243</v>
      </c>
      <c r="AL26" s="23">
        <v>0</v>
      </c>
      <c r="AM26" s="23"/>
      <c r="AN26" s="23">
        <v>0</v>
      </c>
      <c r="AO26" s="23"/>
      <c r="AP26" s="24">
        <v>-2905536</v>
      </c>
      <c r="AQ26" s="24"/>
      <c r="AR26" s="23">
        <v>2820367</v>
      </c>
      <c r="AS26" s="23"/>
      <c r="AT26" s="23">
        <v>475302</v>
      </c>
      <c r="AU26" s="23"/>
      <c r="AV26" s="24">
        <v>2905536</v>
      </c>
      <c r="AW26" s="24"/>
    </row>
    <row r="27" spans="2:49">
      <c r="B27" s="3" t="s">
        <v>34</v>
      </c>
      <c r="C27" s="4">
        <v>379473</v>
      </c>
      <c r="D27" s="4">
        <v>393358</v>
      </c>
      <c r="E27" s="4">
        <v>405051</v>
      </c>
      <c r="F27" s="4">
        <v>415263</v>
      </c>
      <c r="G27" s="4">
        <v>452351</v>
      </c>
      <c r="H27" s="4">
        <v>485080</v>
      </c>
      <c r="I27" s="4">
        <v>286619</v>
      </c>
      <c r="J27" s="4">
        <v>269720</v>
      </c>
      <c r="K27" s="4">
        <v>997385</v>
      </c>
      <c r="L27" s="4">
        <v>189031</v>
      </c>
      <c r="N27" s="3" t="s">
        <v>34</v>
      </c>
      <c r="O27" s="4">
        <v>286495</v>
      </c>
      <c r="P27" s="4">
        <v>277677</v>
      </c>
      <c r="Q27" s="4">
        <v>268078</v>
      </c>
      <c r="R27" s="4">
        <v>259151</v>
      </c>
      <c r="S27" s="4">
        <v>235005</v>
      </c>
      <c r="T27" s="4">
        <v>177722</v>
      </c>
      <c r="U27" s="4">
        <v>205353</v>
      </c>
      <c r="V27" s="4">
        <v>410213</v>
      </c>
      <c r="W27" s="5">
        <v>1735595</v>
      </c>
      <c r="X27" s="4">
        <v>479520</v>
      </c>
      <c r="Z27" s="9" t="s">
        <v>34</v>
      </c>
      <c r="AA27" s="4">
        <v>103320</v>
      </c>
      <c r="AB27" s="4">
        <v>100767</v>
      </c>
      <c r="AC27" s="4">
        <v>95477</v>
      </c>
      <c r="AD27" s="4">
        <v>94119</v>
      </c>
      <c r="AE27" s="4">
        <v>81615</v>
      </c>
      <c r="AF27" s="4">
        <v>105594</v>
      </c>
      <c r="AG27" s="4">
        <v>276701</v>
      </c>
      <c r="AH27" s="4">
        <v>90164</v>
      </c>
      <c r="AI27" s="4">
        <v>343513</v>
      </c>
      <c r="AJ27" s="4">
        <v>100590</v>
      </c>
      <c r="AL27" s="23">
        <v>0</v>
      </c>
      <c r="AM27" s="23"/>
      <c r="AN27" s="23">
        <v>0</v>
      </c>
      <c r="AO27" s="23"/>
      <c r="AP27" s="24">
        <v>-61478</v>
      </c>
      <c r="AQ27" s="24"/>
      <c r="AR27" s="23">
        <v>2821061</v>
      </c>
      <c r="AS27" s="23"/>
      <c r="AT27" s="23">
        <v>474675</v>
      </c>
      <c r="AU27" s="23"/>
      <c r="AV27" s="24">
        <v>61478</v>
      </c>
      <c r="AW27" s="24"/>
    </row>
    <row r="28" spans="2:49">
      <c r="B28" s="3" t="s">
        <v>35</v>
      </c>
      <c r="C28" s="4">
        <v>483286</v>
      </c>
      <c r="D28" s="4">
        <v>492283</v>
      </c>
      <c r="E28" s="4">
        <v>500802</v>
      </c>
      <c r="F28" s="4">
        <v>510167</v>
      </c>
      <c r="G28" s="4">
        <v>534564</v>
      </c>
      <c r="H28" s="4">
        <v>591136</v>
      </c>
      <c r="I28" s="4">
        <v>564029</v>
      </c>
      <c r="J28" s="4">
        <v>359290</v>
      </c>
      <c r="K28" s="4">
        <v>1340347</v>
      </c>
      <c r="L28" s="4">
        <v>290813</v>
      </c>
      <c r="N28" s="3" t="s">
        <v>35</v>
      </c>
      <c r="O28" s="4">
        <v>185638</v>
      </c>
      <c r="P28" s="4">
        <v>181343</v>
      </c>
      <c r="Q28" s="4">
        <v>175922</v>
      </c>
      <c r="R28" s="4">
        <v>169399</v>
      </c>
      <c r="S28" s="4">
        <v>152772</v>
      </c>
      <c r="T28" s="4">
        <v>116063</v>
      </c>
      <c r="U28" s="4">
        <v>106795</v>
      </c>
      <c r="V28" s="4">
        <v>139351</v>
      </c>
      <c r="W28" s="5">
        <v>1390734</v>
      </c>
      <c r="X28" s="4">
        <v>379408</v>
      </c>
      <c r="Z28" s="9" t="s">
        <v>35</v>
      </c>
      <c r="AA28" s="4">
        <v>99968</v>
      </c>
      <c r="AB28" s="4">
        <v>96606</v>
      </c>
      <c r="AC28" s="4">
        <v>92908</v>
      </c>
      <c r="AD28" s="4">
        <v>90444</v>
      </c>
      <c r="AE28" s="4">
        <v>81712</v>
      </c>
      <c r="AF28" s="4">
        <v>60160</v>
      </c>
      <c r="AG28" s="4">
        <v>98636</v>
      </c>
      <c r="AH28" s="4">
        <v>271477</v>
      </c>
      <c r="AI28" s="4">
        <v>343981</v>
      </c>
      <c r="AJ28" s="4">
        <v>99966</v>
      </c>
      <c r="AL28" s="23">
        <v>0</v>
      </c>
      <c r="AM28" s="23"/>
      <c r="AN28" s="23">
        <v>0</v>
      </c>
      <c r="AO28" s="23"/>
      <c r="AP28" s="24">
        <v>2669292</v>
      </c>
      <c r="AQ28" s="24"/>
      <c r="AR28" s="23">
        <v>2819990</v>
      </c>
      <c r="AS28" s="23"/>
      <c r="AT28" s="23">
        <v>475454</v>
      </c>
      <c r="AU28" s="23"/>
      <c r="AV28" s="24">
        <v>-2669292</v>
      </c>
      <c r="AW28" s="24"/>
    </row>
    <row r="29" spans="2:49">
      <c r="B29" s="3" t="s">
        <v>36</v>
      </c>
      <c r="C29" s="4">
        <v>581854</v>
      </c>
      <c r="D29" s="4">
        <v>588658</v>
      </c>
      <c r="E29" s="4">
        <v>592854</v>
      </c>
      <c r="F29" s="4">
        <v>599665</v>
      </c>
      <c r="G29" s="4">
        <v>617535</v>
      </c>
      <c r="H29" s="4">
        <v>651843</v>
      </c>
      <c r="I29" s="4">
        <v>662141</v>
      </c>
      <c r="J29" s="4">
        <v>630344</v>
      </c>
      <c r="K29" s="4">
        <v>1686385</v>
      </c>
      <c r="L29" s="4">
        <v>389202</v>
      </c>
      <c r="N29" s="3" t="s">
        <v>36</v>
      </c>
      <c r="O29" s="4">
        <v>91051</v>
      </c>
      <c r="P29" s="4">
        <v>88239</v>
      </c>
      <c r="Q29" s="4">
        <v>86561</v>
      </c>
      <c r="R29" s="4">
        <v>82760</v>
      </c>
      <c r="S29" s="4">
        <v>75212</v>
      </c>
      <c r="T29" s="4">
        <v>56490</v>
      </c>
      <c r="U29" s="4">
        <v>53208</v>
      </c>
      <c r="V29" s="4">
        <v>46748</v>
      </c>
      <c r="W29" s="5">
        <v>344204</v>
      </c>
      <c r="X29" s="4">
        <v>278729</v>
      </c>
      <c r="Z29" s="9" t="s">
        <v>36</v>
      </c>
      <c r="AA29" s="4">
        <v>94978</v>
      </c>
      <c r="AB29" s="4">
        <v>92745</v>
      </c>
      <c r="AC29" s="4">
        <v>89634</v>
      </c>
      <c r="AD29" s="4">
        <v>85970</v>
      </c>
      <c r="AE29" s="4">
        <v>78151</v>
      </c>
      <c r="AF29" s="4">
        <v>60736</v>
      </c>
      <c r="AG29" s="4">
        <v>53413</v>
      </c>
      <c r="AH29" s="4">
        <v>92366</v>
      </c>
      <c r="AI29" s="4">
        <v>1047813</v>
      </c>
      <c r="AJ29" s="4">
        <v>100511</v>
      </c>
      <c r="AL29" s="23">
        <v>0</v>
      </c>
      <c r="AM29" s="23"/>
      <c r="AN29" s="23">
        <v>0</v>
      </c>
      <c r="AO29" s="23"/>
      <c r="AP29" s="24">
        <v>5797279</v>
      </c>
      <c r="AQ29" s="24"/>
      <c r="AR29" s="23">
        <v>2819397</v>
      </c>
      <c r="AS29" s="23"/>
      <c r="AT29" s="23">
        <v>474986</v>
      </c>
      <c r="AU29" s="23"/>
      <c r="AV29" s="24">
        <v>-5797279</v>
      </c>
      <c r="AW29" s="24"/>
    </row>
    <row r="30" spans="2:49">
      <c r="B30" s="3" t="s">
        <v>37</v>
      </c>
      <c r="C30" s="4">
        <v>768999</v>
      </c>
      <c r="D30" s="4">
        <v>769539</v>
      </c>
      <c r="E30" s="4">
        <v>771664</v>
      </c>
      <c r="F30" s="4">
        <v>769713</v>
      </c>
      <c r="G30" s="4">
        <v>768089</v>
      </c>
      <c r="H30" s="4">
        <v>767686</v>
      </c>
      <c r="I30" s="4">
        <v>770800</v>
      </c>
      <c r="J30" s="4">
        <v>767720</v>
      </c>
      <c r="K30" s="4">
        <v>2840028</v>
      </c>
      <c r="L30" s="4">
        <v>531776</v>
      </c>
      <c r="N30" s="3" t="s">
        <v>37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5">
        <v>0</v>
      </c>
      <c r="X30" s="4">
        <v>0</v>
      </c>
      <c r="Z30" s="9" t="s">
        <v>37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237406</v>
      </c>
      <c r="AJ30" s="4">
        <v>236580</v>
      </c>
      <c r="AL30" s="23">
        <v>0</v>
      </c>
      <c r="AM30" s="23"/>
      <c r="AN30" s="23">
        <v>10000000</v>
      </c>
      <c r="AO30" s="23"/>
      <c r="AP30" s="24">
        <v>4763007</v>
      </c>
      <c r="AQ30" s="24"/>
      <c r="AR30" s="23">
        <v>0</v>
      </c>
      <c r="AS30" s="23"/>
      <c r="AT30" s="23">
        <v>473986</v>
      </c>
      <c r="AU30" s="23"/>
      <c r="AV30" s="24">
        <v>-4763007</v>
      </c>
      <c r="AW30" s="24"/>
    </row>
    <row r="32" spans="2:49">
      <c r="B32" s="1" t="s">
        <v>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N32" s="1" t="s">
        <v>39</v>
      </c>
      <c r="O32" s="1"/>
      <c r="P32" s="1"/>
      <c r="Q32" s="1"/>
      <c r="R32" s="1"/>
      <c r="S32" s="1"/>
      <c r="T32" s="1"/>
      <c r="U32" s="1"/>
      <c r="V32" s="1"/>
      <c r="W32" s="1"/>
      <c r="X32" s="1"/>
      <c r="Z32" s="13" t="s">
        <v>40</v>
      </c>
      <c r="AA32" s="14"/>
      <c r="AB32" s="14"/>
      <c r="AC32" s="14"/>
      <c r="AD32" s="14"/>
      <c r="AE32" s="14"/>
      <c r="AF32" s="14"/>
      <c r="AG32" s="14"/>
      <c r="AH32" s="14"/>
      <c r="AI32" s="14"/>
      <c r="AJ32" s="15"/>
    </row>
    <row r="33" spans="2:36">
      <c r="B33" s="2"/>
      <c r="C33" s="3">
        <v>2</v>
      </c>
      <c r="D33" s="3">
        <v>3</v>
      </c>
      <c r="E33" s="3">
        <v>4</v>
      </c>
      <c r="F33" s="3">
        <v>5</v>
      </c>
      <c r="G33" s="3">
        <v>6</v>
      </c>
      <c r="H33" s="3">
        <v>7</v>
      </c>
      <c r="I33" s="3">
        <v>8</v>
      </c>
      <c r="J33" s="3">
        <v>9</v>
      </c>
      <c r="K33" s="3">
        <v>10</v>
      </c>
      <c r="L33" s="3" t="s">
        <v>7</v>
      </c>
      <c r="N33" s="6"/>
      <c r="O33" s="7">
        <v>2</v>
      </c>
      <c r="P33" s="7">
        <v>3</v>
      </c>
      <c r="Q33" s="7">
        <v>4</v>
      </c>
      <c r="R33" s="7">
        <v>5</v>
      </c>
      <c r="S33" s="7">
        <v>6</v>
      </c>
      <c r="T33" s="7">
        <v>7</v>
      </c>
      <c r="U33" s="7">
        <v>8</v>
      </c>
      <c r="V33" s="7">
        <v>9</v>
      </c>
      <c r="W33" s="7">
        <v>10</v>
      </c>
      <c r="X33" s="8" t="s">
        <v>7</v>
      </c>
      <c r="Z33" s="2"/>
      <c r="AA33" s="10">
        <v>2</v>
      </c>
      <c r="AB33" s="10">
        <v>3</v>
      </c>
      <c r="AC33" s="10">
        <v>4</v>
      </c>
      <c r="AD33" s="10">
        <v>5</v>
      </c>
      <c r="AE33" s="10">
        <v>6</v>
      </c>
      <c r="AF33" s="10">
        <v>7</v>
      </c>
      <c r="AG33" s="10">
        <v>8</v>
      </c>
      <c r="AH33" s="10">
        <v>9</v>
      </c>
      <c r="AI33" s="10">
        <v>10</v>
      </c>
      <c r="AJ33" s="10" t="s">
        <v>7</v>
      </c>
    </row>
    <row r="34" spans="2:36">
      <c r="B34" s="3" t="s">
        <v>11</v>
      </c>
      <c r="C34" s="17">
        <f>C4/(C4+O4+AA4)</f>
        <v>0.37135720449559695</v>
      </c>
      <c r="D34" s="17">
        <f t="shared" ref="D34:L34" si="0">D4/(D4+P4+AB4)</f>
        <v>0.37711453773106951</v>
      </c>
      <c r="E34" s="17">
        <f t="shared" si="0"/>
        <v>0.38661257343156663</v>
      </c>
      <c r="F34" s="17">
        <f t="shared" si="0"/>
        <v>0.39299758528431583</v>
      </c>
      <c r="G34" s="17">
        <f t="shared" si="0"/>
        <v>0.40610349977274202</v>
      </c>
      <c r="H34" s="17">
        <f t="shared" si="0"/>
        <v>0.4075157439657886</v>
      </c>
      <c r="I34" s="17">
        <f t="shared" si="0"/>
        <v>0.37227636401512931</v>
      </c>
      <c r="J34" s="17">
        <f t="shared" si="0"/>
        <v>0.33036710345311804</v>
      </c>
      <c r="K34" s="17">
        <f t="shared" si="0"/>
        <v>0.28558160205287936</v>
      </c>
      <c r="L34" s="17">
        <f t="shared" si="0"/>
        <v>0.22086993373901989</v>
      </c>
      <c r="N34" s="3" t="s">
        <v>11</v>
      </c>
      <c r="O34" s="17">
        <f>O4/(C4+O4+AA4)</f>
        <v>0.55010760737344433</v>
      </c>
      <c r="P34" s="17">
        <f t="shared" ref="P34:X34" si="1">P4/(D4+P4+AB4)</f>
        <v>0.54699593395601398</v>
      </c>
      <c r="Q34" s="17">
        <f t="shared" si="1"/>
        <v>0.54066924150465745</v>
      </c>
      <c r="R34" s="17">
        <f t="shared" si="1"/>
        <v>0.53631200421401792</v>
      </c>
      <c r="S34" s="17">
        <f t="shared" si="1"/>
        <v>0.52346341146678788</v>
      </c>
      <c r="T34" s="17">
        <f t="shared" si="1"/>
        <v>0.5002367122489485</v>
      </c>
      <c r="U34" s="17">
        <f t="shared" si="1"/>
        <v>0.53413276565826218</v>
      </c>
      <c r="V34" s="17">
        <f t="shared" si="1"/>
        <v>0.57553484453297477</v>
      </c>
      <c r="W34" s="17">
        <f t="shared" si="1"/>
        <v>0.62869236144477336</v>
      </c>
      <c r="X34" s="17">
        <f t="shared" si="1"/>
        <v>0.70943188717043382</v>
      </c>
      <c r="Z34" s="9" t="s">
        <v>11</v>
      </c>
      <c r="AA34" s="17">
        <f>AA4/(C4+O4+AA4)</f>
        <v>7.8535188130958694E-2</v>
      </c>
      <c r="AB34" s="17">
        <f t="shared" ref="AB34:AJ34" si="2">AB4/(D4+P4+AB4)</f>
        <v>7.588952831291651E-2</v>
      </c>
      <c r="AC34" s="17">
        <f t="shared" si="2"/>
        <v>7.271818506377592E-2</v>
      </c>
      <c r="AD34" s="17">
        <f t="shared" si="2"/>
        <v>7.0690410501666315E-2</v>
      </c>
      <c r="AE34" s="17">
        <f t="shared" si="2"/>
        <v>7.0433088760470094E-2</v>
      </c>
      <c r="AF34" s="17">
        <f t="shared" si="2"/>
        <v>9.2247543785262967E-2</v>
      </c>
      <c r="AG34" s="17">
        <f t="shared" si="2"/>
        <v>9.3590870326608469E-2</v>
      </c>
      <c r="AH34" s="17">
        <f t="shared" si="2"/>
        <v>9.4098052013907127E-2</v>
      </c>
      <c r="AI34" s="17">
        <f t="shared" si="2"/>
        <v>8.5726036502347308E-2</v>
      </c>
      <c r="AJ34" s="17">
        <f t="shared" si="2"/>
        <v>6.9698179090546278E-2</v>
      </c>
    </row>
    <row r="35" spans="2:36">
      <c r="B35" s="3" t="s">
        <v>12</v>
      </c>
      <c r="C35" s="17">
        <f t="shared" ref="C35:C60" si="3">C5/(C5+O5+AA5)</f>
        <v>0.35923729629446527</v>
      </c>
      <c r="D35" s="17">
        <f t="shared" ref="D35:D60" si="4">D5/(D5+P5+AB5)</f>
        <v>0.36572245038179857</v>
      </c>
      <c r="E35" s="17">
        <f t="shared" ref="E35:E60" si="5">E5/(E5+Q5+AC5)</f>
        <v>0.37122561184545255</v>
      </c>
      <c r="F35" s="17">
        <f t="shared" ref="F35:F60" si="6">F5/(F5+R5+AD5)</f>
        <v>0.37987664954841432</v>
      </c>
      <c r="G35" s="17">
        <f t="shared" ref="G35:G60" si="7">G5/(G5+S5+AE5)</f>
        <v>0.39180790777080315</v>
      </c>
      <c r="H35" s="17">
        <f t="shared" ref="H35:H60" si="8">H5/(H5+T5+AF5)</f>
        <v>0.3966282026614526</v>
      </c>
      <c r="I35" s="17">
        <f t="shared" ref="I35:I60" si="9">I5/(I5+U5+AG5)</f>
        <v>0.36093799624093426</v>
      </c>
      <c r="J35" s="17">
        <f t="shared" ref="J35:J60" si="10">J5/(J5+V5+AH5)</f>
        <v>0.32073787795134939</v>
      </c>
      <c r="K35" s="17">
        <f t="shared" ref="K35:K60" si="11">K5/(K5+W5+AI5)</f>
        <v>0.27577788028575706</v>
      </c>
      <c r="L35" s="17">
        <f t="shared" ref="L35:L60" si="12">L5/(L5+X5+AJ5)</f>
        <v>0.21506220290323674</v>
      </c>
      <c r="N35" s="3" t="s">
        <v>12</v>
      </c>
      <c r="O35" s="17">
        <f t="shared" ref="O35:O60" si="13">O5/(C5+O5+AA5)</f>
        <v>0.56598979488287016</v>
      </c>
      <c r="P35" s="17">
        <f t="shared" ref="P35:P60" si="14">P5/(D5+P5+AB5)</f>
        <v>0.56167986175091222</v>
      </c>
      <c r="Q35" s="17">
        <f t="shared" ref="Q35:Q60" si="15">Q5/(E5+Q5+AC5)</f>
        <v>0.55841994870570155</v>
      </c>
      <c r="R35" s="17">
        <f t="shared" ref="R35:R60" si="16">R5/(F5+R5+AD5)</f>
        <v>0.55293996536388124</v>
      </c>
      <c r="S35" s="17">
        <f t="shared" ref="S35:S60" si="17">S5/(G5+S5+AE5)</f>
        <v>0.54041064322854115</v>
      </c>
      <c r="T35" s="17">
        <f t="shared" ref="T35:T60" si="18">T5/(H5+T5+AF5)</f>
        <v>0.51539123561499944</v>
      </c>
      <c r="U35" s="17">
        <f t="shared" ref="U35:U60" si="19">U5/(I5+U5+AG5)</f>
        <v>0.54840578125569461</v>
      </c>
      <c r="V35" s="17">
        <f t="shared" ref="V35:V60" si="20">V5/(J5+V5+AH5)</f>
        <v>0.58812769965249589</v>
      </c>
      <c r="W35" s="17">
        <f t="shared" ref="W35:W60" si="21">W5/(K5+W5+AI5)</f>
        <v>0.64127668097486168</v>
      </c>
      <c r="X35" s="17">
        <f t="shared" ref="X35:X60" si="22">X5/(L5+X5+AJ5)</f>
        <v>0.71717691908537873</v>
      </c>
      <c r="Z35" s="9" t="s">
        <v>12</v>
      </c>
      <c r="AA35" s="17">
        <f t="shared" ref="AA35:AA60" si="23">AA5/(C5+O5+AA5)</f>
        <v>7.477290882266463E-2</v>
      </c>
      <c r="AB35" s="17">
        <f t="shared" ref="AB35:AB60" si="24">AB5/(D5+P5+AB5)</f>
        <v>7.2597687867289207E-2</v>
      </c>
      <c r="AC35" s="17">
        <f t="shared" ref="AC35:AC60" si="25">AC5/(E5+Q5+AC5)</f>
        <v>7.0354439448845882E-2</v>
      </c>
      <c r="AD35" s="17">
        <f t="shared" ref="AD35:AD60" si="26">AD5/(F5+R5+AD5)</f>
        <v>6.7183385087704439E-2</v>
      </c>
      <c r="AE35" s="17">
        <f t="shared" ref="AE35:AE60" si="27">AE5/(G5+S5+AE5)</f>
        <v>6.7781449000655622E-2</v>
      </c>
      <c r="AF35" s="17">
        <f t="shared" ref="AF35:AF60" si="28">AF5/(H5+T5+AF5)</f>
        <v>8.7980561723547984E-2</v>
      </c>
      <c r="AG35" s="17">
        <f t="shared" ref="AG35:AG60" si="29">AG5/(I5+U5+AG5)</f>
        <v>9.0656222503371187E-2</v>
      </c>
      <c r="AH35" s="17">
        <f t="shared" ref="AH35:AH60" si="30">AH5/(J5+V5+AH5)</f>
        <v>9.1134422396154727E-2</v>
      </c>
      <c r="AI35" s="17">
        <f t="shared" ref="AI35:AI60" si="31">AI5/(K5+W5+AI5)</f>
        <v>8.2945438739381247E-2</v>
      </c>
      <c r="AJ35" s="17">
        <f t="shared" ref="AJ35:AJ60" si="32">AJ5/(L5+X5+AJ5)</f>
        <v>6.7760878011384529E-2</v>
      </c>
    </row>
    <row r="36" spans="2:36">
      <c r="B36" s="3" t="s">
        <v>13</v>
      </c>
      <c r="C36" s="17">
        <f t="shared" si="3"/>
        <v>0.34031532732078384</v>
      </c>
      <c r="D36" s="17">
        <f t="shared" si="4"/>
        <v>0.34675181140362837</v>
      </c>
      <c r="E36" s="17">
        <f t="shared" si="5"/>
        <v>0.35510301270190725</v>
      </c>
      <c r="F36" s="17">
        <f t="shared" si="6"/>
        <v>0.36196369272216167</v>
      </c>
      <c r="G36" s="17">
        <f t="shared" si="7"/>
        <v>0.37597962153158387</v>
      </c>
      <c r="H36" s="17">
        <f t="shared" si="8"/>
        <v>0.36911809256589051</v>
      </c>
      <c r="I36" s="17">
        <f t="shared" si="9"/>
        <v>0.33556094795210306</v>
      </c>
      <c r="J36" s="17">
        <f t="shared" si="10"/>
        <v>0.29953676399905432</v>
      </c>
      <c r="K36" s="17">
        <f t="shared" si="11"/>
        <v>0.25868201122372975</v>
      </c>
      <c r="L36" s="17">
        <f t="shared" si="12"/>
        <v>0.19872516569205848</v>
      </c>
      <c r="N36" s="3" t="s">
        <v>13</v>
      </c>
      <c r="O36" s="17">
        <f t="shared" si="13"/>
        <v>0.58472195317283981</v>
      </c>
      <c r="P36" s="17">
        <f t="shared" si="14"/>
        <v>0.58102711358562464</v>
      </c>
      <c r="Q36" s="17">
        <f t="shared" si="15"/>
        <v>0.57479187973133683</v>
      </c>
      <c r="R36" s="17">
        <f t="shared" si="16"/>
        <v>0.57086186227574498</v>
      </c>
      <c r="S36" s="17">
        <f t="shared" si="17"/>
        <v>0.55467611212318624</v>
      </c>
      <c r="T36" s="17">
        <f t="shared" si="18"/>
        <v>0.53136258852684315</v>
      </c>
      <c r="U36" s="17">
        <f t="shared" si="19"/>
        <v>0.57721617094763999</v>
      </c>
      <c r="V36" s="17">
        <f t="shared" si="20"/>
        <v>0.61206647943237347</v>
      </c>
      <c r="W36" s="17">
        <f t="shared" si="21"/>
        <v>0.66105772668125207</v>
      </c>
      <c r="X36" s="17">
        <f t="shared" si="22"/>
        <v>0.73385916240031823</v>
      </c>
      <c r="Z36" s="9" t="s">
        <v>13</v>
      </c>
      <c r="AA36" s="17">
        <f t="shared" si="23"/>
        <v>7.4962719506376368E-2</v>
      </c>
      <c r="AB36" s="17">
        <f t="shared" si="24"/>
        <v>7.2221075010746996E-2</v>
      </c>
      <c r="AC36" s="17">
        <f t="shared" si="25"/>
        <v>7.010510756675592E-2</v>
      </c>
      <c r="AD36" s="17">
        <f t="shared" si="26"/>
        <v>6.7174445002093353E-2</v>
      </c>
      <c r="AE36" s="17">
        <f t="shared" si="27"/>
        <v>6.9344266345229874E-2</v>
      </c>
      <c r="AF36" s="17">
        <f t="shared" si="28"/>
        <v>9.9519318907266383E-2</v>
      </c>
      <c r="AG36" s="17">
        <f t="shared" si="29"/>
        <v>8.7222881100256958E-2</v>
      </c>
      <c r="AH36" s="17">
        <f t="shared" si="30"/>
        <v>8.8396756568572182E-2</v>
      </c>
      <c r="AI36" s="17">
        <f t="shared" si="31"/>
        <v>8.0260262095018214E-2</v>
      </c>
      <c r="AJ36" s="17">
        <f t="shared" si="32"/>
        <v>6.7415671907623265E-2</v>
      </c>
    </row>
    <row r="37" spans="2:36">
      <c r="B37" s="3" t="s">
        <v>14</v>
      </c>
      <c r="C37" s="17">
        <f t="shared" si="3"/>
        <v>0.37147602037037275</v>
      </c>
      <c r="D37" s="17">
        <f t="shared" si="4"/>
        <v>0.38219120602460194</v>
      </c>
      <c r="E37" s="17">
        <f t="shared" si="5"/>
        <v>0.39476780661267608</v>
      </c>
      <c r="F37" s="17">
        <f t="shared" si="6"/>
        <v>0.40765922110275654</v>
      </c>
      <c r="G37" s="17">
        <f t="shared" si="7"/>
        <v>0.42145216667533686</v>
      </c>
      <c r="H37" s="17">
        <f t="shared" si="8"/>
        <v>0.37976243457711639</v>
      </c>
      <c r="I37" s="17">
        <f t="shared" si="9"/>
        <v>0.33550310887409257</v>
      </c>
      <c r="J37" s="17">
        <f t="shared" si="10"/>
        <v>0.30395320300986189</v>
      </c>
      <c r="K37" s="17">
        <f t="shared" si="11"/>
        <v>0.26571314793920486</v>
      </c>
      <c r="L37" s="17">
        <f t="shared" si="12"/>
        <v>0.19271499921960356</v>
      </c>
      <c r="N37" s="3" t="s">
        <v>14</v>
      </c>
      <c r="O37" s="17">
        <f t="shared" si="13"/>
        <v>0.52974144596380479</v>
      </c>
      <c r="P37" s="17">
        <f t="shared" si="14"/>
        <v>0.5224967750400441</v>
      </c>
      <c r="Q37" s="17">
        <f t="shared" si="15"/>
        <v>0.51338961475083367</v>
      </c>
      <c r="R37" s="17">
        <f t="shared" si="16"/>
        <v>0.50423962475914907</v>
      </c>
      <c r="S37" s="17">
        <f t="shared" si="17"/>
        <v>0.47928653175883057</v>
      </c>
      <c r="T37" s="17">
        <f t="shared" si="18"/>
        <v>0.44837220317985793</v>
      </c>
      <c r="U37" s="17">
        <f t="shared" si="19"/>
        <v>0.54644261347584822</v>
      </c>
      <c r="V37" s="17">
        <f t="shared" si="20"/>
        <v>0.59311938815921883</v>
      </c>
      <c r="W37" s="17">
        <f t="shared" si="21"/>
        <v>0.6395580134223996</v>
      </c>
      <c r="X37" s="17">
        <f t="shared" si="22"/>
        <v>0.71699573383278703</v>
      </c>
      <c r="Z37" s="9" t="s">
        <v>14</v>
      </c>
      <c r="AA37" s="17">
        <f t="shared" si="23"/>
        <v>9.8782533665822445E-2</v>
      </c>
      <c r="AB37" s="17">
        <f t="shared" si="24"/>
        <v>9.5312018935354001E-2</v>
      </c>
      <c r="AC37" s="17">
        <f t="shared" si="25"/>
        <v>9.1842578636490244E-2</v>
      </c>
      <c r="AD37" s="17">
        <f t="shared" si="26"/>
        <v>8.8101154138094342E-2</v>
      </c>
      <c r="AE37" s="17">
        <f t="shared" si="27"/>
        <v>9.9261301565832599E-2</v>
      </c>
      <c r="AF37" s="17">
        <f t="shared" si="28"/>
        <v>0.17186536224302568</v>
      </c>
      <c r="AG37" s="17">
        <f t="shared" si="29"/>
        <v>0.11805427765005923</v>
      </c>
      <c r="AH37" s="17">
        <f t="shared" si="30"/>
        <v>0.10292740883091925</v>
      </c>
      <c r="AI37" s="17">
        <f t="shared" si="31"/>
        <v>9.4728838638395554E-2</v>
      </c>
      <c r="AJ37" s="17">
        <f t="shared" si="32"/>
        <v>9.0289266947609387E-2</v>
      </c>
    </row>
    <row r="38" spans="2:36">
      <c r="B38" s="3" t="s">
        <v>15</v>
      </c>
      <c r="C38" s="17">
        <f t="shared" si="3"/>
        <v>0.41744585188820349</v>
      </c>
      <c r="D38" s="17">
        <f t="shared" si="4"/>
        <v>0.42652396378782287</v>
      </c>
      <c r="E38" s="17">
        <f t="shared" si="5"/>
        <v>0.43739374931006048</v>
      </c>
      <c r="F38" s="17">
        <f t="shared" si="6"/>
        <v>0.44915855049802728</v>
      </c>
      <c r="G38" s="17">
        <f t="shared" si="7"/>
        <v>0.47341831616676638</v>
      </c>
      <c r="H38" s="17">
        <f t="shared" si="8"/>
        <v>0.48272865889296135</v>
      </c>
      <c r="I38" s="17">
        <f t="shared" si="9"/>
        <v>0.38639545545457143</v>
      </c>
      <c r="J38" s="17">
        <f t="shared" si="10"/>
        <v>0.33729745471943667</v>
      </c>
      <c r="K38" s="17">
        <f t="shared" si="11"/>
        <v>0.29949699278913483</v>
      </c>
      <c r="L38" s="17">
        <f t="shared" si="12"/>
        <v>0.23022180665939432</v>
      </c>
      <c r="N38" s="3" t="s">
        <v>15</v>
      </c>
      <c r="O38" s="17">
        <f t="shared" si="13"/>
        <v>0.48225956988715429</v>
      </c>
      <c r="P38" s="17">
        <f t="shared" si="14"/>
        <v>0.47709569395406398</v>
      </c>
      <c r="Q38" s="17">
        <f t="shared" si="15"/>
        <v>0.46973941389229801</v>
      </c>
      <c r="R38" s="17">
        <f t="shared" si="16"/>
        <v>0.46053181013433792</v>
      </c>
      <c r="S38" s="17">
        <f t="shared" si="17"/>
        <v>0.43945849073498516</v>
      </c>
      <c r="T38" s="17">
        <f t="shared" si="18"/>
        <v>0.39871887119356425</v>
      </c>
      <c r="U38" s="17">
        <f t="shared" si="19"/>
        <v>0.44260745112198013</v>
      </c>
      <c r="V38" s="17">
        <f t="shared" si="20"/>
        <v>0.54677182184466211</v>
      </c>
      <c r="W38" s="17">
        <f t="shared" si="21"/>
        <v>0.60521562168705034</v>
      </c>
      <c r="X38" s="17">
        <f t="shared" si="22"/>
        <v>0.67643758765778406</v>
      </c>
      <c r="Z38" s="9" t="s">
        <v>15</v>
      </c>
      <c r="AA38" s="17">
        <f t="shared" si="23"/>
        <v>0.10029457822464226</v>
      </c>
      <c r="AB38" s="17">
        <f t="shared" si="24"/>
        <v>9.6380342258113164E-2</v>
      </c>
      <c r="AC38" s="17">
        <f t="shared" si="25"/>
        <v>9.2866836797641544E-2</v>
      </c>
      <c r="AD38" s="17">
        <f t="shared" si="26"/>
        <v>9.0309639367634795E-2</v>
      </c>
      <c r="AE38" s="17">
        <f t="shared" si="27"/>
        <v>8.712319309824848E-2</v>
      </c>
      <c r="AF38" s="17">
        <f t="shared" si="28"/>
        <v>0.11855246991347446</v>
      </c>
      <c r="AG38" s="17">
        <f t="shared" si="29"/>
        <v>0.17099709342344846</v>
      </c>
      <c r="AH38" s="17">
        <f t="shared" si="30"/>
        <v>0.11593072343590123</v>
      </c>
      <c r="AI38" s="17">
        <f t="shared" si="31"/>
        <v>9.5287385523814855E-2</v>
      </c>
      <c r="AJ38" s="17">
        <f t="shared" si="32"/>
        <v>9.3340605682821667E-2</v>
      </c>
    </row>
    <row r="39" spans="2:36">
      <c r="B39" s="3" t="s">
        <v>16</v>
      </c>
      <c r="C39" s="17">
        <f t="shared" si="3"/>
        <v>0.46523363780969512</v>
      </c>
      <c r="D39" s="17">
        <f t="shared" si="4"/>
        <v>0.47538354987805148</v>
      </c>
      <c r="E39" s="17">
        <f t="shared" si="5"/>
        <v>0.48465764246382048</v>
      </c>
      <c r="F39" s="17">
        <f t="shared" si="6"/>
        <v>0.49506232483720736</v>
      </c>
      <c r="G39" s="17">
        <f t="shared" si="7"/>
        <v>0.51559823831661367</v>
      </c>
      <c r="H39" s="17">
        <f t="shared" si="8"/>
        <v>0.53515079668379884</v>
      </c>
      <c r="I39" s="17">
        <f t="shared" si="9"/>
        <v>0.49037050707055219</v>
      </c>
      <c r="J39" s="17">
        <f t="shared" si="10"/>
        <v>0.38946620861928838</v>
      </c>
      <c r="K39" s="17">
        <f t="shared" si="11"/>
        <v>0.33710572895194424</v>
      </c>
      <c r="L39" s="17">
        <f t="shared" si="12"/>
        <v>0.27407337079864585</v>
      </c>
      <c r="N39" s="3" t="s">
        <v>16</v>
      </c>
      <c r="O39" s="17">
        <f t="shared" si="13"/>
        <v>0.43404074338534532</v>
      </c>
      <c r="P39" s="17">
        <f t="shared" si="14"/>
        <v>0.42698356391155257</v>
      </c>
      <c r="Q39" s="17">
        <f t="shared" si="15"/>
        <v>0.42206815187478725</v>
      </c>
      <c r="R39" s="17">
        <f t="shared" si="16"/>
        <v>0.41431016703939488</v>
      </c>
      <c r="S39" s="17">
        <f t="shared" si="17"/>
        <v>0.39631238644586625</v>
      </c>
      <c r="T39" s="17">
        <f t="shared" si="18"/>
        <v>0.36187694491456024</v>
      </c>
      <c r="U39" s="17">
        <f t="shared" si="19"/>
        <v>0.39301769165088718</v>
      </c>
      <c r="V39" s="17">
        <f t="shared" si="20"/>
        <v>0.44146782892293951</v>
      </c>
      <c r="W39" s="17">
        <f t="shared" si="21"/>
        <v>0.55343248118462418</v>
      </c>
      <c r="X39" s="17">
        <f t="shared" si="22"/>
        <v>0.62924297265274964</v>
      </c>
      <c r="Z39" s="9" t="s">
        <v>16</v>
      </c>
      <c r="AA39" s="17">
        <f t="shared" si="23"/>
        <v>0.10072561880495955</v>
      </c>
      <c r="AB39" s="17">
        <f t="shared" si="24"/>
        <v>9.7632886210395967E-2</v>
      </c>
      <c r="AC39" s="17">
        <f t="shared" si="25"/>
        <v>9.3274205661392301E-2</v>
      </c>
      <c r="AD39" s="17">
        <f t="shared" si="26"/>
        <v>9.0627508123397718E-2</v>
      </c>
      <c r="AE39" s="17">
        <f t="shared" si="27"/>
        <v>8.8089375237520112E-2</v>
      </c>
      <c r="AF39" s="17">
        <f t="shared" si="28"/>
        <v>0.10297225840164094</v>
      </c>
      <c r="AG39" s="17">
        <f t="shared" si="29"/>
        <v>0.11661180127856065</v>
      </c>
      <c r="AH39" s="17">
        <f t="shared" si="30"/>
        <v>0.16906596245777214</v>
      </c>
      <c r="AI39" s="17">
        <f t="shared" si="31"/>
        <v>0.10946178986343165</v>
      </c>
      <c r="AJ39" s="17">
        <f t="shared" si="32"/>
        <v>9.6683656548604544E-2</v>
      </c>
    </row>
    <row r="40" spans="2:36">
      <c r="B40" s="3" t="s">
        <v>17</v>
      </c>
      <c r="C40" s="17">
        <f t="shared" si="3"/>
        <v>0.52176906248901944</v>
      </c>
      <c r="D40" s="17">
        <f t="shared" si="4"/>
        <v>0.52967931409426006</v>
      </c>
      <c r="E40" s="17">
        <f t="shared" si="5"/>
        <v>0.53732947155184618</v>
      </c>
      <c r="F40" s="17">
        <f t="shared" si="6"/>
        <v>0.54691077595219639</v>
      </c>
      <c r="G40" s="17">
        <f t="shared" si="7"/>
        <v>0.56507996671785332</v>
      </c>
      <c r="H40" s="17">
        <f t="shared" si="8"/>
        <v>0.57840865501287764</v>
      </c>
      <c r="I40" s="17">
        <f t="shared" si="9"/>
        <v>0.54869201622655872</v>
      </c>
      <c r="J40" s="17">
        <f t="shared" si="10"/>
        <v>0.49967410013257163</v>
      </c>
      <c r="K40" s="17">
        <f t="shared" si="11"/>
        <v>0.39506593149206159</v>
      </c>
      <c r="L40" s="17">
        <f t="shared" si="12"/>
        <v>0.32623980768606048</v>
      </c>
      <c r="N40" s="3" t="s">
        <v>17</v>
      </c>
      <c r="O40" s="17">
        <f t="shared" si="13"/>
        <v>0.37797287114771211</v>
      </c>
      <c r="P40" s="17">
        <f t="shared" si="14"/>
        <v>0.37218606441811947</v>
      </c>
      <c r="Q40" s="17">
        <f t="shared" si="15"/>
        <v>0.36825568839633416</v>
      </c>
      <c r="R40" s="17">
        <f t="shared" si="16"/>
        <v>0.36254177040272317</v>
      </c>
      <c r="S40" s="17">
        <f t="shared" si="17"/>
        <v>0.34685474627555385</v>
      </c>
      <c r="T40" s="17">
        <f t="shared" si="18"/>
        <v>0.32143556101799736</v>
      </c>
      <c r="U40" s="17">
        <f t="shared" si="19"/>
        <v>0.35159622211628516</v>
      </c>
      <c r="V40" s="17">
        <f t="shared" si="20"/>
        <v>0.38659009862861854</v>
      </c>
      <c r="W40" s="17">
        <f t="shared" si="21"/>
        <v>0.44890459611905514</v>
      </c>
      <c r="X40" s="17">
        <f t="shared" si="22"/>
        <v>0.57940551603157586</v>
      </c>
      <c r="Z40" s="9" t="s">
        <v>17</v>
      </c>
      <c r="AA40" s="17">
        <f t="shared" si="23"/>
        <v>0.10025806636326842</v>
      </c>
      <c r="AB40" s="17">
        <f t="shared" si="24"/>
        <v>9.8134621487620505E-2</v>
      </c>
      <c r="AC40" s="17">
        <f t="shared" si="25"/>
        <v>9.4414840051819604E-2</v>
      </c>
      <c r="AD40" s="17">
        <f t="shared" si="26"/>
        <v>9.0547453645080475E-2</v>
      </c>
      <c r="AE40" s="17">
        <f t="shared" si="27"/>
        <v>8.8065287006592829E-2</v>
      </c>
      <c r="AF40" s="17">
        <f t="shared" si="28"/>
        <v>0.10015578396912503</v>
      </c>
      <c r="AG40" s="17">
        <f t="shared" si="29"/>
        <v>9.9711761657156145E-2</v>
      </c>
      <c r="AH40" s="17">
        <f t="shared" si="30"/>
        <v>0.11373580123880979</v>
      </c>
      <c r="AI40" s="17">
        <f t="shared" si="31"/>
        <v>0.15602947238888323</v>
      </c>
      <c r="AJ40" s="17">
        <f t="shared" si="32"/>
        <v>9.4354676282363645E-2</v>
      </c>
    </row>
    <row r="41" spans="2:36">
      <c r="B41" s="3" t="s">
        <v>18</v>
      </c>
      <c r="C41" s="17">
        <f t="shared" si="3"/>
        <v>0.55035758672143564</v>
      </c>
      <c r="D41" s="17">
        <f t="shared" si="4"/>
        <v>0.55762764515277907</v>
      </c>
      <c r="E41" s="17">
        <f t="shared" si="5"/>
        <v>0.56609823356486899</v>
      </c>
      <c r="F41" s="17">
        <f t="shared" si="6"/>
        <v>0.57318449718979347</v>
      </c>
      <c r="G41" s="17">
        <f t="shared" si="7"/>
        <v>0.58779536769866647</v>
      </c>
      <c r="H41" s="17">
        <f t="shared" si="8"/>
        <v>0.59683566201623794</v>
      </c>
      <c r="I41" s="17">
        <f t="shared" si="9"/>
        <v>0.5641669558797342</v>
      </c>
      <c r="J41" s="17">
        <f t="shared" si="10"/>
        <v>0.52777528306331845</v>
      </c>
      <c r="K41" s="17">
        <f t="shared" si="11"/>
        <v>0.47087356404736169</v>
      </c>
      <c r="L41" s="17">
        <f t="shared" si="12"/>
        <v>0.35671097692159787</v>
      </c>
      <c r="N41" s="3" t="s">
        <v>18</v>
      </c>
      <c r="O41" s="17">
        <f t="shared" si="13"/>
        <v>0.34997526047923244</v>
      </c>
      <c r="P41" s="17">
        <f t="shared" si="14"/>
        <v>0.34609730704893166</v>
      </c>
      <c r="Q41" s="17">
        <f t="shared" si="15"/>
        <v>0.34109888394599236</v>
      </c>
      <c r="R41" s="17">
        <f t="shared" si="16"/>
        <v>0.33674437861040263</v>
      </c>
      <c r="S41" s="17">
        <f t="shared" si="17"/>
        <v>0.32568041799890823</v>
      </c>
      <c r="T41" s="17">
        <f t="shared" si="18"/>
        <v>0.30434251019096847</v>
      </c>
      <c r="U41" s="17">
        <f t="shared" si="19"/>
        <v>0.33548975795790875</v>
      </c>
      <c r="V41" s="17">
        <f t="shared" si="20"/>
        <v>0.37267389569837472</v>
      </c>
      <c r="W41" s="17">
        <f t="shared" si="21"/>
        <v>0.44166834785326281</v>
      </c>
      <c r="X41" s="17">
        <f t="shared" si="22"/>
        <v>0.56769309518736588</v>
      </c>
      <c r="Z41" s="9" t="s">
        <v>18</v>
      </c>
      <c r="AA41" s="17">
        <f t="shared" si="23"/>
        <v>9.9667152799331971E-2</v>
      </c>
      <c r="AB41" s="17">
        <f t="shared" si="24"/>
        <v>9.6275047798289271E-2</v>
      </c>
      <c r="AC41" s="17">
        <f t="shared" si="25"/>
        <v>9.2802882489138636E-2</v>
      </c>
      <c r="AD41" s="17">
        <f t="shared" si="26"/>
        <v>9.0071124199803926E-2</v>
      </c>
      <c r="AE41" s="17">
        <f t="shared" si="27"/>
        <v>8.6524214302425323E-2</v>
      </c>
      <c r="AF41" s="17">
        <f t="shared" si="28"/>
        <v>9.882182779279361E-2</v>
      </c>
      <c r="AG41" s="17">
        <f t="shared" si="29"/>
        <v>0.10034328616235706</v>
      </c>
      <c r="AH41" s="17">
        <f t="shared" si="30"/>
        <v>9.9550821238306844E-2</v>
      </c>
      <c r="AI41" s="17">
        <f t="shared" si="31"/>
        <v>8.7458088099375511E-2</v>
      </c>
      <c r="AJ41" s="17">
        <f t="shared" si="32"/>
        <v>7.5595927891036266E-2</v>
      </c>
    </row>
    <row r="42" spans="2:36">
      <c r="B42" s="3" t="s">
        <v>19</v>
      </c>
      <c r="C42" s="17">
        <f t="shared" si="3"/>
        <v>0.32226581287908923</v>
      </c>
      <c r="D42" s="17">
        <f t="shared" si="4"/>
        <v>0.3285614806384643</v>
      </c>
      <c r="E42" s="17">
        <f t="shared" si="5"/>
        <v>0.33534323904969576</v>
      </c>
      <c r="F42" s="17">
        <f t="shared" si="6"/>
        <v>0.33990632220887856</v>
      </c>
      <c r="G42" s="17">
        <f t="shared" si="7"/>
        <v>0.35165487551085628</v>
      </c>
      <c r="H42" s="17">
        <f t="shared" si="8"/>
        <v>0.35565041797398667</v>
      </c>
      <c r="I42" s="17">
        <f t="shared" si="9"/>
        <v>0.32311272916395789</v>
      </c>
      <c r="J42" s="17">
        <f t="shared" si="10"/>
        <v>0.2876008317522325</v>
      </c>
      <c r="K42" s="17">
        <f t="shared" si="11"/>
        <v>0.2497912851055204</v>
      </c>
      <c r="L42" s="17">
        <f t="shared" si="12"/>
        <v>0.19376507913373223</v>
      </c>
      <c r="N42" s="3" t="s">
        <v>19</v>
      </c>
      <c r="O42" s="17">
        <f t="shared" si="13"/>
        <v>0.61153705162503025</v>
      </c>
      <c r="P42" s="17">
        <f t="shared" si="14"/>
        <v>0.6067424342814679</v>
      </c>
      <c r="Q42" s="17">
        <f t="shared" si="15"/>
        <v>0.6027248083875445</v>
      </c>
      <c r="R42" s="17">
        <f t="shared" si="16"/>
        <v>0.59992341137210869</v>
      </c>
      <c r="S42" s="17">
        <f t="shared" si="17"/>
        <v>0.58934950752546811</v>
      </c>
      <c r="T42" s="17">
        <f t="shared" si="18"/>
        <v>0.56813775652836485</v>
      </c>
      <c r="U42" s="17">
        <f t="shared" si="19"/>
        <v>0.59890521388636064</v>
      </c>
      <c r="V42" s="17">
        <f t="shared" si="20"/>
        <v>0.63231115544117589</v>
      </c>
      <c r="W42" s="17">
        <f t="shared" si="21"/>
        <v>0.67665433759902183</v>
      </c>
      <c r="X42" s="17">
        <f t="shared" si="22"/>
        <v>0.74711820999783984</v>
      </c>
      <c r="Z42" s="9" t="s">
        <v>19</v>
      </c>
      <c r="AA42" s="17">
        <f t="shared" si="23"/>
        <v>6.6197135495880549E-2</v>
      </c>
      <c r="AB42" s="17">
        <f t="shared" si="24"/>
        <v>6.4696085080067869E-2</v>
      </c>
      <c r="AC42" s="17">
        <f t="shared" si="25"/>
        <v>6.193195256275974E-2</v>
      </c>
      <c r="AD42" s="17">
        <f t="shared" si="26"/>
        <v>6.0170266419012734E-2</v>
      </c>
      <c r="AE42" s="17">
        <f t="shared" si="27"/>
        <v>5.8995616963675619E-2</v>
      </c>
      <c r="AF42" s="17">
        <f t="shared" si="28"/>
        <v>7.6211825497648447E-2</v>
      </c>
      <c r="AG42" s="17">
        <f t="shared" si="29"/>
        <v>7.7982056949681453E-2</v>
      </c>
      <c r="AH42" s="17">
        <f t="shared" si="30"/>
        <v>8.0088012806591599E-2</v>
      </c>
      <c r="AI42" s="17">
        <f t="shared" si="31"/>
        <v>7.3554377295457773E-2</v>
      </c>
      <c r="AJ42" s="17">
        <f t="shared" si="32"/>
        <v>5.9116710868427971E-2</v>
      </c>
    </row>
    <row r="43" spans="2:36">
      <c r="B43" s="3" t="s">
        <v>20</v>
      </c>
      <c r="C43" s="17">
        <f t="shared" si="3"/>
        <v>0.29966900531487345</v>
      </c>
      <c r="D43" s="17">
        <f t="shared" si="4"/>
        <v>0.30445732700948058</v>
      </c>
      <c r="E43" s="17">
        <f t="shared" si="5"/>
        <v>0.31095493480086006</v>
      </c>
      <c r="F43" s="17">
        <f t="shared" si="6"/>
        <v>0.31514372061087764</v>
      </c>
      <c r="G43" s="17">
        <f t="shared" si="7"/>
        <v>0.32639066764268782</v>
      </c>
      <c r="H43" s="17">
        <f t="shared" si="8"/>
        <v>0.32866942013427702</v>
      </c>
      <c r="I43" s="17">
        <f t="shared" si="9"/>
        <v>0.3004281197800171</v>
      </c>
      <c r="J43" s="17">
        <f t="shared" si="10"/>
        <v>0.27040914504444064</v>
      </c>
      <c r="K43" s="17">
        <f t="shared" si="11"/>
        <v>0.23222221030018497</v>
      </c>
      <c r="L43" s="17">
        <f t="shared" si="12"/>
        <v>0.18019181545761018</v>
      </c>
      <c r="N43" s="3" t="s">
        <v>20</v>
      </c>
      <c r="O43" s="17">
        <f t="shared" si="13"/>
        <v>0.63853796180510913</v>
      </c>
      <c r="P43" s="17">
        <f t="shared" si="14"/>
        <v>0.63537930100949103</v>
      </c>
      <c r="Q43" s="17">
        <f t="shared" si="15"/>
        <v>0.63141756386583081</v>
      </c>
      <c r="R43" s="17">
        <f t="shared" si="16"/>
        <v>0.62948249136531975</v>
      </c>
      <c r="S43" s="17">
        <f t="shared" si="17"/>
        <v>0.61866783511829926</v>
      </c>
      <c r="T43" s="17">
        <f t="shared" si="18"/>
        <v>0.60067788327827265</v>
      </c>
      <c r="U43" s="17">
        <f t="shared" si="19"/>
        <v>0.62696427226131934</v>
      </c>
      <c r="V43" s="17">
        <f t="shared" si="20"/>
        <v>0.65510404152299528</v>
      </c>
      <c r="W43" s="17">
        <f t="shared" si="21"/>
        <v>0.69926780266340482</v>
      </c>
      <c r="X43" s="17">
        <f t="shared" si="22"/>
        <v>0.76423398676488952</v>
      </c>
      <c r="Z43" s="9" t="s">
        <v>20</v>
      </c>
      <c r="AA43" s="17">
        <f t="shared" si="23"/>
        <v>6.1793032880017348E-2</v>
      </c>
      <c r="AB43" s="17">
        <f t="shared" si="24"/>
        <v>6.0163371981028439E-2</v>
      </c>
      <c r="AC43" s="17">
        <f t="shared" si="25"/>
        <v>5.7627501333309114E-2</v>
      </c>
      <c r="AD43" s="17">
        <f t="shared" si="26"/>
        <v>5.5373788023802585E-2</v>
      </c>
      <c r="AE43" s="17">
        <f t="shared" si="27"/>
        <v>5.4941497239012933E-2</v>
      </c>
      <c r="AF43" s="17">
        <f t="shared" si="28"/>
        <v>7.0652696587450325E-2</v>
      </c>
      <c r="AG43" s="17">
        <f t="shared" si="29"/>
        <v>7.2607607958663584E-2</v>
      </c>
      <c r="AH43" s="17">
        <f t="shared" si="30"/>
        <v>7.4486813432564136E-2</v>
      </c>
      <c r="AI43" s="17">
        <f t="shared" si="31"/>
        <v>6.850998703641023E-2</v>
      </c>
      <c r="AJ43" s="17">
        <f t="shared" si="32"/>
        <v>5.5574197777500313E-2</v>
      </c>
    </row>
    <row r="44" spans="2:36">
      <c r="B44" s="3" t="s">
        <v>21</v>
      </c>
      <c r="C44" s="17">
        <f t="shared" si="3"/>
        <v>0.27759747656409678</v>
      </c>
      <c r="D44" s="17">
        <f t="shared" si="4"/>
        <v>0.28222106502974431</v>
      </c>
      <c r="E44" s="17">
        <f t="shared" si="5"/>
        <v>0.28850850983432214</v>
      </c>
      <c r="F44" s="17">
        <f t="shared" si="6"/>
        <v>0.2922314381340646</v>
      </c>
      <c r="G44" s="17">
        <f t="shared" si="7"/>
        <v>0.30369055339456313</v>
      </c>
      <c r="H44" s="17">
        <f t="shared" si="8"/>
        <v>0.3045788373978669</v>
      </c>
      <c r="I44" s="17">
        <f t="shared" si="9"/>
        <v>0.2814518721763114</v>
      </c>
      <c r="J44" s="17">
        <f t="shared" si="10"/>
        <v>0.25139082555454334</v>
      </c>
      <c r="K44" s="17">
        <f t="shared" si="11"/>
        <v>0.21509596434704764</v>
      </c>
      <c r="L44" s="17">
        <f t="shared" si="12"/>
        <v>0.16784892999001472</v>
      </c>
      <c r="N44" s="3" t="s">
        <v>21</v>
      </c>
      <c r="O44" s="17">
        <f t="shared" si="13"/>
        <v>0.66484152369496419</v>
      </c>
      <c r="P44" s="17">
        <f t="shared" si="14"/>
        <v>0.662614617245602</v>
      </c>
      <c r="Q44" s="17">
        <f t="shared" si="15"/>
        <v>0.65873142633055837</v>
      </c>
      <c r="R44" s="17">
        <f t="shared" si="16"/>
        <v>0.65605026639835673</v>
      </c>
      <c r="S44" s="17">
        <f t="shared" si="17"/>
        <v>0.64503652604259398</v>
      </c>
      <c r="T44" s="17">
        <f t="shared" si="18"/>
        <v>0.62975841493586149</v>
      </c>
      <c r="U44" s="17">
        <f t="shared" si="19"/>
        <v>0.65112192607614183</v>
      </c>
      <c r="V44" s="17">
        <f t="shared" si="20"/>
        <v>0.67977159402058718</v>
      </c>
      <c r="W44" s="17">
        <f t="shared" si="21"/>
        <v>0.72100979871289328</v>
      </c>
      <c r="X44" s="17">
        <f t="shared" si="22"/>
        <v>0.78102353749287456</v>
      </c>
      <c r="Z44" s="9" t="s">
        <v>21</v>
      </c>
      <c r="AA44" s="17">
        <f t="shared" si="23"/>
        <v>5.7560999740939048E-2</v>
      </c>
      <c r="AB44" s="17">
        <f t="shared" si="24"/>
        <v>5.5164317724653696E-2</v>
      </c>
      <c r="AC44" s="17">
        <f t="shared" si="25"/>
        <v>5.2760063835119442E-2</v>
      </c>
      <c r="AD44" s="17">
        <f t="shared" si="26"/>
        <v>5.171829546757864E-2</v>
      </c>
      <c r="AE44" s="17">
        <f t="shared" si="27"/>
        <v>5.1272920562842855E-2</v>
      </c>
      <c r="AF44" s="17">
        <f t="shared" si="28"/>
        <v>6.5662747666271642E-2</v>
      </c>
      <c r="AG44" s="17">
        <f t="shared" si="29"/>
        <v>6.742620174754678E-2</v>
      </c>
      <c r="AH44" s="17">
        <f t="shared" si="30"/>
        <v>6.8837580424869427E-2</v>
      </c>
      <c r="AI44" s="17">
        <f t="shared" si="31"/>
        <v>6.3894236940059038E-2</v>
      </c>
      <c r="AJ44" s="17">
        <f t="shared" si="32"/>
        <v>5.1127532517110684E-2</v>
      </c>
    </row>
    <row r="45" spans="2:36">
      <c r="B45" s="3" t="s">
        <v>22</v>
      </c>
      <c r="C45" s="17">
        <f t="shared" si="3"/>
        <v>0.25662469864077719</v>
      </c>
      <c r="D45" s="17">
        <f t="shared" si="4"/>
        <v>0.26121596836505068</v>
      </c>
      <c r="E45" s="17">
        <f t="shared" si="5"/>
        <v>0.2657515783776892</v>
      </c>
      <c r="F45" s="17">
        <f t="shared" si="6"/>
        <v>0.27139788521128405</v>
      </c>
      <c r="G45" s="17">
        <f t="shared" si="7"/>
        <v>0.28175036933374531</v>
      </c>
      <c r="H45" s="17">
        <f t="shared" si="8"/>
        <v>0.28565332778269242</v>
      </c>
      <c r="I45" s="17">
        <f t="shared" si="9"/>
        <v>0.26180707613352733</v>
      </c>
      <c r="J45" s="17">
        <f t="shared" si="10"/>
        <v>0.23274011450029319</v>
      </c>
      <c r="K45" s="17">
        <f t="shared" si="11"/>
        <v>0.20056351834619815</v>
      </c>
      <c r="L45" s="17">
        <f t="shared" si="12"/>
        <v>0.15603026940393938</v>
      </c>
      <c r="N45" s="3" t="s">
        <v>22</v>
      </c>
      <c r="O45" s="17">
        <f t="shared" si="13"/>
        <v>0.68999389800429611</v>
      </c>
      <c r="P45" s="17">
        <f t="shared" si="14"/>
        <v>0.68726927429530293</v>
      </c>
      <c r="Q45" s="17">
        <f t="shared" si="15"/>
        <v>0.68468612627802083</v>
      </c>
      <c r="R45" s="17">
        <f t="shared" si="16"/>
        <v>0.6813894956662675</v>
      </c>
      <c r="S45" s="17">
        <f t="shared" si="17"/>
        <v>0.67078018345956025</v>
      </c>
      <c r="T45" s="17">
        <f t="shared" si="18"/>
        <v>0.6528581464328459</v>
      </c>
      <c r="U45" s="17">
        <f t="shared" si="19"/>
        <v>0.67580722409919414</v>
      </c>
      <c r="V45" s="17">
        <f t="shared" si="20"/>
        <v>0.70332123664477475</v>
      </c>
      <c r="W45" s="17">
        <f t="shared" si="21"/>
        <v>0.74049911903536891</v>
      </c>
      <c r="X45" s="17">
        <f t="shared" si="22"/>
        <v>0.79657134085341819</v>
      </c>
      <c r="Z45" s="9" t="s">
        <v>22</v>
      </c>
      <c r="AA45" s="17">
        <f t="shared" si="23"/>
        <v>5.3381403354926679E-2</v>
      </c>
      <c r="AB45" s="17">
        <f t="shared" si="24"/>
        <v>5.1514757339646451E-2</v>
      </c>
      <c r="AC45" s="17">
        <f t="shared" si="25"/>
        <v>4.9562295344289936E-2</v>
      </c>
      <c r="AD45" s="17">
        <f t="shared" si="26"/>
        <v>4.7212619122448396E-2</v>
      </c>
      <c r="AE45" s="17">
        <f t="shared" si="27"/>
        <v>4.7469447206694486E-2</v>
      </c>
      <c r="AF45" s="17">
        <f t="shared" si="28"/>
        <v>6.1488525784461671E-2</v>
      </c>
      <c r="AG45" s="17">
        <f t="shared" si="29"/>
        <v>6.2385699767278563E-2</v>
      </c>
      <c r="AH45" s="17">
        <f t="shared" si="30"/>
        <v>6.3938648854932056E-2</v>
      </c>
      <c r="AI45" s="17">
        <f t="shared" si="31"/>
        <v>5.8937362618432944E-2</v>
      </c>
      <c r="AJ45" s="17">
        <f t="shared" si="32"/>
        <v>4.7398389742642419E-2</v>
      </c>
    </row>
    <row r="46" spans="2:36">
      <c r="B46" s="3" t="s">
        <v>23</v>
      </c>
      <c r="C46" s="17">
        <f t="shared" si="3"/>
        <v>0.2389476049518055</v>
      </c>
      <c r="D46" s="17">
        <f t="shared" si="4"/>
        <v>0.24290678605825547</v>
      </c>
      <c r="E46" s="17">
        <f t="shared" si="5"/>
        <v>0.24674094649617645</v>
      </c>
      <c r="F46" s="17">
        <f t="shared" si="6"/>
        <v>0.25167896499041054</v>
      </c>
      <c r="G46" s="17">
        <f t="shared" si="7"/>
        <v>0.26367918093171616</v>
      </c>
      <c r="H46" s="17">
        <f t="shared" si="8"/>
        <v>0.2662078552967555</v>
      </c>
      <c r="I46" s="17">
        <f t="shared" si="9"/>
        <v>0.24181892244683356</v>
      </c>
      <c r="J46" s="17">
        <f t="shared" si="10"/>
        <v>0.21666019028855188</v>
      </c>
      <c r="K46" s="17">
        <f t="shared" si="11"/>
        <v>0.18610815681216553</v>
      </c>
      <c r="L46" s="17">
        <f t="shared" si="12"/>
        <v>0.14499723906565815</v>
      </c>
      <c r="N46" s="3" t="s">
        <v>23</v>
      </c>
      <c r="O46" s="17">
        <f t="shared" si="13"/>
        <v>0.71172657263726113</v>
      </c>
      <c r="P46" s="17">
        <f t="shared" si="14"/>
        <v>0.70948668558190386</v>
      </c>
      <c r="Q46" s="17">
        <f t="shared" si="15"/>
        <v>0.70708533952100938</v>
      </c>
      <c r="R46" s="17">
        <f t="shared" si="16"/>
        <v>0.70404706953158014</v>
      </c>
      <c r="S46" s="17">
        <f t="shared" si="17"/>
        <v>0.69267658886124306</v>
      </c>
      <c r="T46" s="17">
        <f t="shared" si="18"/>
        <v>0.67640311597501301</v>
      </c>
      <c r="U46" s="17">
        <f t="shared" si="19"/>
        <v>0.69985124721983272</v>
      </c>
      <c r="V46" s="17">
        <f t="shared" si="20"/>
        <v>0.72412318720978142</v>
      </c>
      <c r="W46" s="17">
        <f t="shared" si="21"/>
        <v>0.75910451370650245</v>
      </c>
      <c r="X46" s="17">
        <f t="shared" si="22"/>
        <v>0.81156102185826506</v>
      </c>
      <c r="Z46" s="9" t="s">
        <v>23</v>
      </c>
      <c r="AA46" s="17">
        <f t="shared" si="23"/>
        <v>4.9325822410933355E-2</v>
      </c>
      <c r="AB46" s="17">
        <f t="shared" si="24"/>
        <v>4.7606528359840694E-2</v>
      </c>
      <c r="AC46" s="17">
        <f t="shared" si="25"/>
        <v>4.6173713982814127E-2</v>
      </c>
      <c r="AD46" s="17">
        <f t="shared" si="26"/>
        <v>4.4273965478009297E-2</v>
      </c>
      <c r="AE46" s="17">
        <f t="shared" si="27"/>
        <v>4.3644230207040814E-2</v>
      </c>
      <c r="AF46" s="17">
        <f t="shared" si="28"/>
        <v>5.7389028728231421E-2</v>
      </c>
      <c r="AG46" s="17">
        <f t="shared" si="29"/>
        <v>5.8329830333333769E-2</v>
      </c>
      <c r="AH46" s="17">
        <f t="shared" si="30"/>
        <v>5.9216622501666746E-2</v>
      </c>
      <c r="AI46" s="17">
        <f t="shared" si="31"/>
        <v>5.4787329481332012E-2</v>
      </c>
      <c r="AJ46" s="17">
        <f t="shared" si="32"/>
        <v>4.3441739076076763E-2</v>
      </c>
    </row>
    <row r="47" spans="2:36">
      <c r="B47" s="3" t="s">
        <v>24</v>
      </c>
      <c r="C47" s="17">
        <f t="shared" si="3"/>
        <v>0.35385876356418977</v>
      </c>
      <c r="D47" s="17">
        <f t="shared" si="4"/>
        <v>0.37464502436253849</v>
      </c>
      <c r="E47" s="17">
        <f t="shared" si="5"/>
        <v>0.39599642705298183</v>
      </c>
      <c r="F47" s="17">
        <f t="shared" si="6"/>
        <v>0.41787317205013658</v>
      </c>
      <c r="G47" s="17">
        <f t="shared" si="7"/>
        <v>0.42274612643372256</v>
      </c>
      <c r="H47" s="17">
        <f t="shared" si="8"/>
        <v>0.26260013459544712</v>
      </c>
      <c r="I47" s="17">
        <f t="shared" si="9"/>
        <v>0.24366039889595709</v>
      </c>
      <c r="J47" s="17">
        <f t="shared" si="10"/>
        <v>0.2292624300553314</v>
      </c>
      <c r="K47" s="17">
        <f t="shared" si="11"/>
        <v>0.21243844366335463</v>
      </c>
      <c r="L47" s="17">
        <f t="shared" si="12"/>
        <v>0.11494881470428155</v>
      </c>
      <c r="N47" s="3" t="s">
        <v>24</v>
      </c>
      <c r="O47" s="17">
        <f t="shared" si="13"/>
        <v>0.50625959592548231</v>
      </c>
      <c r="P47" s="17">
        <f t="shared" si="14"/>
        <v>0.49146823772222936</v>
      </c>
      <c r="Q47" s="17">
        <f t="shared" si="15"/>
        <v>0.47312423532042758</v>
      </c>
      <c r="R47" s="17">
        <f t="shared" si="16"/>
        <v>0.46035359638659107</v>
      </c>
      <c r="S47" s="17">
        <f t="shared" si="17"/>
        <v>0.41148795575663555</v>
      </c>
      <c r="T47" s="17">
        <f t="shared" si="18"/>
        <v>0.36872396760355147</v>
      </c>
      <c r="U47" s="17">
        <f t="shared" si="19"/>
        <v>0.627782046431687</v>
      </c>
      <c r="V47" s="17">
        <f t="shared" si="20"/>
        <v>0.65006334366082141</v>
      </c>
      <c r="W47" s="17">
        <f t="shared" si="21"/>
        <v>0.67561907436954738</v>
      </c>
      <c r="X47" s="17">
        <f t="shared" si="22"/>
        <v>0.75465693742399031</v>
      </c>
      <c r="Z47" s="9" t="s">
        <v>24</v>
      </c>
      <c r="AA47" s="17">
        <f t="shared" si="23"/>
        <v>0.13988164051032786</v>
      </c>
      <c r="AB47" s="17">
        <f t="shared" si="24"/>
        <v>0.13388673791523215</v>
      </c>
      <c r="AC47" s="17">
        <f t="shared" si="25"/>
        <v>0.13087933762659062</v>
      </c>
      <c r="AD47" s="17">
        <f t="shared" si="26"/>
        <v>0.12177323156327234</v>
      </c>
      <c r="AE47" s="17">
        <f t="shared" si="27"/>
        <v>0.16576591780964189</v>
      </c>
      <c r="AF47" s="17">
        <f t="shared" si="28"/>
        <v>0.36867589780100141</v>
      </c>
      <c r="AG47" s="17">
        <f t="shared" si="29"/>
        <v>0.12855755467235588</v>
      </c>
      <c r="AH47" s="17">
        <f t="shared" si="30"/>
        <v>0.12067422628384723</v>
      </c>
      <c r="AI47" s="17">
        <f t="shared" si="31"/>
        <v>0.111942481967098</v>
      </c>
      <c r="AJ47" s="17">
        <f t="shared" si="32"/>
        <v>0.13039424787172815</v>
      </c>
    </row>
    <row r="48" spans="2:36">
      <c r="B48" s="3" t="s">
        <v>25</v>
      </c>
      <c r="C48" s="17">
        <f t="shared" si="3"/>
        <v>0.49338485517599689</v>
      </c>
      <c r="D48" s="17">
        <f t="shared" si="4"/>
        <v>0.50786948576307722</v>
      </c>
      <c r="E48" s="17">
        <f t="shared" si="5"/>
        <v>0.52529863281554712</v>
      </c>
      <c r="F48" s="17">
        <f t="shared" si="6"/>
        <v>0.53996645588740844</v>
      </c>
      <c r="G48" s="17">
        <f t="shared" si="7"/>
        <v>0.58779555683943019</v>
      </c>
      <c r="H48" s="17">
        <f t="shared" si="8"/>
        <v>0.6318390669946764</v>
      </c>
      <c r="I48" s="17">
        <f t="shared" si="9"/>
        <v>0.37230526367717431</v>
      </c>
      <c r="J48" s="17">
        <f t="shared" si="10"/>
        <v>0.34919961863684784</v>
      </c>
      <c r="K48" s="17">
        <f t="shared" si="11"/>
        <v>0.32409061857140675</v>
      </c>
      <c r="L48" s="17">
        <f t="shared" si="12"/>
        <v>0.24586480301330965</v>
      </c>
      <c r="N48" s="3" t="s">
        <v>25</v>
      </c>
      <c r="O48" s="17">
        <f t="shared" si="13"/>
        <v>0.37166515131835304</v>
      </c>
      <c r="P48" s="17">
        <f t="shared" si="14"/>
        <v>0.36094855548208737</v>
      </c>
      <c r="Q48" s="17">
        <f t="shared" si="15"/>
        <v>0.35033646570597993</v>
      </c>
      <c r="R48" s="17">
        <f t="shared" si="16"/>
        <v>0.33764050503682558</v>
      </c>
      <c r="S48" s="17">
        <f t="shared" si="17"/>
        <v>0.30542207162719404</v>
      </c>
      <c r="T48" s="17">
        <f t="shared" si="18"/>
        <v>0.23062334856235439</v>
      </c>
      <c r="U48" s="17">
        <f t="shared" si="19"/>
        <v>0.26723423921651102</v>
      </c>
      <c r="V48" s="17">
        <f t="shared" si="20"/>
        <v>0.53382646936022815</v>
      </c>
      <c r="W48" s="17">
        <f t="shared" si="21"/>
        <v>0.56413020838918115</v>
      </c>
      <c r="X48" s="17">
        <f t="shared" si="22"/>
        <v>0.62285784672834188</v>
      </c>
      <c r="Z48" s="9" t="s">
        <v>25</v>
      </c>
      <c r="AA48" s="17">
        <f t="shared" si="23"/>
        <v>0.1349499935056501</v>
      </c>
      <c r="AB48" s="17">
        <f t="shared" si="24"/>
        <v>0.13118195875483546</v>
      </c>
      <c r="AC48" s="17">
        <f t="shared" si="25"/>
        <v>0.12436490147847296</v>
      </c>
      <c r="AD48" s="17">
        <f t="shared" si="26"/>
        <v>0.12239303907576594</v>
      </c>
      <c r="AE48" s="17">
        <f t="shared" si="27"/>
        <v>0.10678237153337575</v>
      </c>
      <c r="AF48" s="17">
        <f t="shared" si="28"/>
        <v>0.13753758444296926</v>
      </c>
      <c r="AG48" s="17">
        <f t="shared" si="29"/>
        <v>0.36046049710631473</v>
      </c>
      <c r="AH48" s="17">
        <f t="shared" si="30"/>
        <v>0.11697391200292395</v>
      </c>
      <c r="AI48" s="17">
        <f t="shared" si="31"/>
        <v>0.11177917303941208</v>
      </c>
      <c r="AJ48" s="17">
        <f t="shared" si="32"/>
        <v>0.13127735025834852</v>
      </c>
    </row>
    <row r="49" spans="2:36">
      <c r="B49" s="3" t="s">
        <v>26</v>
      </c>
      <c r="C49" s="17">
        <f t="shared" si="3"/>
        <v>0.62790005368844837</v>
      </c>
      <c r="D49" s="17">
        <f t="shared" si="4"/>
        <v>0.63871344740030633</v>
      </c>
      <c r="E49" s="17">
        <f t="shared" si="5"/>
        <v>0.65006855647079598</v>
      </c>
      <c r="F49" s="17">
        <f t="shared" si="6"/>
        <v>0.66257027538200564</v>
      </c>
      <c r="G49" s="17">
        <f t="shared" si="7"/>
        <v>0.69481525982216463</v>
      </c>
      <c r="H49" s="17">
        <f t="shared" si="8"/>
        <v>0.7683162471848165</v>
      </c>
      <c r="I49" s="17">
        <f t="shared" si="9"/>
        <v>0.73167908953306315</v>
      </c>
      <c r="J49" s="17">
        <f t="shared" si="10"/>
        <v>0.46671623882513985</v>
      </c>
      <c r="K49" s="17">
        <f t="shared" si="11"/>
        <v>0.4358094366813986</v>
      </c>
      <c r="L49" s="17">
        <f t="shared" si="12"/>
        <v>0.3773491849912422</v>
      </c>
      <c r="N49" s="3" t="s">
        <v>26</v>
      </c>
      <c r="O49" s="17">
        <f t="shared" si="13"/>
        <v>0.24188010966483067</v>
      </c>
      <c r="P49" s="17">
        <f t="shared" si="14"/>
        <v>0.23575865555930081</v>
      </c>
      <c r="Q49" s="17">
        <f t="shared" si="15"/>
        <v>0.22845015632952811</v>
      </c>
      <c r="R49" s="17">
        <f t="shared" si="16"/>
        <v>0.22006122488772187</v>
      </c>
      <c r="S49" s="17">
        <f t="shared" si="17"/>
        <v>0.19877351350929617</v>
      </c>
      <c r="T49" s="17">
        <f t="shared" si="18"/>
        <v>0.1532565106807933</v>
      </c>
      <c r="U49" s="17">
        <f t="shared" si="19"/>
        <v>0.1391057616786214</v>
      </c>
      <c r="V49" s="17">
        <f t="shared" si="20"/>
        <v>0.18119360571154464</v>
      </c>
      <c r="W49" s="17">
        <f t="shared" si="21"/>
        <v>0.45203624554760119</v>
      </c>
      <c r="X49" s="17">
        <f t="shared" si="22"/>
        <v>0.4926983647772552</v>
      </c>
      <c r="Z49" s="9" t="s">
        <v>26</v>
      </c>
      <c r="AA49" s="17">
        <f t="shared" si="23"/>
        <v>0.1302198366467209</v>
      </c>
      <c r="AB49" s="17">
        <f t="shared" si="24"/>
        <v>0.12552789704039283</v>
      </c>
      <c r="AC49" s="17">
        <f t="shared" si="25"/>
        <v>0.12148128719967591</v>
      </c>
      <c r="AD49" s="17">
        <f t="shared" si="26"/>
        <v>0.11736849973027252</v>
      </c>
      <c r="AE49" s="17">
        <f t="shared" si="27"/>
        <v>0.10641122666853917</v>
      </c>
      <c r="AF49" s="17">
        <f t="shared" si="28"/>
        <v>7.8427242134390229E-2</v>
      </c>
      <c r="AG49" s="17">
        <f t="shared" si="29"/>
        <v>0.12921514878831539</v>
      </c>
      <c r="AH49" s="17">
        <f t="shared" si="30"/>
        <v>0.35209015546331551</v>
      </c>
      <c r="AI49" s="17">
        <f t="shared" si="31"/>
        <v>0.11215431777100018</v>
      </c>
      <c r="AJ49" s="17">
        <f t="shared" si="32"/>
        <v>0.12995245023150256</v>
      </c>
    </row>
    <row r="50" spans="2:36">
      <c r="B50" s="3" t="s">
        <v>27</v>
      </c>
      <c r="C50" s="17">
        <f t="shared" si="3"/>
        <v>0.75680326889407268</v>
      </c>
      <c r="D50" s="17">
        <f t="shared" si="4"/>
        <v>0.76365328839577595</v>
      </c>
      <c r="E50" s="17">
        <f t="shared" si="5"/>
        <v>0.7709808248552138</v>
      </c>
      <c r="F50" s="17">
        <f t="shared" si="6"/>
        <v>0.78040253975037688</v>
      </c>
      <c r="G50" s="17">
        <f t="shared" si="7"/>
        <v>0.80086579522966361</v>
      </c>
      <c r="H50" s="17">
        <f t="shared" si="8"/>
        <v>0.84854572939501927</v>
      </c>
      <c r="I50" s="17">
        <f t="shared" si="9"/>
        <v>0.8611825426747618</v>
      </c>
      <c r="J50" s="17">
        <f t="shared" si="10"/>
        <v>0.81868799509802648</v>
      </c>
      <c r="K50" s="17">
        <f t="shared" si="11"/>
        <v>0.54793980452951441</v>
      </c>
      <c r="L50" s="17">
        <f t="shared" si="12"/>
        <v>0.50611908669106764</v>
      </c>
      <c r="N50" s="3" t="s">
        <v>27</v>
      </c>
      <c r="O50" s="17">
        <f t="shared" si="13"/>
        <v>0.11852078906489472</v>
      </c>
      <c r="P50" s="17">
        <f t="shared" si="14"/>
        <v>0.11523860960150807</v>
      </c>
      <c r="Q50" s="17">
        <f t="shared" si="15"/>
        <v>0.11153774590233258</v>
      </c>
      <c r="R50" s="17">
        <f t="shared" si="16"/>
        <v>0.10756674141374921</v>
      </c>
      <c r="S50" s="17">
        <f t="shared" si="17"/>
        <v>9.7933808978231437E-2</v>
      </c>
      <c r="T50" s="17">
        <f t="shared" si="18"/>
        <v>7.3214823742090998E-2</v>
      </c>
      <c r="U50" s="17">
        <f t="shared" si="19"/>
        <v>6.9649891444246548E-2</v>
      </c>
      <c r="V50" s="17">
        <f t="shared" si="20"/>
        <v>6.0930647979623574E-2</v>
      </c>
      <c r="W50" s="17">
        <f t="shared" si="21"/>
        <v>0.11184605488502319</v>
      </c>
      <c r="X50" s="17">
        <f t="shared" si="22"/>
        <v>0.36291725622725401</v>
      </c>
      <c r="Z50" s="9" t="s">
        <v>27</v>
      </c>
      <c r="AA50" s="17">
        <f t="shared" si="23"/>
        <v>0.12467594204103262</v>
      </c>
      <c r="AB50" s="17">
        <f t="shared" si="24"/>
        <v>0.12110810200271599</v>
      </c>
      <c r="AC50" s="17">
        <f t="shared" si="25"/>
        <v>0.11748142924245361</v>
      </c>
      <c r="AD50" s="17">
        <f t="shared" si="26"/>
        <v>0.11203071883587391</v>
      </c>
      <c r="AE50" s="17">
        <f t="shared" si="27"/>
        <v>0.10120039579210499</v>
      </c>
      <c r="AF50" s="17">
        <f t="shared" si="28"/>
        <v>7.8239446862889736E-2</v>
      </c>
      <c r="AG50" s="17">
        <f t="shared" si="29"/>
        <v>6.9167565880991697E-2</v>
      </c>
      <c r="AH50" s="17">
        <f t="shared" si="30"/>
        <v>0.12038135692234994</v>
      </c>
      <c r="AI50" s="17">
        <f t="shared" si="31"/>
        <v>0.34021414058546234</v>
      </c>
      <c r="AJ50" s="17">
        <f t="shared" si="32"/>
        <v>0.13096365708167834</v>
      </c>
    </row>
    <row r="51" spans="2:36">
      <c r="B51" s="3" t="s">
        <v>28</v>
      </c>
      <c r="C51" s="17">
        <f t="shared" si="3"/>
        <v>0.47058639968794697</v>
      </c>
      <c r="D51" s="17">
        <f t="shared" si="4"/>
        <v>0.47989570200125686</v>
      </c>
      <c r="E51" s="17">
        <f t="shared" si="5"/>
        <v>0.48938957808613487</v>
      </c>
      <c r="F51" s="17">
        <f t="shared" si="6"/>
        <v>0.49647161299548875</v>
      </c>
      <c r="G51" s="17">
        <f t="shared" si="7"/>
        <v>0.51402522080892366</v>
      </c>
      <c r="H51" s="17">
        <f t="shared" si="8"/>
        <v>0.51855103626170262</v>
      </c>
      <c r="I51" s="17">
        <f t="shared" si="9"/>
        <v>0.47196762135493298</v>
      </c>
      <c r="J51" s="17">
        <f t="shared" si="10"/>
        <v>0.42134093157294739</v>
      </c>
      <c r="K51" s="17">
        <f t="shared" si="11"/>
        <v>0.36452379304327309</v>
      </c>
      <c r="L51" s="17">
        <f t="shared" si="12"/>
        <v>0.28322951375052408</v>
      </c>
      <c r="N51" s="3" t="s">
        <v>28</v>
      </c>
      <c r="O51" s="17">
        <f t="shared" si="13"/>
        <v>0.4323338967624496</v>
      </c>
      <c r="P51" s="17">
        <f t="shared" si="14"/>
        <v>0.42577289943492241</v>
      </c>
      <c r="Q51" s="17">
        <f t="shared" si="15"/>
        <v>0.41943823037091499</v>
      </c>
      <c r="R51" s="17">
        <f t="shared" si="16"/>
        <v>0.41562162794628116</v>
      </c>
      <c r="S51" s="17">
        <f t="shared" si="17"/>
        <v>0.39898471477952935</v>
      </c>
      <c r="T51" s="17">
        <f t="shared" si="18"/>
        <v>0.3700065751164911</v>
      </c>
      <c r="U51" s="17">
        <f t="shared" si="19"/>
        <v>0.41361665514247542</v>
      </c>
      <c r="V51" s="17">
        <f t="shared" si="20"/>
        <v>0.4620922109811374</v>
      </c>
      <c r="W51" s="17">
        <f t="shared" si="21"/>
        <v>0.52775083248760324</v>
      </c>
      <c r="X51" s="17">
        <f t="shared" si="22"/>
        <v>0.62956593073531264</v>
      </c>
      <c r="Z51" s="9" t="s">
        <v>28</v>
      </c>
      <c r="AA51" s="17">
        <f t="shared" si="23"/>
        <v>9.7079703549603436E-2</v>
      </c>
      <c r="AB51" s="17">
        <f t="shared" si="24"/>
        <v>9.4331398563820723E-2</v>
      </c>
      <c r="AC51" s="17">
        <f t="shared" si="25"/>
        <v>9.1172191542950115E-2</v>
      </c>
      <c r="AD51" s="17">
        <f t="shared" si="26"/>
        <v>8.7906759058230088E-2</v>
      </c>
      <c r="AE51" s="17">
        <f t="shared" si="27"/>
        <v>8.6990064411546983E-2</v>
      </c>
      <c r="AF51" s="17">
        <f t="shared" si="28"/>
        <v>0.1114423886218063</v>
      </c>
      <c r="AG51" s="17">
        <f t="shared" si="29"/>
        <v>0.11441572350259165</v>
      </c>
      <c r="AH51" s="17">
        <f t="shared" si="30"/>
        <v>0.11656685744591519</v>
      </c>
      <c r="AI51" s="17">
        <f t="shared" si="31"/>
        <v>0.10772537446912363</v>
      </c>
      <c r="AJ51" s="17">
        <f t="shared" si="32"/>
        <v>8.7204555514163298E-2</v>
      </c>
    </row>
    <row r="52" spans="2:36">
      <c r="B52" s="3" t="s">
        <v>29</v>
      </c>
      <c r="C52" s="17">
        <f t="shared" si="3"/>
        <v>0.45212794978449006</v>
      </c>
      <c r="D52" s="17">
        <f t="shared" si="4"/>
        <v>0.462427790808769</v>
      </c>
      <c r="E52" s="17">
        <f t="shared" si="5"/>
        <v>0.4717051333922227</v>
      </c>
      <c r="F52" s="17">
        <f t="shared" si="6"/>
        <v>0.47889763289198173</v>
      </c>
      <c r="G52" s="17">
        <f t="shared" si="7"/>
        <v>0.49548379878674659</v>
      </c>
      <c r="H52" s="17">
        <f t="shared" si="8"/>
        <v>0.49784691975850198</v>
      </c>
      <c r="I52" s="17">
        <f t="shared" si="9"/>
        <v>0.45562265365782739</v>
      </c>
      <c r="J52" s="17">
        <f t="shared" si="10"/>
        <v>0.40877522503493324</v>
      </c>
      <c r="K52" s="17">
        <f t="shared" si="11"/>
        <v>0.35116547875702653</v>
      </c>
      <c r="L52" s="17">
        <f t="shared" si="12"/>
        <v>0.27341963580426559</v>
      </c>
      <c r="N52" s="3" t="s">
        <v>29</v>
      </c>
      <c r="O52" s="17">
        <f t="shared" si="13"/>
        <v>0.45368679218812108</v>
      </c>
      <c r="P52" s="17">
        <f t="shared" si="14"/>
        <v>0.44737157242266229</v>
      </c>
      <c r="Q52" s="17">
        <f t="shared" si="15"/>
        <v>0.44072446931269865</v>
      </c>
      <c r="R52" s="17">
        <f t="shared" si="16"/>
        <v>0.43675906249756752</v>
      </c>
      <c r="S52" s="17">
        <f t="shared" si="17"/>
        <v>0.42080093459281337</v>
      </c>
      <c r="T52" s="17">
        <f t="shared" si="18"/>
        <v>0.39447051616821799</v>
      </c>
      <c r="U52" s="17">
        <f t="shared" si="19"/>
        <v>0.43425698515476124</v>
      </c>
      <c r="V52" s="17">
        <f t="shared" si="20"/>
        <v>0.47886133948591297</v>
      </c>
      <c r="W52" s="17">
        <f t="shared" si="21"/>
        <v>0.54511567926862636</v>
      </c>
      <c r="X52" s="17">
        <f t="shared" si="22"/>
        <v>0.64309285743982036</v>
      </c>
      <c r="Z52" s="9" t="s">
        <v>29</v>
      </c>
      <c r="AA52" s="17">
        <f t="shared" si="23"/>
        <v>9.4185258027388863E-2</v>
      </c>
      <c r="AB52" s="17">
        <f t="shared" si="24"/>
        <v>9.0200636768568723E-2</v>
      </c>
      <c r="AC52" s="17">
        <f t="shared" si="25"/>
        <v>8.7570397295078664E-2</v>
      </c>
      <c r="AD52" s="17">
        <f t="shared" si="26"/>
        <v>8.4343304610450767E-2</v>
      </c>
      <c r="AE52" s="17">
        <f t="shared" si="27"/>
        <v>8.3715266620440057E-2</v>
      </c>
      <c r="AF52" s="17">
        <f t="shared" si="28"/>
        <v>0.10768256407328</v>
      </c>
      <c r="AG52" s="17">
        <f t="shared" si="29"/>
        <v>0.11012036118741141</v>
      </c>
      <c r="AH52" s="17">
        <f t="shared" si="30"/>
        <v>0.1123634354791538</v>
      </c>
      <c r="AI52" s="17">
        <f t="shared" si="31"/>
        <v>0.10371884197434714</v>
      </c>
      <c r="AJ52" s="17">
        <f t="shared" si="32"/>
        <v>8.3487506755914029E-2</v>
      </c>
    </row>
    <row r="53" spans="2:36">
      <c r="B53" s="3" t="s">
        <v>30</v>
      </c>
      <c r="C53" s="17">
        <f t="shared" si="3"/>
        <v>0.43597619579504071</v>
      </c>
      <c r="D53" s="17">
        <f t="shared" si="4"/>
        <v>0.44404775505540955</v>
      </c>
      <c r="E53" s="17">
        <f t="shared" si="5"/>
        <v>0.45342675198984861</v>
      </c>
      <c r="F53" s="17">
        <f t="shared" si="6"/>
        <v>0.45987069055090291</v>
      </c>
      <c r="G53" s="17">
        <f t="shared" si="7"/>
        <v>0.47553546302569183</v>
      </c>
      <c r="H53" s="17">
        <f t="shared" si="8"/>
        <v>0.47870844364076315</v>
      </c>
      <c r="I53" s="17">
        <f t="shared" si="9"/>
        <v>0.44111647558960182</v>
      </c>
      <c r="J53" s="17">
        <f t="shared" si="10"/>
        <v>0.39295254643608035</v>
      </c>
      <c r="K53" s="17">
        <f t="shared" si="11"/>
        <v>0.33822425528414951</v>
      </c>
      <c r="L53" s="17">
        <f t="shared" si="12"/>
        <v>0.26329736374812185</v>
      </c>
      <c r="N53" s="3" t="s">
        <v>30</v>
      </c>
      <c r="O53" s="17">
        <f t="shared" si="13"/>
        <v>0.4734358683963073</v>
      </c>
      <c r="P53" s="17">
        <f t="shared" si="14"/>
        <v>0.46900543190386673</v>
      </c>
      <c r="Q53" s="17">
        <f t="shared" si="15"/>
        <v>0.46292289970539058</v>
      </c>
      <c r="R53" s="17">
        <f t="shared" si="16"/>
        <v>0.45943299183308745</v>
      </c>
      <c r="S53" s="17">
        <f t="shared" si="17"/>
        <v>0.44387930585231122</v>
      </c>
      <c r="T53" s="17">
        <f t="shared" si="18"/>
        <v>0.41796834854329146</v>
      </c>
      <c r="U53" s="17">
        <f t="shared" si="19"/>
        <v>0.45305013044517667</v>
      </c>
      <c r="V53" s="17">
        <f t="shared" si="20"/>
        <v>0.49864487031142657</v>
      </c>
      <c r="W53" s="17">
        <f t="shared" si="21"/>
        <v>0.56193338250912939</v>
      </c>
      <c r="X53" s="17">
        <f t="shared" si="22"/>
        <v>0.65556748037283485</v>
      </c>
      <c r="Z53" s="9" t="s">
        <v>30</v>
      </c>
      <c r="AA53" s="17">
        <f t="shared" si="23"/>
        <v>9.0587935808652015E-2</v>
      </c>
      <c r="AB53" s="17">
        <f t="shared" si="24"/>
        <v>8.69468130407237E-2</v>
      </c>
      <c r="AC53" s="17">
        <f t="shared" si="25"/>
        <v>8.3650348304760813E-2</v>
      </c>
      <c r="AD53" s="17">
        <f t="shared" si="26"/>
        <v>8.0696317616009636E-2</v>
      </c>
      <c r="AE53" s="17">
        <f t="shared" si="27"/>
        <v>8.0585231121996975E-2</v>
      </c>
      <c r="AF53" s="17">
        <f t="shared" si="28"/>
        <v>0.10332320781594541</v>
      </c>
      <c r="AG53" s="17">
        <f t="shared" si="29"/>
        <v>0.10583339396522155</v>
      </c>
      <c r="AH53" s="17">
        <f t="shared" si="30"/>
        <v>0.10840258325249306</v>
      </c>
      <c r="AI53" s="17">
        <f t="shared" si="31"/>
        <v>9.9842362206721047E-2</v>
      </c>
      <c r="AJ53" s="17">
        <f t="shared" si="32"/>
        <v>8.1135155879043325E-2</v>
      </c>
    </row>
    <row r="54" spans="2:36">
      <c r="B54" s="3" t="s">
        <v>31</v>
      </c>
      <c r="C54" s="17">
        <f t="shared" si="3"/>
        <v>0.41842163672022542</v>
      </c>
      <c r="D54" s="17">
        <f t="shared" si="4"/>
        <v>0.42609331513472648</v>
      </c>
      <c r="E54" s="17">
        <f t="shared" si="5"/>
        <v>0.43357365955231653</v>
      </c>
      <c r="F54" s="17">
        <f t="shared" si="6"/>
        <v>0.44152425548390783</v>
      </c>
      <c r="G54" s="17">
        <f t="shared" si="7"/>
        <v>0.45697824619279104</v>
      </c>
      <c r="H54" s="17">
        <f t="shared" si="8"/>
        <v>0.46288709576920678</v>
      </c>
      <c r="I54" s="17">
        <f t="shared" si="9"/>
        <v>0.42330131431440021</v>
      </c>
      <c r="J54" s="17">
        <f t="shared" si="10"/>
        <v>0.37691427205367434</v>
      </c>
      <c r="K54" s="17">
        <f t="shared" si="11"/>
        <v>0.3250319766232686</v>
      </c>
      <c r="L54" s="17">
        <f t="shared" si="12"/>
        <v>0.25349895509853321</v>
      </c>
      <c r="N54" s="3" t="s">
        <v>31</v>
      </c>
      <c r="O54" s="17">
        <f t="shared" si="13"/>
        <v>0.49486066889831798</v>
      </c>
      <c r="P54" s="17">
        <f t="shared" si="14"/>
        <v>0.49028373952745208</v>
      </c>
      <c r="Q54" s="17">
        <f t="shared" si="15"/>
        <v>0.48536048932847475</v>
      </c>
      <c r="R54" s="17">
        <f t="shared" si="16"/>
        <v>0.48095590136436689</v>
      </c>
      <c r="S54" s="17">
        <f t="shared" si="17"/>
        <v>0.46491461991651262</v>
      </c>
      <c r="T54" s="17">
        <f t="shared" si="18"/>
        <v>0.43733384219162147</v>
      </c>
      <c r="U54" s="17">
        <f t="shared" si="19"/>
        <v>0.47428854572269086</v>
      </c>
      <c r="V54" s="17">
        <f t="shared" si="20"/>
        <v>0.51872144101631978</v>
      </c>
      <c r="W54" s="17">
        <f t="shared" si="21"/>
        <v>0.57904627771307349</v>
      </c>
      <c r="X54" s="17">
        <f t="shared" si="22"/>
        <v>0.66938145739341026</v>
      </c>
      <c r="Z54" s="9" t="s">
        <v>31</v>
      </c>
      <c r="AA54" s="17">
        <f t="shared" si="23"/>
        <v>8.6717694381456614E-2</v>
      </c>
      <c r="AB54" s="17">
        <f t="shared" si="24"/>
        <v>8.36229453378214E-2</v>
      </c>
      <c r="AC54" s="17">
        <f t="shared" si="25"/>
        <v>8.1065851119208748E-2</v>
      </c>
      <c r="AD54" s="17">
        <f t="shared" si="26"/>
        <v>7.7519843151725235E-2</v>
      </c>
      <c r="AE54" s="17">
        <f t="shared" si="27"/>
        <v>7.8107133890696318E-2</v>
      </c>
      <c r="AF54" s="17">
        <f t="shared" si="28"/>
        <v>9.9779062039171709E-2</v>
      </c>
      <c r="AG54" s="17">
        <f t="shared" si="29"/>
        <v>0.10241013996290892</v>
      </c>
      <c r="AH54" s="17">
        <f t="shared" si="30"/>
        <v>0.10436428693000589</v>
      </c>
      <c r="AI54" s="17">
        <f t="shared" si="31"/>
        <v>9.5921745663657923E-2</v>
      </c>
      <c r="AJ54" s="17">
        <f t="shared" si="32"/>
        <v>7.7119587508056489E-2</v>
      </c>
    </row>
    <row r="55" spans="2:36">
      <c r="B55" s="3" t="s">
        <v>32</v>
      </c>
      <c r="C55" s="17">
        <f t="shared" si="3"/>
        <v>0.4002648267267287</v>
      </c>
      <c r="D55" s="17">
        <f t="shared" si="4"/>
        <v>0.40849447334369204</v>
      </c>
      <c r="E55" s="17">
        <f t="shared" si="5"/>
        <v>0.4168779498381246</v>
      </c>
      <c r="F55" s="17">
        <f t="shared" si="6"/>
        <v>0.4227488804326785</v>
      </c>
      <c r="G55" s="17">
        <f t="shared" si="7"/>
        <v>0.44196415807872746</v>
      </c>
      <c r="H55" s="17">
        <f t="shared" si="8"/>
        <v>0.44485988833664719</v>
      </c>
      <c r="I55" s="17">
        <f t="shared" si="9"/>
        <v>0.40649124176882434</v>
      </c>
      <c r="J55" s="17">
        <f t="shared" si="10"/>
        <v>0.36314745753448902</v>
      </c>
      <c r="K55" s="17">
        <f t="shared" si="11"/>
        <v>0.31213467581448567</v>
      </c>
      <c r="L55" s="17">
        <f t="shared" si="12"/>
        <v>0.24346814300946668</v>
      </c>
      <c r="N55" s="3" t="s">
        <v>32</v>
      </c>
      <c r="O55" s="17">
        <f t="shared" si="13"/>
        <v>0.51610315260640127</v>
      </c>
      <c r="P55" s="17">
        <f t="shared" si="14"/>
        <v>0.51062848501540814</v>
      </c>
      <c r="Q55" s="17">
        <f t="shared" si="15"/>
        <v>0.50564418613722351</v>
      </c>
      <c r="R55" s="17">
        <f t="shared" si="16"/>
        <v>0.50263668335245293</v>
      </c>
      <c r="S55" s="17">
        <f t="shared" si="17"/>
        <v>0.48444684141444333</v>
      </c>
      <c r="T55" s="17">
        <f t="shared" si="18"/>
        <v>0.45973924438274116</v>
      </c>
      <c r="U55" s="17">
        <f t="shared" si="19"/>
        <v>0.49599177533119909</v>
      </c>
      <c r="V55" s="17">
        <f t="shared" si="20"/>
        <v>0.53671018833945339</v>
      </c>
      <c r="W55" s="17">
        <f t="shared" si="21"/>
        <v>0.59593839699317885</v>
      </c>
      <c r="X55" s="17">
        <f t="shared" si="22"/>
        <v>0.68284659508064449</v>
      </c>
      <c r="Z55" s="9" t="s">
        <v>32</v>
      </c>
      <c r="AA55" s="17">
        <f t="shared" si="23"/>
        <v>8.3632020666870047E-2</v>
      </c>
      <c r="AB55" s="17">
        <f t="shared" si="24"/>
        <v>8.0877041640899858E-2</v>
      </c>
      <c r="AC55" s="17">
        <f t="shared" si="25"/>
        <v>7.7477864024651871E-2</v>
      </c>
      <c r="AD55" s="17">
        <f t="shared" si="26"/>
        <v>7.4614436214868587E-2</v>
      </c>
      <c r="AE55" s="17">
        <f t="shared" si="27"/>
        <v>7.3589000506829205E-2</v>
      </c>
      <c r="AF55" s="17">
        <f t="shared" si="28"/>
        <v>9.5400867280611645E-2</v>
      </c>
      <c r="AG55" s="17">
        <f t="shared" si="29"/>
        <v>9.7516982899976581E-2</v>
      </c>
      <c r="AH55" s="17">
        <f t="shared" si="30"/>
        <v>0.10014235412605757</v>
      </c>
      <c r="AI55" s="17">
        <f t="shared" si="31"/>
        <v>9.1926927192335514E-2</v>
      </c>
      <c r="AJ55" s="17">
        <f t="shared" si="32"/>
        <v>7.3685261909888777E-2</v>
      </c>
    </row>
    <row r="56" spans="2:36">
      <c r="B56" s="3" t="s">
        <v>33</v>
      </c>
      <c r="C56" s="17">
        <f t="shared" si="3"/>
        <v>0.35305591000234371</v>
      </c>
      <c r="D56" s="17">
        <f t="shared" si="4"/>
        <v>0.37450419774907079</v>
      </c>
      <c r="E56" s="17">
        <f t="shared" si="5"/>
        <v>0.39621973334993732</v>
      </c>
      <c r="F56" s="17">
        <f t="shared" si="6"/>
        <v>0.41874498383807213</v>
      </c>
      <c r="G56" s="17">
        <f t="shared" si="7"/>
        <v>0.42232299666413792</v>
      </c>
      <c r="H56" s="17">
        <f t="shared" si="8"/>
        <v>0.26178193570865826</v>
      </c>
      <c r="I56" s="17">
        <f t="shared" si="9"/>
        <v>0.24363807667231882</v>
      </c>
      <c r="J56" s="17">
        <f t="shared" si="10"/>
        <v>0.22949791964997573</v>
      </c>
      <c r="K56" s="17">
        <f t="shared" si="11"/>
        <v>0.21262626065507229</v>
      </c>
      <c r="L56" s="17">
        <f t="shared" si="12"/>
        <v>0.11535197557802698</v>
      </c>
      <c r="N56" s="3" t="s">
        <v>33</v>
      </c>
      <c r="O56" s="17">
        <f t="shared" si="13"/>
        <v>0.50681753079346892</v>
      </c>
      <c r="P56" s="17">
        <f t="shared" si="14"/>
        <v>0.49075195591713672</v>
      </c>
      <c r="Q56" s="17">
        <f t="shared" si="15"/>
        <v>0.47291340748062649</v>
      </c>
      <c r="R56" s="17">
        <f t="shared" si="16"/>
        <v>0.4597779987734309</v>
      </c>
      <c r="S56" s="17">
        <f t="shared" si="17"/>
        <v>0.41120085838693921</v>
      </c>
      <c r="T56" s="17">
        <f t="shared" si="18"/>
        <v>0.37009513953712109</v>
      </c>
      <c r="U56" s="17">
        <f t="shared" si="19"/>
        <v>0.6266873492886228</v>
      </c>
      <c r="V56" s="17">
        <f t="shared" si="20"/>
        <v>0.64973252642545276</v>
      </c>
      <c r="W56" s="17">
        <f t="shared" si="21"/>
        <v>0.67555434997554142</v>
      </c>
      <c r="X56" s="17">
        <f t="shared" si="22"/>
        <v>0.7543728093716332</v>
      </c>
      <c r="Z56" s="9" t="s">
        <v>33</v>
      </c>
      <c r="AA56" s="17">
        <f t="shared" si="23"/>
        <v>0.1401265592041874</v>
      </c>
      <c r="AB56" s="17">
        <f t="shared" si="24"/>
        <v>0.13474384633379252</v>
      </c>
      <c r="AC56" s="17">
        <f t="shared" si="25"/>
        <v>0.13086685916943616</v>
      </c>
      <c r="AD56" s="17">
        <f t="shared" si="26"/>
        <v>0.12147701738849696</v>
      </c>
      <c r="AE56" s="17">
        <f t="shared" si="27"/>
        <v>0.16647614494892285</v>
      </c>
      <c r="AF56" s="17">
        <f t="shared" si="28"/>
        <v>0.3681229247542207</v>
      </c>
      <c r="AG56" s="17">
        <f t="shared" si="29"/>
        <v>0.12967457403905841</v>
      </c>
      <c r="AH56" s="17">
        <f t="shared" si="30"/>
        <v>0.12076955392457155</v>
      </c>
      <c r="AI56" s="17">
        <f t="shared" si="31"/>
        <v>0.11181938936938625</v>
      </c>
      <c r="AJ56" s="17">
        <f t="shared" si="32"/>
        <v>0.13027521505033979</v>
      </c>
    </row>
    <row r="57" spans="2:36">
      <c r="B57" s="3" t="s">
        <v>34</v>
      </c>
      <c r="C57" s="17">
        <f t="shared" si="3"/>
        <v>0.49327820010191242</v>
      </c>
      <c r="D57" s="17">
        <f t="shared" si="4"/>
        <v>0.50966180445243725</v>
      </c>
      <c r="E57" s="17">
        <f t="shared" si="5"/>
        <v>0.52699432479059494</v>
      </c>
      <c r="F57" s="17">
        <f t="shared" si="6"/>
        <v>0.5403320351891201</v>
      </c>
      <c r="G57" s="17">
        <f t="shared" si="7"/>
        <v>0.58825495369786374</v>
      </c>
      <c r="H57" s="17">
        <f t="shared" si="8"/>
        <v>0.63128907490408592</v>
      </c>
      <c r="I57" s="17">
        <f t="shared" si="9"/>
        <v>0.37287507171450018</v>
      </c>
      <c r="J57" s="17">
        <f t="shared" si="10"/>
        <v>0.35024159294218782</v>
      </c>
      <c r="K57" s="17">
        <f t="shared" si="11"/>
        <v>0.32419543941754458</v>
      </c>
      <c r="L57" s="17">
        <f t="shared" si="12"/>
        <v>0.24576898124011073</v>
      </c>
      <c r="N57" s="3" t="s">
        <v>34</v>
      </c>
      <c r="O57" s="17">
        <f t="shared" si="13"/>
        <v>0.3724157922650555</v>
      </c>
      <c r="P57" s="17">
        <f t="shared" si="14"/>
        <v>0.3597775077027528</v>
      </c>
      <c r="Q57" s="17">
        <f t="shared" si="15"/>
        <v>0.34878468291946718</v>
      </c>
      <c r="R57" s="17">
        <f t="shared" si="16"/>
        <v>0.33720217609393482</v>
      </c>
      <c r="S57" s="17">
        <f t="shared" si="17"/>
        <v>0.30560970439717494</v>
      </c>
      <c r="T57" s="17">
        <f t="shared" si="18"/>
        <v>0.23128959546900296</v>
      </c>
      <c r="U57" s="17">
        <f t="shared" si="19"/>
        <v>0.26715261235922166</v>
      </c>
      <c r="V57" s="17">
        <f t="shared" si="20"/>
        <v>0.53267705237132468</v>
      </c>
      <c r="W57" s="17">
        <f t="shared" si="21"/>
        <v>0.56414722867888856</v>
      </c>
      <c r="X57" s="17">
        <f t="shared" si="22"/>
        <v>0.62344875646988007</v>
      </c>
      <c r="Z57" s="9" t="s">
        <v>34</v>
      </c>
      <c r="AA57" s="17">
        <f t="shared" si="23"/>
        <v>0.1343060076330321</v>
      </c>
      <c r="AB57" s="17">
        <f t="shared" si="24"/>
        <v>0.13056068784480993</v>
      </c>
      <c r="AC57" s="17">
        <f t="shared" si="25"/>
        <v>0.12422099228993788</v>
      </c>
      <c r="AD57" s="17">
        <f t="shared" si="26"/>
        <v>0.12246578871694513</v>
      </c>
      <c r="AE57" s="17">
        <f t="shared" si="27"/>
        <v>0.10613534190496131</v>
      </c>
      <c r="AF57" s="17">
        <f t="shared" si="28"/>
        <v>0.13742132962691112</v>
      </c>
      <c r="AG57" s="17">
        <f t="shared" si="29"/>
        <v>0.35997231592627815</v>
      </c>
      <c r="AH57" s="17">
        <f t="shared" si="30"/>
        <v>0.11708135468648755</v>
      </c>
      <c r="AI57" s="17">
        <f t="shared" si="31"/>
        <v>0.11165733190356682</v>
      </c>
      <c r="AJ57" s="17">
        <f t="shared" si="32"/>
        <v>0.13078226229000925</v>
      </c>
    </row>
    <row r="58" spans="2:36">
      <c r="B58" s="3" t="s">
        <v>35</v>
      </c>
      <c r="C58" s="17">
        <f t="shared" si="3"/>
        <v>0.62854861280908114</v>
      </c>
      <c r="D58" s="17">
        <f t="shared" si="4"/>
        <v>0.63913600058164288</v>
      </c>
      <c r="E58" s="17">
        <f t="shared" si="5"/>
        <v>0.65070319321441938</v>
      </c>
      <c r="F58" s="17">
        <f t="shared" si="6"/>
        <v>0.66254594096180575</v>
      </c>
      <c r="G58" s="17">
        <f t="shared" si="7"/>
        <v>0.6950983553692357</v>
      </c>
      <c r="H58" s="17">
        <f t="shared" si="8"/>
        <v>0.77035129580808981</v>
      </c>
      <c r="I58" s="17">
        <f t="shared" si="9"/>
        <v>0.7330192602604424</v>
      </c>
      <c r="J58" s="17">
        <f t="shared" si="10"/>
        <v>0.46653889403961468</v>
      </c>
      <c r="K58" s="17">
        <f t="shared" si="11"/>
        <v>0.43587641484952172</v>
      </c>
      <c r="L58" s="17">
        <f t="shared" si="12"/>
        <v>0.3775875209527037</v>
      </c>
      <c r="N58" s="3" t="s">
        <v>35</v>
      </c>
      <c r="O58" s="17">
        <f t="shared" si="13"/>
        <v>0.241435728294741</v>
      </c>
      <c r="P58" s="17">
        <f t="shared" si="14"/>
        <v>0.23543945200926475</v>
      </c>
      <c r="Q58" s="17">
        <f t="shared" si="15"/>
        <v>0.22857937299904371</v>
      </c>
      <c r="R58" s="17">
        <f t="shared" si="16"/>
        <v>0.21999584420981547</v>
      </c>
      <c r="S58" s="17">
        <f t="shared" si="17"/>
        <v>0.19865079942994454</v>
      </c>
      <c r="T58" s="17">
        <f t="shared" si="18"/>
        <v>0.15124993647041346</v>
      </c>
      <c r="U58" s="17">
        <f t="shared" si="19"/>
        <v>0.13879213994229719</v>
      </c>
      <c r="V58" s="17">
        <f t="shared" si="20"/>
        <v>0.18094759504387639</v>
      </c>
      <c r="W58" s="17">
        <f t="shared" si="21"/>
        <v>0.45226210073162754</v>
      </c>
      <c r="X58" s="17">
        <f t="shared" si="22"/>
        <v>0.49261802653121906</v>
      </c>
      <c r="Z58" s="9" t="s">
        <v>35</v>
      </c>
      <c r="AA58" s="17">
        <f t="shared" si="23"/>
        <v>0.13001565889617789</v>
      </c>
      <c r="AB58" s="17">
        <f t="shared" si="24"/>
        <v>0.12542454740909231</v>
      </c>
      <c r="AC58" s="17">
        <f t="shared" si="25"/>
        <v>0.12071743378653695</v>
      </c>
      <c r="AD58" s="17">
        <f t="shared" si="26"/>
        <v>0.11745821482837886</v>
      </c>
      <c r="AE58" s="17">
        <f t="shared" si="27"/>
        <v>0.10625084520081972</v>
      </c>
      <c r="AF58" s="17">
        <f t="shared" si="28"/>
        <v>7.8398767721496718E-2</v>
      </c>
      <c r="AG58" s="17">
        <f t="shared" si="29"/>
        <v>0.12818859979726041</v>
      </c>
      <c r="AH58" s="17">
        <f t="shared" si="30"/>
        <v>0.3525135109165089</v>
      </c>
      <c r="AI58" s="17">
        <f t="shared" si="31"/>
        <v>0.11186148441885074</v>
      </c>
      <c r="AJ58" s="17">
        <f t="shared" si="32"/>
        <v>0.12979445251607727</v>
      </c>
    </row>
    <row r="59" spans="2:36">
      <c r="B59" s="3" t="s">
        <v>36</v>
      </c>
      <c r="C59" s="17">
        <f t="shared" si="3"/>
        <v>0.7577378324562466</v>
      </c>
      <c r="D59" s="17">
        <f t="shared" si="4"/>
        <v>0.76484651305412121</v>
      </c>
      <c r="E59" s="17">
        <f t="shared" si="5"/>
        <v>0.77089236186510868</v>
      </c>
      <c r="F59" s="17">
        <f t="shared" si="6"/>
        <v>0.78041241809225725</v>
      </c>
      <c r="G59" s="17">
        <f t="shared" si="7"/>
        <v>0.80105928410762517</v>
      </c>
      <c r="H59" s="17">
        <f t="shared" si="8"/>
        <v>0.84757414484266036</v>
      </c>
      <c r="I59" s="17">
        <f t="shared" si="9"/>
        <v>0.86130818120562669</v>
      </c>
      <c r="J59" s="17">
        <f t="shared" si="10"/>
        <v>0.81920520678191666</v>
      </c>
      <c r="K59" s="17">
        <f t="shared" si="11"/>
        <v>0.54781181924907796</v>
      </c>
      <c r="L59" s="17">
        <f t="shared" si="12"/>
        <v>0.50648194658803136</v>
      </c>
      <c r="N59" s="3" t="s">
        <v>36</v>
      </c>
      <c r="O59" s="17">
        <f t="shared" si="13"/>
        <v>0.11857405359931135</v>
      </c>
      <c r="P59" s="17">
        <f t="shared" si="14"/>
        <v>0.11464940842625532</v>
      </c>
      <c r="Q59" s="17">
        <f t="shared" si="15"/>
        <v>0.11255589695845128</v>
      </c>
      <c r="R59" s="17">
        <f t="shared" si="16"/>
        <v>0.10770502150586612</v>
      </c>
      <c r="S59" s="17">
        <f t="shared" si="17"/>
        <v>9.7564139484082199E-2</v>
      </c>
      <c r="T59" s="17">
        <f t="shared" si="18"/>
        <v>7.3452447049614539E-2</v>
      </c>
      <c r="U59" s="17">
        <f t="shared" si="19"/>
        <v>6.9212578145121634E-2</v>
      </c>
      <c r="V59" s="17">
        <f t="shared" si="20"/>
        <v>6.0754453134544056E-2</v>
      </c>
      <c r="W59" s="17">
        <f t="shared" si="21"/>
        <v>0.11181255729433648</v>
      </c>
      <c r="X59" s="17">
        <f t="shared" si="22"/>
        <v>0.36271963271138224</v>
      </c>
      <c r="Z59" s="9" t="s">
        <v>36</v>
      </c>
      <c r="AA59" s="17">
        <f t="shared" si="23"/>
        <v>0.12368811394444205</v>
      </c>
      <c r="AB59" s="17">
        <f t="shared" si="24"/>
        <v>0.12050407851962341</v>
      </c>
      <c r="AC59" s="17">
        <f t="shared" si="25"/>
        <v>0.11655174117643999</v>
      </c>
      <c r="AD59" s="17">
        <f t="shared" si="26"/>
        <v>0.11188256040187664</v>
      </c>
      <c r="AE59" s="17">
        <f t="shared" si="27"/>
        <v>0.10137657640829266</v>
      </c>
      <c r="AF59" s="17">
        <f t="shared" si="28"/>
        <v>7.897340810772506E-2</v>
      </c>
      <c r="AG59" s="17">
        <f t="shared" si="29"/>
        <v>6.947924064925165E-2</v>
      </c>
      <c r="AH59" s="17">
        <f t="shared" si="30"/>
        <v>0.12004034008353932</v>
      </c>
      <c r="AI59" s="17">
        <f t="shared" si="31"/>
        <v>0.34037562345658562</v>
      </c>
      <c r="AJ59" s="17">
        <f t="shared" si="32"/>
        <v>0.13079842070058639</v>
      </c>
    </row>
    <row r="60" spans="2:36">
      <c r="B60" s="3" t="s">
        <v>37</v>
      </c>
      <c r="C60" s="17">
        <f t="shared" si="3"/>
        <v>1</v>
      </c>
      <c r="D60" s="17">
        <f t="shared" si="4"/>
        <v>1</v>
      </c>
      <c r="E60" s="17">
        <f t="shared" si="5"/>
        <v>1</v>
      </c>
      <c r="F60" s="17">
        <f t="shared" si="6"/>
        <v>1</v>
      </c>
      <c r="G60" s="17">
        <f t="shared" si="7"/>
        <v>1</v>
      </c>
      <c r="H60" s="17">
        <f t="shared" si="8"/>
        <v>1</v>
      </c>
      <c r="I60" s="17">
        <f t="shared" si="9"/>
        <v>1</v>
      </c>
      <c r="J60" s="17">
        <f t="shared" si="10"/>
        <v>1</v>
      </c>
      <c r="K60" s="17">
        <f t="shared" si="11"/>
        <v>0.92285585978448281</v>
      </c>
      <c r="L60" s="17">
        <f t="shared" si="12"/>
        <v>0.69209585140221463</v>
      </c>
      <c r="N60" s="3" t="s">
        <v>37</v>
      </c>
      <c r="O60" s="17">
        <f t="shared" si="13"/>
        <v>0</v>
      </c>
      <c r="P60" s="17">
        <f t="shared" si="14"/>
        <v>0</v>
      </c>
      <c r="Q60" s="17">
        <f t="shared" si="15"/>
        <v>0</v>
      </c>
      <c r="R60" s="17">
        <f t="shared" si="16"/>
        <v>0</v>
      </c>
      <c r="S60" s="17">
        <f t="shared" si="17"/>
        <v>0</v>
      </c>
      <c r="T60" s="17">
        <f t="shared" si="18"/>
        <v>0</v>
      </c>
      <c r="U60" s="17">
        <f t="shared" si="19"/>
        <v>0</v>
      </c>
      <c r="V60" s="17">
        <f t="shared" si="20"/>
        <v>0</v>
      </c>
      <c r="W60" s="17">
        <f t="shared" si="21"/>
        <v>0</v>
      </c>
      <c r="X60" s="17">
        <f t="shared" si="22"/>
        <v>0</v>
      </c>
      <c r="Z60" s="9" t="s">
        <v>37</v>
      </c>
      <c r="AA60" s="17">
        <f t="shared" si="23"/>
        <v>0</v>
      </c>
      <c r="AB60" s="17">
        <f t="shared" si="24"/>
        <v>0</v>
      </c>
      <c r="AC60" s="17">
        <f t="shared" si="25"/>
        <v>0</v>
      </c>
      <c r="AD60" s="17">
        <f t="shared" si="26"/>
        <v>0</v>
      </c>
      <c r="AE60" s="17">
        <f t="shared" si="27"/>
        <v>0</v>
      </c>
      <c r="AF60" s="17">
        <f t="shared" si="28"/>
        <v>0</v>
      </c>
      <c r="AG60" s="17">
        <f t="shared" si="29"/>
        <v>0</v>
      </c>
      <c r="AH60" s="17">
        <f t="shared" si="30"/>
        <v>0</v>
      </c>
      <c r="AI60" s="17">
        <f t="shared" si="31"/>
        <v>7.7144140215517215E-2</v>
      </c>
      <c r="AJ60" s="17">
        <f t="shared" si="32"/>
        <v>0.30790414859778542</v>
      </c>
    </row>
    <row r="62" spans="2:36">
      <c r="B62" s="1" t="s">
        <v>41</v>
      </c>
      <c r="C62" s="1"/>
      <c r="D62" s="1"/>
      <c r="E62" s="1"/>
      <c r="F62" s="1"/>
      <c r="G62" s="1"/>
      <c r="H62" s="1"/>
      <c r="I62" s="1"/>
      <c r="J62" s="1"/>
      <c r="K62" s="1"/>
      <c r="L62" s="1"/>
      <c r="N62" s="20" t="s">
        <v>42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1" t="s">
        <v>43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2:36">
      <c r="B63" s="2"/>
      <c r="C63" s="3">
        <v>2</v>
      </c>
      <c r="D63" s="3">
        <v>3</v>
      </c>
      <c r="E63" s="3">
        <v>4</v>
      </c>
      <c r="F63" s="3">
        <v>5</v>
      </c>
      <c r="G63" s="3">
        <v>6</v>
      </c>
      <c r="H63" s="3">
        <v>7</v>
      </c>
      <c r="I63" s="3">
        <v>8</v>
      </c>
      <c r="J63" s="3">
        <v>9</v>
      </c>
      <c r="K63" s="3">
        <v>10</v>
      </c>
      <c r="L63" s="3" t="s">
        <v>7</v>
      </c>
      <c r="N63" s="2"/>
      <c r="O63" s="12">
        <v>2</v>
      </c>
      <c r="P63" s="12">
        <v>3</v>
      </c>
      <c r="Q63" s="12">
        <v>4</v>
      </c>
      <c r="R63" s="12">
        <v>5</v>
      </c>
      <c r="S63" s="12">
        <v>6</v>
      </c>
      <c r="T63" s="12">
        <v>7</v>
      </c>
      <c r="U63" s="12">
        <v>8</v>
      </c>
      <c r="V63" s="12">
        <v>9</v>
      </c>
      <c r="W63" s="12">
        <v>10</v>
      </c>
      <c r="X63" s="12" t="s">
        <v>7</v>
      </c>
      <c r="Z63" s="2"/>
      <c r="AA63" s="3">
        <v>2</v>
      </c>
      <c r="AB63" s="3">
        <v>3</v>
      </c>
      <c r="AC63" s="3">
        <v>4</v>
      </c>
      <c r="AD63" s="3">
        <v>5</v>
      </c>
      <c r="AE63" s="3">
        <v>6</v>
      </c>
      <c r="AF63" s="3">
        <v>7</v>
      </c>
      <c r="AG63" s="3">
        <v>8</v>
      </c>
      <c r="AH63" s="3">
        <v>9</v>
      </c>
      <c r="AI63" s="3">
        <v>10</v>
      </c>
      <c r="AJ63" s="3" t="s">
        <v>7</v>
      </c>
    </row>
    <row r="64" spans="2:36">
      <c r="B64" s="3" t="s">
        <v>11</v>
      </c>
      <c r="C64" s="17">
        <f>C34-O34</f>
        <v>-0.17875040287784738</v>
      </c>
      <c r="D64" s="17">
        <f t="shared" ref="D64:L64" si="33">D34-P34</f>
        <v>-0.16988139622494447</v>
      </c>
      <c r="E64" s="17">
        <f t="shared" si="33"/>
        <v>-0.15405666807309082</v>
      </c>
      <c r="F64" s="17">
        <f t="shared" si="33"/>
        <v>-0.14331441892970209</v>
      </c>
      <c r="G64" s="17">
        <f t="shared" si="33"/>
        <v>-0.11735991169404586</v>
      </c>
      <c r="H64" s="17">
        <f t="shared" si="33"/>
        <v>-9.2720968283159899E-2</v>
      </c>
      <c r="I64" s="17">
        <f t="shared" si="33"/>
        <v>-0.16185640164313286</v>
      </c>
      <c r="J64" s="17">
        <f t="shared" si="33"/>
        <v>-0.24516774107985673</v>
      </c>
      <c r="K64" s="17">
        <f t="shared" si="33"/>
        <v>-0.343110759391894</v>
      </c>
      <c r="L64" s="17">
        <f t="shared" si="33"/>
        <v>-0.48856195343141395</v>
      </c>
      <c r="N64" s="11" t="s">
        <v>11</v>
      </c>
      <c r="O64" s="17">
        <v>-0.29343488733852552</v>
      </c>
      <c r="P64" s="17">
        <v>-0.25379990314417888</v>
      </c>
      <c r="Q64" s="17">
        <v>-0.20855141085545292</v>
      </c>
      <c r="R64" s="17">
        <v>-0.1631764877267099</v>
      </c>
      <c r="S64" s="17">
        <v>-0.15431907727916983</v>
      </c>
      <c r="T64" s="17">
        <v>-0.47739033205918302</v>
      </c>
      <c r="U64" s="17">
        <v>-0.51190378495682531</v>
      </c>
      <c r="V64" s="17">
        <v>-0.54141492329511509</v>
      </c>
      <c r="W64" s="17">
        <v>-0.57480113432442193</v>
      </c>
      <c r="X64" s="17">
        <v>-0.76931502210761438</v>
      </c>
      <c r="Z64" s="3" t="s">
        <v>11</v>
      </c>
      <c r="AA64" s="17" t="str">
        <f>IF(ABS(C64-O64)&lt;0.005,"PARE",IF(C64&gt;O64,"PEÇA","PARE"))</f>
        <v>PEÇA</v>
      </c>
      <c r="AB64" s="17" t="str">
        <f t="shared" ref="AB64:AJ64" si="34">IF(ABS(D64-P64)&lt;0.005,"PARE",IF(D64&gt;P64,"PEÇA","PARE"))</f>
        <v>PEÇA</v>
      </c>
      <c r="AC64" s="17" t="str">
        <f t="shared" si="34"/>
        <v>PEÇA</v>
      </c>
      <c r="AD64" s="17" t="str">
        <f t="shared" si="34"/>
        <v>PEÇA</v>
      </c>
      <c r="AE64" s="17" t="str">
        <f t="shared" si="34"/>
        <v>PEÇA</v>
      </c>
      <c r="AF64" s="17" t="str">
        <f t="shared" si="34"/>
        <v>PEÇA</v>
      </c>
      <c r="AG64" s="17" t="str">
        <f t="shared" si="34"/>
        <v>PEÇA</v>
      </c>
      <c r="AH64" s="17" t="str">
        <f t="shared" si="34"/>
        <v>PEÇA</v>
      </c>
      <c r="AI64" s="17" t="str">
        <f t="shared" si="34"/>
        <v>PEÇA</v>
      </c>
      <c r="AJ64" s="17" t="str">
        <f t="shared" si="34"/>
        <v>PEÇA</v>
      </c>
    </row>
    <row r="65" spans="2:36">
      <c r="B65" s="3" t="s">
        <v>12</v>
      </c>
      <c r="C65" s="17">
        <f t="shared" ref="C65:C90" si="35">C35-O35</f>
        <v>-0.20675249858840489</v>
      </c>
      <c r="D65" s="17">
        <f t="shared" ref="D65:D90" si="36">D35-P35</f>
        <v>-0.19595741136911365</v>
      </c>
      <c r="E65" s="17">
        <f t="shared" ref="E65:E90" si="37">E35-Q35</f>
        <v>-0.187194336860249</v>
      </c>
      <c r="F65" s="17">
        <f t="shared" ref="F65:F90" si="38">F35-R35</f>
        <v>-0.17306331581546691</v>
      </c>
      <c r="G65" s="17">
        <f t="shared" ref="G65:G90" si="39">G35-S35</f>
        <v>-0.148602735457738</v>
      </c>
      <c r="H65" s="17">
        <f t="shared" ref="H65:H90" si="40">H35-T35</f>
        <v>-0.11876303295354684</v>
      </c>
      <c r="I65" s="17">
        <f t="shared" ref="I65:I90" si="41">I35-U35</f>
        <v>-0.18746778501476036</v>
      </c>
      <c r="J65" s="17">
        <f t="shared" ref="J65:J90" si="42">J35-V35</f>
        <v>-0.2673898217011465</v>
      </c>
      <c r="K65" s="17">
        <f t="shared" ref="K65:K90" si="43">K35-W35</f>
        <v>-0.36549880068910462</v>
      </c>
      <c r="L65" s="17">
        <f t="shared" ref="L65:L90" si="44">L35-X35</f>
        <v>-0.50211471618214198</v>
      </c>
      <c r="N65" s="11" t="s">
        <v>12</v>
      </c>
      <c r="O65" s="17">
        <v>-0.29135938245460768</v>
      </c>
      <c r="P65" s="17">
        <v>-0.25437839972152809</v>
      </c>
      <c r="Q65" s="17">
        <v>-0.20707760896223476</v>
      </c>
      <c r="R65" s="17">
        <v>-0.16195498355513221</v>
      </c>
      <c r="S65" s="17">
        <v>-0.1554367633286311</v>
      </c>
      <c r="T65" s="17">
        <v>-0.47551082979961756</v>
      </c>
      <c r="U65" s="17">
        <v>-0.51415934376400441</v>
      </c>
      <c r="V65" s="17">
        <v>-0.54199339741974706</v>
      </c>
      <c r="W65" s="17">
        <v>-0.574497668691069</v>
      </c>
      <c r="X65" s="17">
        <v>-0.7704618257914404</v>
      </c>
      <c r="Z65" s="3" t="s">
        <v>12</v>
      </c>
      <c r="AA65" s="17" t="str">
        <f t="shared" ref="AA65:AA90" si="45">IF(ABS(C65-O65)&lt;0.01,"PARE",IF(C65&gt;O65,"PEÇA","PARE"))</f>
        <v>PEÇA</v>
      </c>
      <c r="AB65" s="17" t="str">
        <f t="shared" ref="AB65:AB90" si="46">IF(ABS(D65-P65)&lt;0.01,"PARE",IF(D65&gt;P65,"PEÇA","PARE"))</f>
        <v>PEÇA</v>
      </c>
      <c r="AC65" s="17" t="str">
        <f t="shared" ref="AC65:AC90" si="47">IF(ABS(E65-Q65)&lt;0.01,"PARE",IF(E65&gt;Q65,"PEÇA","PARE"))</f>
        <v>PEÇA</v>
      </c>
      <c r="AD65" s="17" t="str">
        <f t="shared" ref="AD65:AD90" si="48">IF(ABS(F65-R65)&lt;0.01,"PARE",IF(F65&gt;R65,"PEÇA","PARE"))</f>
        <v>PARE</v>
      </c>
      <c r="AE65" s="17" t="str">
        <f t="shared" ref="AE65:AE90" si="49">IF(ABS(G65-S65)&lt;0.01,"PARE",IF(G65&gt;S65,"PEÇA","PARE"))</f>
        <v>PARE</v>
      </c>
      <c r="AF65" s="17" t="str">
        <f t="shared" ref="AF65:AF90" si="50">IF(ABS(H65-T65)&lt;0.01,"PARE",IF(H65&gt;T65,"PEÇA","PARE"))</f>
        <v>PEÇA</v>
      </c>
      <c r="AG65" s="17" t="str">
        <f t="shared" ref="AG65:AG90" si="51">IF(ABS(I65-U65)&lt;0.01,"PARE",IF(I65&gt;U65,"PEÇA","PARE"))</f>
        <v>PEÇA</v>
      </c>
      <c r="AH65" s="17" t="str">
        <f t="shared" ref="AH65:AH90" si="52">IF(ABS(J65-V65)&lt;0.01,"PARE",IF(J65&gt;V65,"PEÇA","PARE"))</f>
        <v>PEÇA</v>
      </c>
      <c r="AI65" s="17" t="str">
        <f t="shared" ref="AI65:AI90" si="53">IF(ABS(K65-W65)&lt;0.01,"PARE",IF(K65&gt;W65,"PEÇA","PARE"))</f>
        <v>PEÇA</v>
      </c>
      <c r="AJ65" s="17" t="str">
        <f t="shared" ref="AJ65:AJ90" si="54">IF(ABS(L65-X65)&lt;0.01,"PARE",IF(L65&gt;X65,"PEÇA","PARE"))</f>
        <v>PEÇA</v>
      </c>
    </row>
    <row r="66" spans="2:36">
      <c r="B66" s="3" t="s">
        <v>13</v>
      </c>
      <c r="C66" s="17">
        <f t="shared" si="35"/>
        <v>-0.24440662585205597</v>
      </c>
      <c r="D66" s="17">
        <f t="shared" si="36"/>
        <v>-0.23427530218199627</v>
      </c>
      <c r="E66" s="17">
        <f t="shared" si="37"/>
        <v>-0.21968886702942958</v>
      </c>
      <c r="F66" s="17">
        <f t="shared" si="38"/>
        <v>-0.20889816955358331</v>
      </c>
      <c r="G66" s="17">
        <f t="shared" si="39"/>
        <v>-0.17869649059160236</v>
      </c>
      <c r="H66" s="17">
        <f t="shared" si="40"/>
        <v>-0.16224449596095264</v>
      </c>
      <c r="I66" s="17">
        <f t="shared" si="41"/>
        <v>-0.24165522299553693</v>
      </c>
      <c r="J66" s="17">
        <f t="shared" si="42"/>
        <v>-0.31252971543331914</v>
      </c>
      <c r="K66" s="17">
        <f t="shared" si="43"/>
        <v>-0.40237571545752232</v>
      </c>
      <c r="L66" s="17">
        <f t="shared" si="44"/>
        <v>-0.53513399670825978</v>
      </c>
      <c r="N66" s="11" t="s">
        <v>13</v>
      </c>
      <c r="O66" s="17">
        <v>-0.2954924657854659</v>
      </c>
      <c r="P66" s="17">
        <v>-0.25273906160924492</v>
      </c>
      <c r="Q66" s="17">
        <v>-0.20985695089605683</v>
      </c>
      <c r="R66" s="17">
        <v>-0.16436869355684691</v>
      </c>
      <c r="S66" s="17">
        <v>-0.15323744277411605</v>
      </c>
      <c r="T66" s="17">
        <v>-0.47437576318729119</v>
      </c>
      <c r="U66" s="17">
        <v>-0.51378782673870282</v>
      </c>
      <c r="V66" s="17">
        <v>-0.54268853533927719</v>
      </c>
      <c r="W66" s="17">
        <v>-0.57500039820084736</v>
      </c>
      <c r="X66" s="17">
        <v>-0.76971815599737825</v>
      </c>
      <c r="Z66" s="3" t="s">
        <v>13</v>
      </c>
      <c r="AA66" s="17" t="str">
        <f t="shared" si="45"/>
        <v>PEÇA</v>
      </c>
      <c r="AB66" s="17" t="str">
        <f t="shared" si="46"/>
        <v>PEÇA</v>
      </c>
      <c r="AC66" s="17" t="str">
        <f t="shared" si="47"/>
        <v>PARE</v>
      </c>
      <c r="AD66" s="17" t="str">
        <f t="shared" si="48"/>
        <v>PARE</v>
      </c>
      <c r="AE66" s="17" t="str">
        <f t="shared" si="49"/>
        <v>PARE</v>
      </c>
      <c r="AF66" s="17" t="str">
        <f t="shared" si="50"/>
        <v>PEÇA</v>
      </c>
      <c r="AG66" s="17" t="str">
        <f t="shared" si="51"/>
        <v>PEÇA</v>
      </c>
      <c r="AH66" s="17" t="str">
        <f t="shared" si="52"/>
        <v>PEÇA</v>
      </c>
      <c r="AI66" s="17" t="str">
        <f t="shared" si="53"/>
        <v>PEÇA</v>
      </c>
      <c r="AJ66" s="17" t="str">
        <f t="shared" si="54"/>
        <v>PEÇA</v>
      </c>
    </row>
    <row r="67" spans="2:36">
      <c r="B67" s="3" t="s">
        <v>14</v>
      </c>
      <c r="C67" s="17">
        <f t="shared" si="35"/>
        <v>-0.15826542559343204</v>
      </c>
      <c r="D67" s="17">
        <f t="shared" si="36"/>
        <v>-0.14030556901544217</v>
      </c>
      <c r="E67" s="17">
        <f t="shared" si="37"/>
        <v>-0.11862180813815759</v>
      </c>
      <c r="F67" s="17">
        <f t="shared" si="38"/>
        <v>-9.6580403656392533E-2</v>
      </c>
      <c r="G67" s="17">
        <f t="shared" si="39"/>
        <v>-5.7834365083493711E-2</v>
      </c>
      <c r="H67" s="17">
        <f t="shared" si="40"/>
        <v>-6.8609768602741539E-2</v>
      </c>
      <c r="I67" s="17">
        <f t="shared" si="41"/>
        <v>-0.21093950460175565</v>
      </c>
      <c r="J67" s="17">
        <f t="shared" si="42"/>
        <v>-0.28916618514935694</v>
      </c>
      <c r="K67" s="17">
        <f t="shared" si="43"/>
        <v>-0.37384486548319473</v>
      </c>
      <c r="L67" s="17">
        <f t="shared" si="44"/>
        <v>-0.52428073461318347</v>
      </c>
      <c r="N67" s="11" t="s">
        <v>14</v>
      </c>
      <c r="O67" s="17">
        <v>-0.29129696446831099</v>
      </c>
      <c r="P67" s="17">
        <v>-0.2502357185715065</v>
      </c>
      <c r="Q67" s="17">
        <v>-0.20927676927604016</v>
      </c>
      <c r="R67" s="17">
        <v>-0.16480319474614014</v>
      </c>
      <c r="S67" s="17">
        <v>-0.15356854267727088</v>
      </c>
      <c r="T67" s="17">
        <v>-0.47689563678862029</v>
      </c>
      <c r="U67" s="17">
        <v>-0.51177402825037532</v>
      </c>
      <c r="V67" s="17">
        <v>-0.54087120542905542</v>
      </c>
      <c r="W67" s="17">
        <v>-0.5752360036487989</v>
      </c>
      <c r="X67" s="17">
        <v>-0.76963467856107481</v>
      </c>
      <c r="Z67" s="3" t="s">
        <v>14</v>
      </c>
      <c r="AA67" s="17" t="str">
        <f t="shared" si="45"/>
        <v>PEÇA</v>
      </c>
      <c r="AB67" s="17" t="str">
        <f t="shared" si="46"/>
        <v>PEÇA</v>
      </c>
      <c r="AC67" s="17" t="str">
        <f t="shared" si="47"/>
        <v>PEÇA</v>
      </c>
      <c r="AD67" s="17" t="str">
        <f t="shared" si="48"/>
        <v>PEÇA</v>
      </c>
      <c r="AE67" s="17" t="str">
        <f t="shared" si="49"/>
        <v>PEÇA</v>
      </c>
      <c r="AF67" s="17" t="str">
        <f t="shared" si="50"/>
        <v>PEÇA</v>
      </c>
      <c r="AG67" s="17" t="str">
        <f t="shared" si="51"/>
        <v>PEÇA</v>
      </c>
      <c r="AH67" s="17" t="str">
        <f t="shared" si="52"/>
        <v>PEÇA</v>
      </c>
      <c r="AI67" s="17" t="str">
        <f t="shared" si="53"/>
        <v>PEÇA</v>
      </c>
      <c r="AJ67" s="17" t="str">
        <f t="shared" si="54"/>
        <v>PEÇA</v>
      </c>
    </row>
    <row r="68" spans="2:36">
      <c r="B68" s="3" t="s">
        <v>15</v>
      </c>
      <c r="C68" s="17">
        <f t="shared" si="35"/>
        <v>-6.4813717998950804E-2</v>
      </c>
      <c r="D68" s="17">
        <f t="shared" si="36"/>
        <v>-5.0571730166241113E-2</v>
      </c>
      <c r="E68" s="17">
        <f t="shared" si="37"/>
        <v>-3.2345664582237532E-2</v>
      </c>
      <c r="F68" s="17">
        <f t="shared" si="38"/>
        <v>-1.137325963631064E-2</v>
      </c>
      <c r="G68" s="17">
        <f t="shared" si="39"/>
        <v>3.3959825431781221E-2</v>
      </c>
      <c r="H68" s="17">
        <f t="shared" si="40"/>
        <v>8.4009787699397098E-2</v>
      </c>
      <c r="I68" s="17">
        <f t="shared" si="41"/>
        <v>-5.6211995667408698E-2</v>
      </c>
      <c r="J68" s="17">
        <f t="shared" si="42"/>
        <v>-0.20947436712522544</v>
      </c>
      <c r="K68" s="17">
        <f t="shared" si="43"/>
        <v>-0.30571862889791551</v>
      </c>
      <c r="L68" s="17">
        <f t="shared" si="44"/>
        <v>-0.44621578099838977</v>
      </c>
      <c r="N68" s="11" t="s">
        <v>15</v>
      </c>
      <c r="O68" s="17">
        <v>-0.29330864162184467</v>
      </c>
      <c r="P68" s="17">
        <v>-0.25150861508874972</v>
      </c>
      <c r="Q68" s="17">
        <v>-0.2098842144534992</v>
      </c>
      <c r="R68" s="17">
        <v>-0.1634558919059374</v>
      </c>
      <c r="S68" s="17">
        <v>-0.15565612155756364</v>
      </c>
      <c r="T68" s="17">
        <v>-0.47606402328119318</v>
      </c>
      <c r="U68" s="17">
        <v>-0.51223287455995803</v>
      </c>
      <c r="V68" s="17">
        <v>-0.54218612093584317</v>
      </c>
      <c r="W68" s="17">
        <v>-0.57505482809044794</v>
      </c>
      <c r="X68" s="17">
        <v>-0.76961556697214339</v>
      </c>
      <c r="Z68" s="3" t="s">
        <v>15</v>
      </c>
      <c r="AA68" s="17" t="str">
        <f t="shared" si="45"/>
        <v>PEÇA</v>
      </c>
      <c r="AB68" s="17" t="str">
        <f t="shared" si="46"/>
        <v>PEÇA</v>
      </c>
      <c r="AC68" s="17" t="str">
        <f t="shared" si="47"/>
        <v>PEÇA</v>
      </c>
      <c r="AD68" s="17" t="str">
        <f t="shared" si="48"/>
        <v>PEÇA</v>
      </c>
      <c r="AE68" s="17" t="str">
        <f t="shared" si="49"/>
        <v>PEÇA</v>
      </c>
      <c r="AF68" s="17" t="str">
        <f t="shared" si="50"/>
        <v>PEÇA</v>
      </c>
      <c r="AG68" s="17" t="str">
        <f t="shared" si="51"/>
        <v>PEÇA</v>
      </c>
      <c r="AH68" s="17" t="str">
        <f t="shared" si="52"/>
        <v>PEÇA</v>
      </c>
      <c r="AI68" s="17" t="str">
        <f t="shared" si="53"/>
        <v>PEÇA</v>
      </c>
      <c r="AJ68" s="17" t="str">
        <f t="shared" si="54"/>
        <v>PEÇA</v>
      </c>
    </row>
    <row r="69" spans="2:36">
      <c r="B69" s="3" t="s">
        <v>16</v>
      </c>
      <c r="C69" s="17">
        <f t="shared" si="35"/>
        <v>3.1192894424349804E-2</v>
      </c>
      <c r="D69" s="17">
        <f t="shared" si="36"/>
        <v>4.8399985966498915E-2</v>
      </c>
      <c r="E69" s="17">
        <f t="shared" si="37"/>
        <v>6.2589490589033236E-2</v>
      </c>
      <c r="F69" s="17">
        <f t="shared" si="38"/>
        <v>8.0752157797812474E-2</v>
      </c>
      <c r="G69" s="17">
        <f t="shared" si="39"/>
        <v>0.11928585187074742</v>
      </c>
      <c r="H69" s="17">
        <f t="shared" si="40"/>
        <v>0.1732738517692386</v>
      </c>
      <c r="I69" s="17">
        <f t="shared" si="41"/>
        <v>9.7352815419665006E-2</v>
      </c>
      <c r="J69" s="17">
        <f t="shared" si="42"/>
        <v>-5.200162030365113E-2</v>
      </c>
      <c r="K69" s="17">
        <f t="shared" si="43"/>
        <v>-0.21632675223267994</v>
      </c>
      <c r="L69" s="17">
        <f t="shared" si="44"/>
        <v>-0.35516960185410379</v>
      </c>
      <c r="N69" s="11" t="s">
        <v>16</v>
      </c>
      <c r="O69" s="17">
        <v>-0.29183514794715038</v>
      </c>
      <c r="P69" s="17">
        <v>-0.25229882142731741</v>
      </c>
      <c r="Q69" s="17">
        <v>-0.20899284411831265</v>
      </c>
      <c r="R69" s="17">
        <v>-0.16410295046022189</v>
      </c>
      <c r="S69" s="17">
        <v>-0.15468524423302621</v>
      </c>
      <c r="T69" s="17">
        <v>-0.47485857623872646</v>
      </c>
      <c r="U69" s="17">
        <v>-0.51225088565319843</v>
      </c>
      <c r="V69" s="17">
        <v>-0.54101592686344824</v>
      </c>
      <c r="W69" s="17">
        <v>-0.57487331722381718</v>
      </c>
      <c r="X69" s="17">
        <v>-0.76852018950257528</v>
      </c>
      <c r="Z69" s="3" t="s">
        <v>16</v>
      </c>
      <c r="AA69" s="17" t="str">
        <f t="shared" si="45"/>
        <v>PEÇA</v>
      </c>
      <c r="AB69" s="17" t="str">
        <f t="shared" si="46"/>
        <v>PEÇA</v>
      </c>
      <c r="AC69" s="17" t="str">
        <f t="shared" si="47"/>
        <v>PEÇA</v>
      </c>
      <c r="AD69" s="17" t="str">
        <f t="shared" si="48"/>
        <v>PEÇA</v>
      </c>
      <c r="AE69" s="17" t="str">
        <f t="shared" si="49"/>
        <v>PEÇA</v>
      </c>
      <c r="AF69" s="17" t="str">
        <f t="shared" si="50"/>
        <v>PEÇA</v>
      </c>
      <c r="AG69" s="17" t="str">
        <f t="shared" si="51"/>
        <v>PEÇA</v>
      </c>
      <c r="AH69" s="17" t="str">
        <f t="shared" si="52"/>
        <v>PEÇA</v>
      </c>
      <c r="AI69" s="17" t="str">
        <f t="shared" si="53"/>
        <v>PEÇA</v>
      </c>
      <c r="AJ69" s="17" t="str">
        <f t="shared" si="54"/>
        <v>PEÇA</v>
      </c>
    </row>
    <row r="70" spans="2:36">
      <c r="B70" s="3" t="s">
        <v>17</v>
      </c>
      <c r="C70" s="17">
        <f t="shared" si="35"/>
        <v>0.14379619134130733</v>
      </c>
      <c r="D70" s="17">
        <f t="shared" si="36"/>
        <v>0.15749324967614059</v>
      </c>
      <c r="E70" s="17">
        <f t="shared" si="37"/>
        <v>0.16907378315551203</v>
      </c>
      <c r="F70" s="17">
        <f t="shared" si="38"/>
        <v>0.18436900554947322</v>
      </c>
      <c r="G70" s="17">
        <f t="shared" si="39"/>
        <v>0.21822522044229947</v>
      </c>
      <c r="H70" s="17">
        <f t="shared" si="40"/>
        <v>0.25697309399488028</v>
      </c>
      <c r="I70" s="17">
        <f t="shared" si="41"/>
        <v>0.19709579411027356</v>
      </c>
      <c r="J70" s="17">
        <f t="shared" si="42"/>
        <v>0.11308400150395309</v>
      </c>
      <c r="K70" s="17">
        <f t="shared" si="43"/>
        <v>-5.3838664626993549E-2</v>
      </c>
      <c r="L70" s="17">
        <f t="shared" si="44"/>
        <v>-0.25316570834551538</v>
      </c>
      <c r="N70" s="11" t="s">
        <v>17</v>
      </c>
      <c r="O70" s="17">
        <v>-0.29543188126921804</v>
      </c>
      <c r="P70" s="17">
        <v>-0.25185443812633929</v>
      </c>
      <c r="Q70" s="17">
        <v>-0.20917110149599988</v>
      </c>
      <c r="R70" s="17">
        <v>-0.16033753079162105</v>
      </c>
      <c r="S70" s="17">
        <v>-0.15599990642812767</v>
      </c>
      <c r="T70" s="17">
        <v>-0.47369078198666886</v>
      </c>
      <c r="U70" s="17">
        <v>-0.51091240538743499</v>
      </c>
      <c r="V70" s="17">
        <v>-0.54145966183543481</v>
      </c>
      <c r="W70" s="17">
        <v>-0.57557729086410636</v>
      </c>
      <c r="X70" s="17">
        <v>-0.7688643163783011</v>
      </c>
      <c r="Z70" s="3" t="s">
        <v>17</v>
      </c>
      <c r="AA70" s="17" t="str">
        <f t="shared" si="45"/>
        <v>PEÇA</v>
      </c>
      <c r="AB70" s="17" t="str">
        <f t="shared" si="46"/>
        <v>PEÇA</v>
      </c>
      <c r="AC70" s="17" t="str">
        <f t="shared" si="47"/>
        <v>PEÇA</v>
      </c>
      <c r="AD70" s="17" t="str">
        <f t="shared" si="48"/>
        <v>PEÇA</v>
      </c>
      <c r="AE70" s="17" t="str">
        <f t="shared" si="49"/>
        <v>PEÇA</v>
      </c>
      <c r="AF70" s="17" t="str">
        <f t="shared" si="50"/>
        <v>PEÇA</v>
      </c>
      <c r="AG70" s="17" t="str">
        <f t="shared" si="51"/>
        <v>PEÇA</v>
      </c>
      <c r="AH70" s="17" t="str">
        <f t="shared" si="52"/>
        <v>PEÇA</v>
      </c>
      <c r="AI70" s="17" t="str">
        <f t="shared" si="53"/>
        <v>PEÇA</v>
      </c>
      <c r="AJ70" s="17" t="str">
        <f t="shared" si="54"/>
        <v>PEÇA</v>
      </c>
    </row>
    <row r="71" spans="2:36">
      <c r="B71" s="3" t="s">
        <v>18</v>
      </c>
      <c r="C71" s="17">
        <f t="shared" si="35"/>
        <v>0.2003823262422032</v>
      </c>
      <c r="D71" s="17">
        <f t="shared" si="36"/>
        <v>0.21153033810384742</v>
      </c>
      <c r="E71" s="17">
        <f t="shared" si="37"/>
        <v>0.22499934961887663</v>
      </c>
      <c r="F71" s="17">
        <f t="shared" si="38"/>
        <v>0.23644011857939085</v>
      </c>
      <c r="G71" s="17">
        <f t="shared" si="39"/>
        <v>0.26211494969975824</v>
      </c>
      <c r="H71" s="17">
        <f t="shared" si="40"/>
        <v>0.29249315182526947</v>
      </c>
      <c r="I71" s="17">
        <f t="shared" si="41"/>
        <v>0.22867719792182545</v>
      </c>
      <c r="J71" s="17">
        <f t="shared" si="42"/>
        <v>0.15510138736494372</v>
      </c>
      <c r="K71" s="17">
        <f t="shared" si="43"/>
        <v>2.9205216194098882E-2</v>
      </c>
      <c r="L71" s="17">
        <f t="shared" si="44"/>
        <v>-0.21098211826576801</v>
      </c>
      <c r="N71" s="11" t="s">
        <v>18</v>
      </c>
      <c r="O71" s="17">
        <v>-0.29196753603276582</v>
      </c>
      <c r="P71" s="17">
        <v>-0.25128498446579228</v>
      </c>
      <c r="Q71" s="17">
        <v>-0.20918864809349857</v>
      </c>
      <c r="R71" s="17">
        <v>-0.16162074520577868</v>
      </c>
      <c r="S71" s="17">
        <v>-0.15277387968940032</v>
      </c>
      <c r="T71" s="17">
        <v>-0.47644604078915026</v>
      </c>
      <c r="U71" s="17">
        <v>-0.51277698216378065</v>
      </c>
      <c r="V71" s="17">
        <v>-0.54169780544706625</v>
      </c>
      <c r="W71" s="17">
        <v>-0.57513968358853051</v>
      </c>
      <c r="X71" s="17">
        <v>-0.76914979883354651</v>
      </c>
      <c r="Z71" s="3" t="s">
        <v>18</v>
      </c>
      <c r="AA71" s="17" t="str">
        <f t="shared" si="45"/>
        <v>PEÇA</v>
      </c>
      <c r="AB71" s="17" t="str">
        <f t="shared" si="46"/>
        <v>PEÇA</v>
      </c>
      <c r="AC71" s="17" t="str">
        <f t="shared" si="47"/>
        <v>PEÇA</v>
      </c>
      <c r="AD71" s="17" t="str">
        <f t="shared" si="48"/>
        <v>PEÇA</v>
      </c>
      <c r="AE71" s="17" t="str">
        <f t="shared" si="49"/>
        <v>PEÇA</v>
      </c>
      <c r="AF71" s="17" t="str">
        <f t="shared" si="50"/>
        <v>PEÇA</v>
      </c>
      <c r="AG71" s="17" t="str">
        <f t="shared" si="51"/>
        <v>PEÇA</v>
      </c>
      <c r="AH71" s="17" t="str">
        <f t="shared" si="52"/>
        <v>PEÇA</v>
      </c>
      <c r="AI71" s="17" t="str">
        <f t="shared" si="53"/>
        <v>PEÇA</v>
      </c>
      <c r="AJ71" s="17" t="str">
        <f t="shared" si="54"/>
        <v>PEÇA</v>
      </c>
    </row>
    <row r="72" spans="2:36">
      <c r="B72" s="3" t="s">
        <v>19</v>
      </c>
      <c r="C72" s="17">
        <f t="shared" si="35"/>
        <v>-0.28927123874594102</v>
      </c>
      <c r="D72" s="17">
        <f t="shared" si="36"/>
        <v>-0.2781809536430036</v>
      </c>
      <c r="E72" s="17">
        <f t="shared" si="37"/>
        <v>-0.26738156933784873</v>
      </c>
      <c r="F72" s="17">
        <f t="shared" si="38"/>
        <v>-0.26001708916323013</v>
      </c>
      <c r="G72" s="17">
        <f t="shared" si="39"/>
        <v>-0.23769463201461183</v>
      </c>
      <c r="H72" s="17">
        <f t="shared" si="40"/>
        <v>-0.21248733855437818</v>
      </c>
      <c r="I72" s="17">
        <f t="shared" si="41"/>
        <v>-0.27579248472240275</v>
      </c>
      <c r="J72" s="17">
        <f t="shared" si="42"/>
        <v>-0.34471032368894339</v>
      </c>
      <c r="K72" s="17">
        <f t="shared" si="43"/>
        <v>-0.42686305249350143</v>
      </c>
      <c r="L72" s="17">
        <f t="shared" si="44"/>
        <v>-0.55335313086410765</v>
      </c>
      <c r="N72" s="11" t="s">
        <v>19</v>
      </c>
      <c r="O72" s="17">
        <v>-0.29203133034503898</v>
      </c>
      <c r="P72" s="17">
        <v>-0.25047098118805572</v>
      </c>
      <c r="Q72" s="17">
        <v>-0.20980623889185757</v>
      </c>
      <c r="R72" s="17">
        <v>-0.1624974477487518</v>
      </c>
      <c r="S72" s="17">
        <v>-0.15520238326195956</v>
      </c>
      <c r="T72" s="17">
        <v>-0.47528026621551861</v>
      </c>
      <c r="U72" s="17">
        <v>-0.5118241198770932</v>
      </c>
      <c r="V72" s="17">
        <v>-0.54023137715098701</v>
      </c>
      <c r="W72" s="17">
        <v>-0.5751820301192172</v>
      </c>
      <c r="X72" s="17">
        <v>-0.77013044382080875</v>
      </c>
      <c r="Z72" s="3" t="s">
        <v>19</v>
      </c>
      <c r="AA72" s="17" t="str">
        <f t="shared" si="45"/>
        <v>PARE</v>
      </c>
      <c r="AB72" s="17" t="str">
        <f t="shared" si="46"/>
        <v>PARE</v>
      </c>
      <c r="AC72" s="17" t="str">
        <f t="shared" si="47"/>
        <v>PARE</v>
      </c>
      <c r="AD72" s="17" t="str">
        <f t="shared" si="48"/>
        <v>PARE</v>
      </c>
      <c r="AE72" s="17" t="str">
        <f t="shared" si="49"/>
        <v>PARE</v>
      </c>
      <c r="AF72" s="17" t="str">
        <f t="shared" si="50"/>
        <v>PEÇA</v>
      </c>
      <c r="AG72" s="17" t="str">
        <f t="shared" si="51"/>
        <v>PEÇA</v>
      </c>
      <c r="AH72" s="17" t="str">
        <f t="shared" si="52"/>
        <v>PEÇA</v>
      </c>
      <c r="AI72" s="17" t="str">
        <f t="shared" si="53"/>
        <v>PEÇA</v>
      </c>
      <c r="AJ72" s="17" t="str">
        <f t="shared" si="54"/>
        <v>PEÇA</v>
      </c>
    </row>
    <row r="73" spans="2:36">
      <c r="B73" s="3" t="s">
        <v>20</v>
      </c>
      <c r="C73" s="17">
        <f t="shared" si="35"/>
        <v>-0.33886895649023568</v>
      </c>
      <c r="D73" s="17">
        <f t="shared" si="36"/>
        <v>-0.33092197400001044</v>
      </c>
      <c r="E73" s="17">
        <f t="shared" si="37"/>
        <v>-0.32046262906497075</v>
      </c>
      <c r="F73" s="17">
        <f t="shared" si="38"/>
        <v>-0.31433877075444211</v>
      </c>
      <c r="G73" s="17">
        <f t="shared" si="39"/>
        <v>-0.29227716747561144</v>
      </c>
      <c r="H73" s="17">
        <f t="shared" si="40"/>
        <v>-0.27200846314399563</v>
      </c>
      <c r="I73" s="17">
        <f t="shared" si="41"/>
        <v>-0.32653615248130224</v>
      </c>
      <c r="J73" s="17">
        <f t="shared" si="42"/>
        <v>-0.38469489647855465</v>
      </c>
      <c r="K73" s="17">
        <f t="shared" si="43"/>
        <v>-0.46704559236321985</v>
      </c>
      <c r="L73" s="17">
        <f t="shared" si="44"/>
        <v>-0.58404217130727931</v>
      </c>
      <c r="N73" s="11" t="s">
        <v>20</v>
      </c>
      <c r="O73" s="17">
        <v>-0.29250985271685087</v>
      </c>
      <c r="P73" s="17">
        <v>-0.25409588641851943</v>
      </c>
      <c r="Q73" s="17">
        <v>-0.2088475037530213</v>
      </c>
      <c r="R73" s="17">
        <v>-0.16422821705103985</v>
      </c>
      <c r="S73" s="17">
        <v>-0.15517160771520438</v>
      </c>
      <c r="T73" s="17">
        <v>-0.47666912398538086</v>
      </c>
      <c r="U73" s="17">
        <v>-0.51015855579317493</v>
      </c>
      <c r="V73" s="17">
        <v>-0.54236078336538207</v>
      </c>
      <c r="W73" s="17">
        <v>-0.5745114134913758</v>
      </c>
      <c r="X73" s="17">
        <v>-0.76790659886882473</v>
      </c>
      <c r="Z73" s="3" t="s">
        <v>20</v>
      </c>
      <c r="AA73" s="17" t="str">
        <f t="shared" si="45"/>
        <v>PARE</v>
      </c>
      <c r="AB73" s="17" t="str">
        <f t="shared" si="46"/>
        <v>PARE</v>
      </c>
      <c r="AC73" s="17" t="str">
        <f t="shared" si="47"/>
        <v>PARE</v>
      </c>
      <c r="AD73" s="17" t="str">
        <f t="shared" si="48"/>
        <v>PARE</v>
      </c>
      <c r="AE73" s="17" t="str">
        <f t="shared" si="49"/>
        <v>PARE</v>
      </c>
      <c r="AF73" s="17" t="str">
        <f t="shared" si="50"/>
        <v>PEÇA</v>
      </c>
      <c r="AG73" s="17" t="str">
        <f t="shared" si="51"/>
        <v>PEÇA</v>
      </c>
      <c r="AH73" s="17" t="str">
        <f t="shared" si="52"/>
        <v>PEÇA</v>
      </c>
      <c r="AI73" s="17" t="str">
        <f t="shared" si="53"/>
        <v>PEÇA</v>
      </c>
      <c r="AJ73" s="17" t="str">
        <f t="shared" si="54"/>
        <v>PEÇA</v>
      </c>
    </row>
    <row r="74" spans="2:36">
      <c r="B74" s="3" t="s">
        <v>21</v>
      </c>
      <c r="C74" s="17">
        <f t="shared" si="35"/>
        <v>-0.38724404713086741</v>
      </c>
      <c r="D74" s="17">
        <f t="shared" si="36"/>
        <v>-0.38039355221585769</v>
      </c>
      <c r="E74" s="17">
        <f t="shared" si="37"/>
        <v>-0.37022291649623623</v>
      </c>
      <c r="F74" s="17">
        <f t="shared" si="38"/>
        <v>-0.36381882826429213</v>
      </c>
      <c r="G74" s="17">
        <f t="shared" si="39"/>
        <v>-0.34134597264803085</v>
      </c>
      <c r="H74" s="17">
        <f t="shared" si="40"/>
        <v>-0.32517957753799459</v>
      </c>
      <c r="I74" s="17">
        <f t="shared" si="41"/>
        <v>-0.36967005389983043</v>
      </c>
      <c r="J74" s="17">
        <f t="shared" si="42"/>
        <v>-0.42838076846604384</v>
      </c>
      <c r="K74" s="17">
        <f t="shared" si="43"/>
        <v>-0.50591383436584558</v>
      </c>
      <c r="L74" s="17">
        <f t="shared" si="44"/>
        <v>-0.6131746075028599</v>
      </c>
      <c r="N74" s="11" t="s">
        <v>21</v>
      </c>
      <c r="O74" s="17">
        <v>-0.29476199285548649</v>
      </c>
      <c r="P74" s="17">
        <v>-0.25182433328910703</v>
      </c>
      <c r="Q74" s="17">
        <v>-0.21001265089504434</v>
      </c>
      <c r="R74" s="17">
        <v>-0.16150279701496029</v>
      </c>
      <c r="S74" s="17">
        <v>-0.1535492924804116</v>
      </c>
      <c r="T74" s="17">
        <v>-0.47621246632489661</v>
      </c>
      <c r="U74" s="17">
        <v>-0.51267564300174384</v>
      </c>
      <c r="V74" s="17">
        <v>-0.54107252756422963</v>
      </c>
      <c r="W74" s="17">
        <v>-0.57554239681883623</v>
      </c>
      <c r="X74" s="17">
        <v>-0.76887653275970513</v>
      </c>
      <c r="Z74" s="3" t="s">
        <v>21</v>
      </c>
      <c r="AA74" s="17" t="str">
        <f t="shared" si="45"/>
        <v>PARE</v>
      </c>
      <c r="AB74" s="17" t="str">
        <f t="shared" si="46"/>
        <v>PARE</v>
      </c>
      <c r="AC74" s="17" t="str">
        <f t="shared" si="47"/>
        <v>PARE</v>
      </c>
      <c r="AD74" s="17" t="str">
        <f t="shared" si="48"/>
        <v>PARE</v>
      </c>
      <c r="AE74" s="17" t="str">
        <f t="shared" si="49"/>
        <v>PARE</v>
      </c>
      <c r="AF74" s="17" t="str">
        <f t="shared" si="50"/>
        <v>PEÇA</v>
      </c>
      <c r="AG74" s="17" t="str">
        <f t="shared" si="51"/>
        <v>PEÇA</v>
      </c>
      <c r="AH74" s="17" t="str">
        <f t="shared" si="52"/>
        <v>PEÇA</v>
      </c>
      <c r="AI74" s="17" t="str">
        <f t="shared" si="53"/>
        <v>PEÇA</v>
      </c>
      <c r="AJ74" s="17" t="str">
        <f t="shared" si="54"/>
        <v>PEÇA</v>
      </c>
    </row>
    <row r="75" spans="2:36">
      <c r="B75" s="3" t="s">
        <v>22</v>
      </c>
      <c r="C75" s="17">
        <f t="shared" si="35"/>
        <v>-0.43336919936351892</v>
      </c>
      <c r="D75" s="17">
        <f t="shared" si="36"/>
        <v>-0.42605330593025226</v>
      </c>
      <c r="E75" s="17">
        <f t="shared" si="37"/>
        <v>-0.41893454790033163</v>
      </c>
      <c r="F75" s="17">
        <f t="shared" si="38"/>
        <v>-0.40999161045498345</v>
      </c>
      <c r="G75" s="17">
        <f t="shared" si="39"/>
        <v>-0.38902981412581494</v>
      </c>
      <c r="H75" s="17">
        <f t="shared" si="40"/>
        <v>-0.36720481865015348</v>
      </c>
      <c r="I75" s="17">
        <f t="shared" si="41"/>
        <v>-0.41400014796566681</v>
      </c>
      <c r="J75" s="17">
        <f t="shared" si="42"/>
        <v>-0.47058112214448156</v>
      </c>
      <c r="K75" s="17">
        <f t="shared" si="43"/>
        <v>-0.53993560068917079</v>
      </c>
      <c r="L75" s="17">
        <f t="shared" si="44"/>
        <v>-0.6405410714494788</v>
      </c>
      <c r="N75" s="11" t="s">
        <v>22</v>
      </c>
      <c r="O75" s="17">
        <v>-0.29228975185916911</v>
      </c>
      <c r="P75" s="17">
        <v>-0.25079788822553289</v>
      </c>
      <c r="Q75" s="17">
        <v>-0.20950090073204003</v>
      </c>
      <c r="R75" s="17">
        <v>-0.16258659849042018</v>
      </c>
      <c r="S75" s="17">
        <v>-0.15272570207872027</v>
      </c>
      <c r="T75" s="17">
        <v>-0.4776127545599318</v>
      </c>
      <c r="U75" s="17">
        <v>-0.5108698196991257</v>
      </c>
      <c r="V75" s="17">
        <v>-0.54092010440606053</v>
      </c>
      <c r="W75" s="17">
        <v>-0.57562576285290334</v>
      </c>
      <c r="X75" s="17">
        <v>-0.77012540269006058</v>
      </c>
      <c r="Z75" s="3" t="s">
        <v>22</v>
      </c>
      <c r="AA75" s="17" t="str">
        <f t="shared" si="45"/>
        <v>PARE</v>
      </c>
      <c r="AB75" s="17" t="str">
        <f t="shared" si="46"/>
        <v>PARE</v>
      </c>
      <c r="AC75" s="17" t="str">
        <f t="shared" si="47"/>
        <v>PARE</v>
      </c>
      <c r="AD75" s="17" t="str">
        <f t="shared" si="48"/>
        <v>PARE</v>
      </c>
      <c r="AE75" s="17" t="str">
        <f t="shared" si="49"/>
        <v>PARE</v>
      </c>
      <c r="AF75" s="17" t="str">
        <f t="shared" si="50"/>
        <v>PEÇA</v>
      </c>
      <c r="AG75" s="17" t="str">
        <f t="shared" si="51"/>
        <v>PEÇA</v>
      </c>
      <c r="AH75" s="17" t="str">
        <f t="shared" si="52"/>
        <v>PEÇA</v>
      </c>
      <c r="AI75" s="17" t="str">
        <f t="shared" si="53"/>
        <v>PEÇA</v>
      </c>
      <c r="AJ75" s="17" t="str">
        <f t="shared" si="54"/>
        <v>PEÇA</v>
      </c>
    </row>
    <row r="76" spans="2:36">
      <c r="B76" s="3" t="s">
        <v>23</v>
      </c>
      <c r="C76" s="17">
        <f t="shared" si="35"/>
        <v>-0.47277896768545563</v>
      </c>
      <c r="D76" s="17">
        <f t="shared" si="36"/>
        <v>-0.46657989952364842</v>
      </c>
      <c r="E76" s="17">
        <f t="shared" si="37"/>
        <v>-0.46034439302483293</v>
      </c>
      <c r="F76" s="17">
        <f t="shared" si="38"/>
        <v>-0.4523681045411696</v>
      </c>
      <c r="G76" s="17">
        <f t="shared" si="39"/>
        <v>-0.4289974079295269</v>
      </c>
      <c r="H76" s="17">
        <f t="shared" si="40"/>
        <v>-0.41019526067825751</v>
      </c>
      <c r="I76" s="17">
        <f t="shared" si="41"/>
        <v>-0.45803232477299916</v>
      </c>
      <c r="J76" s="17">
        <f t="shared" si="42"/>
        <v>-0.50746299692122954</v>
      </c>
      <c r="K76" s="17">
        <f t="shared" si="43"/>
        <v>-0.57299635689433692</v>
      </c>
      <c r="L76" s="17">
        <f t="shared" si="44"/>
        <v>-0.66656378279260697</v>
      </c>
      <c r="N76" s="11" t="s">
        <v>23</v>
      </c>
      <c r="O76" s="17">
        <v>-0.29262548222400153</v>
      </c>
      <c r="P76" s="17">
        <v>-0.25194617778107725</v>
      </c>
      <c r="Q76" s="17">
        <v>-0.20965931191126946</v>
      </c>
      <c r="R76" s="17">
        <v>-0.16092330401879457</v>
      </c>
      <c r="S76" s="17">
        <v>-0.15530627160391069</v>
      </c>
      <c r="T76" s="17">
        <v>-0.47485175181134465</v>
      </c>
      <c r="U76" s="17">
        <v>-0.51040193952763024</v>
      </c>
      <c r="V76" s="17">
        <v>-0.54047863990417322</v>
      </c>
      <c r="W76" s="17">
        <v>-0.5754917286159611</v>
      </c>
      <c r="X76" s="17">
        <v>-0.76938177229257598</v>
      </c>
      <c r="Z76" s="3" t="s">
        <v>23</v>
      </c>
      <c r="AA76" s="17" t="str">
        <f t="shared" si="45"/>
        <v>PARE</v>
      </c>
      <c r="AB76" s="17" t="str">
        <f t="shared" si="46"/>
        <v>PARE</v>
      </c>
      <c r="AC76" s="17" t="str">
        <f t="shared" si="47"/>
        <v>PARE</v>
      </c>
      <c r="AD76" s="17" t="str">
        <f t="shared" si="48"/>
        <v>PARE</v>
      </c>
      <c r="AE76" s="17" t="str">
        <f t="shared" si="49"/>
        <v>PARE</v>
      </c>
      <c r="AF76" s="17" t="str">
        <f t="shared" si="50"/>
        <v>PEÇA</v>
      </c>
      <c r="AG76" s="17" t="str">
        <f t="shared" si="51"/>
        <v>PEÇA</v>
      </c>
      <c r="AH76" s="17" t="str">
        <f t="shared" si="52"/>
        <v>PEÇA</v>
      </c>
      <c r="AI76" s="17" t="str">
        <f t="shared" si="53"/>
        <v>PARE</v>
      </c>
      <c r="AJ76" s="17" t="str">
        <f t="shared" si="54"/>
        <v>PEÇA</v>
      </c>
    </row>
    <row r="77" spans="2:36">
      <c r="B77" s="3" t="s">
        <v>24</v>
      </c>
      <c r="C77" s="17">
        <f t="shared" si="35"/>
        <v>-0.15240083236129254</v>
      </c>
      <c r="D77" s="17">
        <f t="shared" si="36"/>
        <v>-0.11682321335969087</v>
      </c>
      <c r="E77" s="17">
        <f t="shared" si="37"/>
        <v>-7.7127808267445752E-2</v>
      </c>
      <c r="F77" s="17">
        <f t="shared" si="38"/>
        <v>-4.2480424336454492E-2</v>
      </c>
      <c r="G77" s="17">
        <f t="shared" si="39"/>
        <v>1.1258170677087009E-2</v>
      </c>
      <c r="H77" s="17">
        <f t="shared" si="40"/>
        <v>-0.10612383300810435</v>
      </c>
      <c r="I77" s="17">
        <f t="shared" si="41"/>
        <v>-0.38412164753572992</v>
      </c>
      <c r="J77" s="17">
        <f t="shared" si="42"/>
        <v>-0.42080091360548999</v>
      </c>
      <c r="K77" s="17">
        <f t="shared" si="43"/>
        <v>-0.46318063070619275</v>
      </c>
      <c r="L77" s="17">
        <f t="shared" si="44"/>
        <v>-0.63970812271970878</v>
      </c>
      <c r="N77" s="11" t="s">
        <v>24</v>
      </c>
      <c r="O77" s="17">
        <v>-0.1531896541645611</v>
      </c>
      <c r="P77" s="17">
        <v>-0.11582076763795218</v>
      </c>
      <c r="Q77" s="17">
        <v>-7.685614133519314E-2</v>
      </c>
      <c r="R77" s="17">
        <v>-4.1151739736734805E-2</v>
      </c>
      <c r="S77" s="17">
        <v>9.7486697493459618E-3</v>
      </c>
      <c r="T77" s="17">
        <v>-0.10649651368508689</v>
      </c>
      <c r="U77" s="17">
        <v>-0.38392731828271121</v>
      </c>
      <c r="V77" s="17">
        <v>-0.42009008223485145</v>
      </c>
      <c r="W77" s="17">
        <v>-0.46254658025653839</v>
      </c>
      <c r="X77" s="17">
        <v>-0.63797560626374916</v>
      </c>
      <c r="Z77" s="3" t="s">
        <v>24</v>
      </c>
      <c r="AA77" s="17" t="str">
        <f t="shared" si="45"/>
        <v>PARE</v>
      </c>
      <c r="AB77" s="17" t="str">
        <f t="shared" si="46"/>
        <v>PARE</v>
      </c>
      <c r="AC77" s="17" t="str">
        <f t="shared" si="47"/>
        <v>PARE</v>
      </c>
      <c r="AD77" s="17" t="str">
        <f t="shared" si="48"/>
        <v>PARE</v>
      </c>
      <c r="AE77" s="17" t="str">
        <f t="shared" si="49"/>
        <v>PARE</v>
      </c>
      <c r="AF77" s="17" t="str">
        <f t="shared" si="50"/>
        <v>PARE</v>
      </c>
      <c r="AG77" s="17" t="str">
        <f t="shared" si="51"/>
        <v>PARE</v>
      </c>
      <c r="AH77" s="17" t="str">
        <f t="shared" si="52"/>
        <v>PARE</v>
      </c>
      <c r="AI77" s="17" t="str">
        <f t="shared" si="53"/>
        <v>PARE</v>
      </c>
      <c r="AJ77" s="17" t="str">
        <f t="shared" si="54"/>
        <v>PARE</v>
      </c>
    </row>
    <row r="78" spans="2:36">
      <c r="B78" s="3" t="s">
        <v>25</v>
      </c>
      <c r="C78" s="17">
        <f t="shared" si="35"/>
        <v>0.12171970385764386</v>
      </c>
      <c r="D78" s="17">
        <f t="shared" si="36"/>
        <v>0.14692093028098985</v>
      </c>
      <c r="E78" s="17">
        <f t="shared" si="37"/>
        <v>0.17496216710956719</v>
      </c>
      <c r="F78" s="17">
        <f t="shared" si="38"/>
        <v>0.20232595085058286</v>
      </c>
      <c r="G78" s="17">
        <f t="shared" si="39"/>
        <v>0.28237348521223615</v>
      </c>
      <c r="H78" s="17">
        <f t="shared" si="40"/>
        <v>0.40121571843232201</v>
      </c>
      <c r="I78" s="17">
        <f t="shared" si="41"/>
        <v>0.1050710244606633</v>
      </c>
      <c r="J78" s="17">
        <f t="shared" si="42"/>
        <v>-0.18462685072338031</v>
      </c>
      <c r="K78" s="17">
        <f t="shared" si="43"/>
        <v>-0.2400395898177744</v>
      </c>
      <c r="L78" s="17">
        <f t="shared" si="44"/>
        <v>-0.37699304371503223</v>
      </c>
      <c r="N78" s="11" t="s">
        <v>25</v>
      </c>
      <c r="O78" s="17">
        <v>0.12108683962374434</v>
      </c>
      <c r="P78" s="17">
        <v>0.14751036831749093</v>
      </c>
      <c r="Q78" s="17">
        <v>0.17566686325503572</v>
      </c>
      <c r="R78" s="17">
        <v>0.20329276183458339</v>
      </c>
      <c r="S78" s="17">
        <v>0.28441150325166481</v>
      </c>
      <c r="T78" s="17">
        <v>0.39981048805815156</v>
      </c>
      <c r="U78" s="17">
        <v>0.10393598492047579</v>
      </c>
      <c r="V78" s="17">
        <v>-0.1846033595696755</v>
      </c>
      <c r="W78" s="17">
        <v>-0.24051325320157591</v>
      </c>
      <c r="X78" s="17">
        <v>-0.37900335524246898</v>
      </c>
      <c r="Z78" s="3" t="s">
        <v>25</v>
      </c>
      <c r="AA78" s="17" t="str">
        <f t="shared" si="45"/>
        <v>PARE</v>
      </c>
      <c r="AB78" s="17" t="str">
        <f t="shared" si="46"/>
        <v>PARE</v>
      </c>
      <c r="AC78" s="17" t="str">
        <f t="shared" si="47"/>
        <v>PARE</v>
      </c>
      <c r="AD78" s="17" t="str">
        <f t="shared" si="48"/>
        <v>PARE</v>
      </c>
      <c r="AE78" s="17" t="str">
        <f t="shared" si="49"/>
        <v>PARE</v>
      </c>
      <c r="AF78" s="17" t="str">
        <f t="shared" si="50"/>
        <v>PARE</v>
      </c>
      <c r="AG78" s="17" t="str">
        <f t="shared" si="51"/>
        <v>PARE</v>
      </c>
      <c r="AH78" s="17" t="str">
        <f t="shared" si="52"/>
        <v>PARE</v>
      </c>
      <c r="AI78" s="17" t="str">
        <f t="shared" si="53"/>
        <v>PARE</v>
      </c>
      <c r="AJ78" s="17" t="str">
        <f t="shared" si="54"/>
        <v>PARE</v>
      </c>
    </row>
    <row r="79" spans="2:36">
      <c r="B79" s="3" t="s">
        <v>26</v>
      </c>
      <c r="C79" s="17">
        <f t="shared" si="35"/>
        <v>0.38601994402361772</v>
      </c>
      <c r="D79" s="17">
        <f t="shared" si="36"/>
        <v>0.40295479184100552</v>
      </c>
      <c r="E79" s="17">
        <f t="shared" si="37"/>
        <v>0.42161840014126784</v>
      </c>
      <c r="F79" s="17">
        <f t="shared" si="38"/>
        <v>0.4425090504942838</v>
      </c>
      <c r="G79" s="17">
        <f t="shared" si="39"/>
        <v>0.49604174631286846</v>
      </c>
      <c r="H79" s="17">
        <f t="shared" si="40"/>
        <v>0.61505973650402324</v>
      </c>
      <c r="I79" s="17">
        <f t="shared" si="41"/>
        <v>0.59257332785444172</v>
      </c>
      <c r="J79" s="17">
        <f t="shared" si="42"/>
        <v>0.28552263311359521</v>
      </c>
      <c r="K79" s="17">
        <f t="shared" si="43"/>
        <v>-1.6226808866202591E-2</v>
      </c>
      <c r="L79" s="17">
        <f t="shared" si="44"/>
        <v>-0.115349179786013</v>
      </c>
      <c r="N79" s="11" t="s">
        <v>26</v>
      </c>
      <c r="O79" s="17">
        <v>0.38432529218348144</v>
      </c>
      <c r="P79" s="17">
        <v>0.40391598100381298</v>
      </c>
      <c r="Q79" s="17">
        <v>0.42212992174109798</v>
      </c>
      <c r="R79" s="17">
        <v>0.44370293072130823</v>
      </c>
      <c r="S79" s="17">
        <v>0.49451782324952542</v>
      </c>
      <c r="T79" s="17">
        <v>0.61709998504677765</v>
      </c>
      <c r="U79" s="17">
        <v>0.59244239798886389</v>
      </c>
      <c r="V79" s="17">
        <v>0.28619563661909531</v>
      </c>
      <c r="W79" s="17">
        <v>-1.5582102697299594E-2</v>
      </c>
      <c r="X79" s="17">
        <v>-0.11726931654886763</v>
      </c>
      <c r="Z79" s="3" t="s">
        <v>26</v>
      </c>
      <c r="AA79" s="17" t="str">
        <f t="shared" si="45"/>
        <v>PARE</v>
      </c>
      <c r="AB79" s="17" t="str">
        <f t="shared" si="46"/>
        <v>PARE</v>
      </c>
      <c r="AC79" s="17" t="str">
        <f t="shared" si="47"/>
        <v>PARE</v>
      </c>
      <c r="AD79" s="17" t="str">
        <f t="shared" si="48"/>
        <v>PARE</v>
      </c>
      <c r="AE79" s="17" t="str">
        <f t="shared" si="49"/>
        <v>PARE</v>
      </c>
      <c r="AF79" s="17" t="str">
        <f t="shared" si="50"/>
        <v>PARE</v>
      </c>
      <c r="AG79" s="17" t="str">
        <f t="shared" si="51"/>
        <v>PARE</v>
      </c>
      <c r="AH79" s="17" t="str">
        <f t="shared" si="52"/>
        <v>PARE</v>
      </c>
      <c r="AI79" s="17" t="str">
        <f t="shared" si="53"/>
        <v>PARE</v>
      </c>
      <c r="AJ79" s="17" t="str">
        <f t="shared" si="54"/>
        <v>PARE</v>
      </c>
    </row>
    <row r="80" spans="2:36">
      <c r="B80" s="3" t="s">
        <v>27</v>
      </c>
      <c r="C80" s="17">
        <f t="shared" si="35"/>
        <v>0.63828247982917796</v>
      </c>
      <c r="D80" s="17">
        <f t="shared" si="36"/>
        <v>0.64841467879426784</v>
      </c>
      <c r="E80" s="17">
        <f t="shared" si="37"/>
        <v>0.65944307895288123</v>
      </c>
      <c r="F80" s="17">
        <f t="shared" si="38"/>
        <v>0.67283579833662766</v>
      </c>
      <c r="G80" s="17">
        <f t="shared" si="39"/>
        <v>0.70293198625143216</v>
      </c>
      <c r="H80" s="17">
        <f t="shared" si="40"/>
        <v>0.77533090565292828</v>
      </c>
      <c r="I80" s="17">
        <f t="shared" si="41"/>
        <v>0.79153265123051519</v>
      </c>
      <c r="J80" s="17">
        <f t="shared" si="42"/>
        <v>0.75775734711840292</v>
      </c>
      <c r="K80" s="17">
        <f t="shared" si="43"/>
        <v>0.43609374964449121</v>
      </c>
      <c r="L80" s="17">
        <f t="shared" si="44"/>
        <v>0.14320183046381363</v>
      </c>
      <c r="N80" s="11" t="s">
        <v>27</v>
      </c>
      <c r="O80" s="17">
        <v>0.63864322523554207</v>
      </c>
      <c r="P80" s="17">
        <v>0.6483267165619282</v>
      </c>
      <c r="Q80" s="17">
        <v>0.6594576069643151</v>
      </c>
      <c r="R80" s="17">
        <v>0.67188247281196056</v>
      </c>
      <c r="S80" s="17">
        <v>0.70314070564125508</v>
      </c>
      <c r="T80" s="17">
        <v>0.77306952066373635</v>
      </c>
      <c r="U80" s="17">
        <v>0.79200329557371696</v>
      </c>
      <c r="V80" s="17">
        <v>0.75821385979804501</v>
      </c>
      <c r="W80" s="17">
        <v>0.43634568812657659</v>
      </c>
      <c r="X80" s="17">
        <v>0.14533955584583536</v>
      </c>
      <c r="Z80" s="3" t="s">
        <v>27</v>
      </c>
      <c r="AA80" s="17" t="str">
        <f t="shared" si="45"/>
        <v>PARE</v>
      </c>
      <c r="AB80" s="17" t="str">
        <f t="shared" si="46"/>
        <v>PARE</v>
      </c>
      <c r="AC80" s="17" t="str">
        <f t="shared" si="47"/>
        <v>PARE</v>
      </c>
      <c r="AD80" s="17" t="str">
        <f t="shared" si="48"/>
        <v>PARE</v>
      </c>
      <c r="AE80" s="17" t="str">
        <f t="shared" si="49"/>
        <v>PARE</v>
      </c>
      <c r="AF80" s="17" t="str">
        <f t="shared" si="50"/>
        <v>PARE</v>
      </c>
      <c r="AG80" s="17" t="str">
        <f t="shared" si="51"/>
        <v>PARE</v>
      </c>
      <c r="AH80" s="17" t="str">
        <f t="shared" si="52"/>
        <v>PARE</v>
      </c>
      <c r="AI80" s="17" t="str">
        <f t="shared" si="53"/>
        <v>PARE</v>
      </c>
      <c r="AJ80" s="17" t="str">
        <f t="shared" si="54"/>
        <v>PARE</v>
      </c>
    </row>
    <row r="81" spans="2:36">
      <c r="B81" s="3" t="s">
        <v>28</v>
      </c>
      <c r="C81" s="17">
        <f t="shared" si="35"/>
        <v>3.8252502925497367E-2</v>
      </c>
      <c r="D81" s="17">
        <f t="shared" si="36"/>
        <v>5.4122802566334449E-2</v>
      </c>
      <c r="E81" s="17">
        <f t="shared" si="37"/>
        <v>6.995134771521988E-2</v>
      </c>
      <c r="F81" s="17">
        <f t="shared" si="38"/>
        <v>8.0849985049207596E-2</v>
      </c>
      <c r="G81" s="17">
        <f t="shared" si="39"/>
        <v>0.11504050602939431</v>
      </c>
      <c r="H81" s="17">
        <f t="shared" si="40"/>
        <v>0.14854446114521153</v>
      </c>
      <c r="I81" s="17">
        <f t="shared" si="41"/>
        <v>5.8350966212457556E-2</v>
      </c>
      <c r="J81" s="17">
        <f t="shared" si="42"/>
        <v>-4.0751279408190011E-2</v>
      </c>
      <c r="K81" s="17">
        <f t="shared" si="43"/>
        <v>-0.16322703944433015</v>
      </c>
      <c r="L81" s="17">
        <f t="shared" si="44"/>
        <v>-0.34633641698478856</v>
      </c>
      <c r="N81" s="11" t="s">
        <v>28</v>
      </c>
      <c r="O81" s="17">
        <v>-0.29254514746004934</v>
      </c>
      <c r="P81" s="17">
        <v>-0.25102295289150778</v>
      </c>
      <c r="Q81" s="17">
        <v>-0.20858908492168532</v>
      </c>
      <c r="R81" s="17">
        <v>-0.16369301069685327</v>
      </c>
      <c r="S81" s="17">
        <v>-0.15474432438616015</v>
      </c>
      <c r="T81" s="17">
        <v>-0.47695375392260608</v>
      </c>
      <c r="U81" s="17">
        <v>-0.51334607235242879</v>
      </c>
      <c r="V81" s="17">
        <v>-0.54164384562018486</v>
      </c>
      <c r="W81" s="17">
        <v>-0.57442762901339939</v>
      </c>
      <c r="X81" s="17">
        <v>-0.76975611530511889</v>
      </c>
      <c r="Z81" s="3" t="s">
        <v>28</v>
      </c>
      <c r="AA81" s="17" t="str">
        <f t="shared" si="45"/>
        <v>PEÇA</v>
      </c>
      <c r="AB81" s="17" t="str">
        <f t="shared" si="46"/>
        <v>PEÇA</v>
      </c>
      <c r="AC81" s="17" t="str">
        <f t="shared" si="47"/>
        <v>PEÇA</v>
      </c>
      <c r="AD81" s="17" t="str">
        <f t="shared" si="48"/>
        <v>PEÇA</v>
      </c>
      <c r="AE81" s="17" t="str">
        <f t="shared" si="49"/>
        <v>PEÇA</v>
      </c>
      <c r="AF81" s="17" t="str">
        <f t="shared" si="50"/>
        <v>PEÇA</v>
      </c>
      <c r="AG81" s="17" t="str">
        <f t="shared" si="51"/>
        <v>PEÇA</v>
      </c>
      <c r="AH81" s="17" t="str">
        <f t="shared" si="52"/>
        <v>PEÇA</v>
      </c>
      <c r="AI81" s="17" t="str">
        <f t="shared" si="53"/>
        <v>PEÇA</v>
      </c>
      <c r="AJ81" s="17" t="str">
        <f t="shared" si="54"/>
        <v>PEÇA</v>
      </c>
    </row>
    <row r="82" spans="2:36">
      <c r="B82" s="3" t="s">
        <v>29</v>
      </c>
      <c r="C82" s="17">
        <f t="shared" si="35"/>
        <v>-1.5588424036310222E-3</v>
      </c>
      <c r="D82" s="17">
        <f t="shared" si="36"/>
        <v>1.5056218386106712E-2</v>
      </c>
      <c r="E82" s="17">
        <f t="shared" si="37"/>
        <v>3.0980664079524045E-2</v>
      </c>
      <c r="F82" s="17">
        <f t="shared" si="38"/>
        <v>4.213857039441421E-2</v>
      </c>
      <c r="G82" s="17">
        <f t="shared" si="39"/>
        <v>7.4682864193933218E-2</v>
      </c>
      <c r="H82" s="17">
        <f t="shared" si="40"/>
        <v>0.10337640359028399</v>
      </c>
      <c r="I82" s="17">
        <f t="shared" si="41"/>
        <v>2.1365668503066149E-2</v>
      </c>
      <c r="J82" s="17">
        <f t="shared" si="42"/>
        <v>-7.0086114450979731E-2</v>
      </c>
      <c r="K82" s="17">
        <f t="shared" si="43"/>
        <v>-0.19395020051159984</v>
      </c>
      <c r="L82" s="17">
        <f t="shared" si="44"/>
        <v>-0.36967322163555477</v>
      </c>
      <c r="N82" s="11" t="s">
        <v>29</v>
      </c>
      <c r="O82" s="17">
        <v>-0.2925063410283712</v>
      </c>
      <c r="P82" s="17">
        <v>-0.25157889398752492</v>
      </c>
      <c r="Q82" s="17">
        <v>-0.20969576841403414</v>
      </c>
      <c r="R82" s="17">
        <v>-0.16301488552895532</v>
      </c>
      <c r="S82" s="17">
        <v>-0.15384555327404881</v>
      </c>
      <c r="T82" s="17">
        <v>-0.47513677179577146</v>
      </c>
      <c r="U82" s="17">
        <v>-0.51409701366407945</v>
      </c>
      <c r="V82" s="17">
        <v>-0.54208988161692173</v>
      </c>
      <c r="W82" s="17">
        <v>-0.57489082479878251</v>
      </c>
      <c r="X82" s="17">
        <v>-0.76926977687626774</v>
      </c>
      <c r="Z82" s="3" t="s">
        <v>29</v>
      </c>
      <c r="AA82" s="17" t="str">
        <f t="shared" si="45"/>
        <v>PEÇA</v>
      </c>
      <c r="AB82" s="17" t="str">
        <f t="shared" si="46"/>
        <v>PEÇA</v>
      </c>
      <c r="AC82" s="17" t="str">
        <f t="shared" si="47"/>
        <v>PEÇA</v>
      </c>
      <c r="AD82" s="17" t="str">
        <f t="shared" si="48"/>
        <v>PEÇA</v>
      </c>
      <c r="AE82" s="17" t="str">
        <f t="shared" si="49"/>
        <v>PEÇA</v>
      </c>
      <c r="AF82" s="17" t="str">
        <f t="shared" si="50"/>
        <v>PEÇA</v>
      </c>
      <c r="AG82" s="17" t="str">
        <f t="shared" si="51"/>
        <v>PEÇA</v>
      </c>
      <c r="AH82" s="17" t="str">
        <f t="shared" si="52"/>
        <v>PEÇA</v>
      </c>
      <c r="AI82" s="17" t="str">
        <f t="shared" si="53"/>
        <v>PEÇA</v>
      </c>
      <c r="AJ82" s="17" t="str">
        <f t="shared" si="54"/>
        <v>PEÇA</v>
      </c>
    </row>
    <row r="83" spans="2:36">
      <c r="B83" s="3" t="s">
        <v>30</v>
      </c>
      <c r="C83" s="17">
        <f t="shared" si="35"/>
        <v>-3.7459672601266591E-2</v>
      </c>
      <c r="D83" s="17">
        <f t="shared" si="36"/>
        <v>-2.4957676848457178E-2</v>
      </c>
      <c r="E83" s="17">
        <f t="shared" si="37"/>
        <v>-9.4961477155419693E-3</v>
      </c>
      <c r="F83" s="17">
        <f t="shared" si="38"/>
        <v>4.376987178154601E-4</v>
      </c>
      <c r="G83" s="17">
        <f t="shared" si="39"/>
        <v>3.1656157173380606E-2</v>
      </c>
      <c r="H83" s="17">
        <f t="shared" si="40"/>
        <v>6.0740095097471691E-2</v>
      </c>
      <c r="I83" s="17">
        <f t="shared" si="41"/>
        <v>-1.1933654855574849E-2</v>
      </c>
      <c r="J83" s="17">
        <f t="shared" si="42"/>
        <v>-0.10569232387534622</v>
      </c>
      <c r="K83" s="17">
        <f t="shared" si="43"/>
        <v>-0.22370912722497988</v>
      </c>
      <c r="L83" s="17">
        <f t="shared" si="44"/>
        <v>-0.39227011662471301</v>
      </c>
      <c r="N83" s="11" t="s">
        <v>30</v>
      </c>
      <c r="O83" s="17">
        <v>-0.29335406736481628</v>
      </c>
      <c r="P83" s="17">
        <v>-0.25146509348877705</v>
      </c>
      <c r="Q83" s="17">
        <v>-0.20930159875298049</v>
      </c>
      <c r="R83" s="17">
        <v>-0.16267238681647433</v>
      </c>
      <c r="S83" s="17">
        <v>-0.15715198879354902</v>
      </c>
      <c r="T83" s="17">
        <v>-0.47555524424001394</v>
      </c>
      <c r="U83" s="17">
        <v>-0.51179104089122562</v>
      </c>
      <c r="V83" s="17">
        <v>-0.54021685136396846</v>
      </c>
      <c r="W83" s="17">
        <v>-0.57528211791456885</v>
      </c>
      <c r="X83" s="17">
        <v>-0.7699664056372979</v>
      </c>
      <c r="Z83" s="3" t="s">
        <v>30</v>
      </c>
      <c r="AA83" s="17" t="str">
        <f t="shared" si="45"/>
        <v>PEÇA</v>
      </c>
      <c r="AB83" s="17" t="str">
        <f t="shared" si="46"/>
        <v>PEÇA</v>
      </c>
      <c r="AC83" s="17" t="str">
        <f t="shared" si="47"/>
        <v>PEÇA</v>
      </c>
      <c r="AD83" s="17" t="str">
        <f t="shared" si="48"/>
        <v>PEÇA</v>
      </c>
      <c r="AE83" s="17" t="str">
        <f t="shared" si="49"/>
        <v>PEÇA</v>
      </c>
      <c r="AF83" s="17" t="str">
        <f t="shared" si="50"/>
        <v>PEÇA</v>
      </c>
      <c r="AG83" s="17" t="str">
        <f t="shared" si="51"/>
        <v>PEÇA</v>
      </c>
      <c r="AH83" s="17" t="str">
        <f t="shared" si="52"/>
        <v>PEÇA</v>
      </c>
      <c r="AI83" s="17" t="str">
        <f t="shared" si="53"/>
        <v>PEÇA</v>
      </c>
      <c r="AJ83" s="17" t="str">
        <f t="shared" si="54"/>
        <v>PEÇA</v>
      </c>
    </row>
    <row r="84" spans="2:36">
      <c r="B84" s="3" t="s">
        <v>31</v>
      </c>
      <c r="C84" s="17">
        <f t="shared" si="35"/>
        <v>-7.6439032178092559E-2</v>
      </c>
      <c r="D84" s="17">
        <f t="shared" si="36"/>
        <v>-6.4190424392725598E-2</v>
      </c>
      <c r="E84" s="17">
        <f t="shared" si="37"/>
        <v>-5.1786829776158227E-2</v>
      </c>
      <c r="F84" s="17">
        <f t="shared" si="38"/>
        <v>-3.9431645880459054E-2</v>
      </c>
      <c r="G84" s="17">
        <f t="shared" si="39"/>
        <v>-7.9363737237215792E-3</v>
      </c>
      <c r="H84" s="17">
        <f t="shared" si="40"/>
        <v>2.5553253577585311E-2</v>
      </c>
      <c r="I84" s="17">
        <f t="shared" si="41"/>
        <v>-5.0987231408290645E-2</v>
      </c>
      <c r="J84" s="17">
        <f t="shared" si="42"/>
        <v>-0.14180716896264545</v>
      </c>
      <c r="K84" s="17">
        <f t="shared" si="43"/>
        <v>-0.25401430108980488</v>
      </c>
      <c r="L84" s="17">
        <f t="shared" si="44"/>
        <v>-0.41588250229487705</v>
      </c>
      <c r="N84" s="11" t="s">
        <v>31</v>
      </c>
      <c r="O84" s="17">
        <v>-0.29284443861251463</v>
      </c>
      <c r="P84" s="17">
        <v>-0.24943495045749531</v>
      </c>
      <c r="Q84" s="17">
        <v>-0.20857101943580192</v>
      </c>
      <c r="R84" s="17">
        <v>-0.16351866193339815</v>
      </c>
      <c r="S84" s="17">
        <v>-0.15459097976609582</v>
      </c>
      <c r="T84" s="17">
        <v>-0.4747788168308405</v>
      </c>
      <c r="U84" s="17">
        <v>-0.51225888522547325</v>
      </c>
      <c r="V84" s="17">
        <v>-0.54050988553590007</v>
      </c>
      <c r="W84" s="17">
        <v>-0.57470335315586829</v>
      </c>
      <c r="X84" s="17">
        <v>-0.768471672074023</v>
      </c>
      <c r="Z84" s="3" t="s">
        <v>31</v>
      </c>
      <c r="AA84" s="17" t="str">
        <f t="shared" si="45"/>
        <v>PEÇA</v>
      </c>
      <c r="AB84" s="17" t="str">
        <f t="shared" si="46"/>
        <v>PEÇA</v>
      </c>
      <c r="AC84" s="17" t="str">
        <f t="shared" si="47"/>
        <v>PEÇA</v>
      </c>
      <c r="AD84" s="17" t="str">
        <f t="shared" si="48"/>
        <v>PEÇA</v>
      </c>
      <c r="AE84" s="17" t="str">
        <f t="shared" si="49"/>
        <v>PEÇA</v>
      </c>
      <c r="AF84" s="17" t="str">
        <f t="shared" si="50"/>
        <v>PEÇA</v>
      </c>
      <c r="AG84" s="17" t="str">
        <f t="shared" si="51"/>
        <v>PEÇA</v>
      </c>
      <c r="AH84" s="17" t="str">
        <f t="shared" si="52"/>
        <v>PEÇA</v>
      </c>
      <c r="AI84" s="17" t="str">
        <f t="shared" si="53"/>
        <v>PEÇA</v>
      </c>
      <c r="AJ84" s="17" t="str">
        <f t="shared" si="54"/>
        <v>PEÇA</v>
      </c>
    </row>
    <row r="85" spans="2:36">
      <c r="B85" s="3" t="s">
        <v>32</v>
      </c>
      <c r="C85" s="17">
        <f t="shared" si="35"/>
        <v>-0.11583832587967258</v>
      </c>
      <c r="D85" s="17">
        <f t="shared" si="36"/>
        <v>-0.1021340116717161</v>
      </c>
      <c r="E85" s="17">
        <f t="shared" si="37"/>
        <v>-8.8766236299098911E-2</v>
      </c>
      <c r="F85" s="17">
        <f t="shared" si="38"/>
        <v>-7.9887802919774431E-2</v>
      </c>
      <c r="G85" s="17">
        <f t="shared" si="39"/>
        <v>-4.2482683335715865E-2</v>
      </c>
      <c r="H85" s="17">
        <f t="shared" si="40"/>
        <v>-1.4879356046093972E-2</v>
      </c>
      <c r="I85" s="17">
        <f t="shared" si="41"/>
        <v>-8.9500533562374751E-2</v>
      </c>
      <c r="J85" s="17">
        <f t="shared" si="42"/>
        <v>-0.17356273080496437</v>
      </c>
      <c r="K85" s="17">
        <f t="shared" si="43"/>
        <v>-0.28380372117869318</v>
      </c>
      <c r="L85" s="17">
        <f t="shared" si="44"/>
        <v>-0.43937845207117782</v>
      </c>
      <c r="N85" s="11" t="s">
        <v>32</v>
      </c>
      <c r="O85" s="17">
        <v>-0.29040969141241263</v>
      </c>
      <c r="P85" s="17">
        <v>-0.25161545014440362</v>
      </c>
      <c r="Q85" s="17">
        <v>-0.21043077486015616</v>
      </c>
      <c r="R85" s="17">
        <v>-0.16304019891388033</v>
      </c>
      <c r="S85" s="17">
        <v>-0.15422443786674972</v>
      </c>
      <c r="T85" s="17">
        <v>-0.47545403209647152</v>
      </c>
      <c r="U85" s="17">
        <v>-0.5109530586919353</v>
      </c>
      <c r="V85" s="17">
        <v>-0.54034206920245009</v>
      </c>
      <c r="W85" s="17">
        <v>-0.57492409707124059</v>
      </c>
      <c r="X85" s="17">
        <v>-0.7695120872718193</v>
      </c>
      <c r="Z85" s="3" t="s">
        <v>32</v>
      </c>
      <c r="AA85" s="17" t="str">
        <f t="shared" si="45"/>
        <v>PEÇA</v>
      </c>
      <c r="AB85" s="17" t="str">
        <f t="shared" si="46"/>
        <v>PEÇA</v>
      </c>
      <c r="AC85" s="17" t="str">
        <f t="shared" si="47"/>
        <v>PEÇA</v>
      </c>
      <c r="AD85" s="17" t="str">
        <f t="shared" si="48"/>
        <v>PEÇA</v>
      </c>
      <c r="AE85" s="17" t="str">
        <f t="shared" si="49"/>
        <v>PEÇA</v>
      </c>
      <c r="AF85" s="17" t="str">
        <f t="shared" si="50"/>
        <v>PEÇA</v>
      </c>
      <c r="AG85" s="17" t="str">
        <f t="shared" si="51"/>
        <v>PEÇA</v>
      </c>
      <c r="AH85" s="17" t="str">
        <f t="shared" si="52"/>
        <v>PEÇA</v>
      </c>
      <c r="AI85" s="17" t="str">
        <f t="shared" si="53"/>
        <v>PEÇA</v>
      </c>
      <c r="AJ85" s="17" t="str">
        <f t="shared" si="54"/>
        <v>PEÇA</v>
      </c>
    </row>
    <row r="86" spans="2:36">
      <c r="B86" s="3" t="s">
        <v>33</v>
      </c>
      <c r="C86" s="17">
        <f t="shared" si="35"/>
        <v>-0.15376162079112521</v>
      </c>
      <c r="D86" s="17">
        <f t="shared" si="36"/>
        <v>-0.11624775816806593</v>
      </c>
      <c r="E86" s="17">
        <f t="shared" si="37"/>
        <v>-7.6693674130689171E-2</v>
      </c>
      <c r="F86" s="17">
        <f t="shared" si="38"/>
        <v>-4.1033014935358769E-2</v>
      </c>
      <c r="G86" s="17">
        <f t="shared" si="39"/>
        <v>1.1122138277198712E-2</v>
      </c>
      <c r="H86" s="17">
        <f t="shared" si="40"/>
        <v>-0.10831320382846282</v>
      </c>
      <c r="I86" s="17">
        <f t="shared" si="41"/>
        <v>-0.38304927261630395</v>
      </c>
      <c r="J86" s="17">
        <f t="shared" si="42"/>
        <v>-0.42023460677547703</v>
      </c>
      <c r="K86" s="17">
        <f t="shared" si="43"/>
        <v>-0.46292808932046914</v>
      </c>
      <c r="L86" s="17">
        <f t="shared" si="44"/>
        <v>-0.63902083379360619</v>
      </c>
      <c r="N86" s="11" t="s">
        <v>33</v>
      </c>
      <c r="O86" s="17">
        <v>-0.15434128312557832</v>
      </c>
      <c r="P86" s="17">
        <v>-0.1169463327137788</v>
      </c>
      <c r="Q86" s="17">
        <v>-7.9445530043966761E-2</v>
      </c>
      <c r="R86" s="17">
        <v>-4.3004001279161319E-2</v>
      </c>
      <c r="S86" s="17">
        <v>1.1470190871347763E-2</v>
      </c>
      <c r="T86" s="17">
        <v>-0.1087971335416737</v>
      </c>
      <c r="U86" s="17">
        <v>-0.38387297714678748</v>
      </c>
      <c r="V86" s="17">
        <v>-0.42101119106276708</v>
      </c>
      <c r="W86" s="17">
        <v>-0.4626254998530035</v>
      </c>
      <c r="X86" s="17">
        <v>-0.63917474844647826</v>
      </c>
      <c r="Z86" s="3" t="s">
        <v>33</v>
      </c>
      <c r="AA86" s="17" t="str">
        <f t="shared" si="45"/>
        <v>PARE</v>
      </c>
      <c r="AB86" s="17" t="str">
        <f t="shared" si="46"/>
        <v>PARE</v>
      </c>
      <c r="AC86" s="17" t="str">
        <f t="shared" si="47"/>
        <v>PARE</v>
      </c>
      <c r="AD86" s="17" t="str">
        <f t="shared" si="48"/>
        <v>PARE</v>
      </c>
      <c r="AE86" s="17" t="str">
        <f t="shared" si="49"/>
        <v>PARE</v>
      </c>
      <c r="AF86" s="17" t="str">
        <f t="shared" si="50"/>
        <v>PARE</v>
      </c>
      <c r="AG86" s="17" t="str">
        <f t="shared" si="51"/>
        <v>PARE</v>
      </c>
      <c r="AH86" s="17" t="str">
        <f t="shared" si="52"/>
        <v>PARE</v>
      </c>
      <c r="AI86" s="17" t="str">
        <f t="shared" si="53"/>
        <v>PARE</v>
      </c>
      <c r="AJ86" s="17" t="str">
        <f t="shared" si="54"/>
        <v>PARE</v>
      </c>
    </row>
    <row r="87" spans="2:36">
      <c r="B87" s="3" t="s">
        <v>34</v>
      </c>
      <c r="C87" s="17">
        <f t="shared" si="35"/>
        <v>0.12086240783685692</v>
      </c>
      <c r="D87" s="17">
        <f t="shared" si="36"/>
        <v>0.14988429674968445</v>
      </c>
      <c r="E87" s="17">
        <f t="shared" si="37"/>
        <v>0.17820964187112776</v>
      </c>
      <c r="F87" s="17">
        <f t="shared" si="38"/>
        <v>0.20312985909518527</v>
      </c>
      <c r="G87" s="17">
        <f t="shared" si="39"/>
        <v>0.28264524930068879</v>
      </c>
      <c r="H87" s="17">
        <f t="shared" si="40"/>
        <v>0.39999947943508296</v>
      </c>
      <c r="I87" s="17">
        <f t="shared" si="41"/>
        <v>0.10572245935527852</v>
      </c>
      <c r="J87" s="17">
        <f t="shared" si="42"/>
        <v>-0.18243545942913686</v>
      </c>
      <c r="K87" s="17">
        <f t="shared" si="43"/>
        <v>-0.23995178926134397</v>
      </c>
      <c r="L87" s="17">
        <f t="shared" si="44"/>
        <v>-0.37767977522976937</v>
      </c>
      <c r="N87" s="11" t="s">
        <v>34</v>
      </c>
      <c r="O87" s="17">
        <v>0.1230188777266204</v>
      </c>
      <c r="P87" s="17">
        <v>0.1473520484202806</v>
      </c>
      <c r="Q87" s="17">
        <v>0.17701992189379578</v>
      </c>
      <c r="R87" s="17">
        <v>0.20251753412625612</v>
      </c>
      <c r="S87" s="17">
        <v>0.28340944910559634</v>
      </c>
      <c r="T87" s="17">
        <v>0.39880138704460733</v>
      </c>
      <c r="U87" s="17">
        <v>0.10535798895300158</v>
      </c>
      <c r="V87" s="17">
        <v>-0.18371548217463934</v>
      </c>
      <c r="W87" s="17">
        <v>-0.23992549993210133</v>
      </c>
      <c r="X87" s="17">
        <v>-0.37878882310169315</v>
      </c>
      <c r="Z87" s="3" t="s">
        <v>34</v>
      </c>
      <c r="AA87" s="17" t="str">
        <f t="shared" si="45"/>
        <v>PARE</v>
      </c>
      <c r="AB87" s="17" t="str">
        <f t="shared" si="46"/>
        <v>PARE</v>
      </c>
      <c r="AC87" s="17" t="str">
        <f t="shared" si="47"/>
        <v>PARE</v>
      </c>
      <c r="AD87" s="17" t="str">
        <f t="shared" si="48"/>
        <v>PARE</v>
      </c>
      <c r="AE87" s="17" t="str">
        <f t="shared" si="49"/>
        <v>PARE</v>
      </c>
      <c r="AF87" s="17" t="str">
        <f t="shared" si="50"/>
        <v>PARE</v>
      </c>
      <c r="AG87" s="17" t="str">
        <f t="shared" si="51"/>
        <v>PARE</v>
      </c>
      <c r="AH87" s="17" t="str">
        <f t="shared" si="52"/>
        <v>PARE</v>
      </c>
      <c r="AI87" s="17" t="str">
        <f t="shared" si="53"/>
        <v>PARE</v>
      </c>
      <c r="AJ87" s="17" t="str">
        <f t="shared" si="54"/>
        <v>PARE</v>
      </c>
    </row>
    <row r="88" spans="2:36">
      <c r="B88" s="3" t="s">
        <v>35</v>
      </c>
      <c r="C88" s="17">
        <f t="shared" si="35"/>
        <v>0.38711288451434012</v>
      </c>
      <c r="D88" s="17">
        <f t="shared" si="36"/>
        <v>0.40369654857237813</v>
      </c>
      <c r="E88" s="17">
        <f t="shared" si="37"/>
        <v>0.42212382021537564</v>
      </c>
      <c r="F88" s="17">
        <f t="shared" si="38"/>
        <v>0.44255009675199031</v>
      </c>
      <c r="G88" s="17">
        <f t="shared" si="39"/>
        <v>0.49644755593929113</v>
      </c>
      <c r="H88" s="17">
        <f t="shared" si="40"/>
        <v>0.6191013593376764</v>
      </c>
      <c r="I88" s="17">
        <f t="shared" si="41"/>
        <v>0.59422712031814517</v>
      </c>
      <c r="J88" s="17">
        <f t="shared" si="42"/>
        <v>0.28559129899573832</v>
      </c>
      <c r="K88" s="17">
        <f t="shared" si="43"/>
        <v>-1.6385685882105816E-2</v>
      </c>
      <c r="L88" s="17">
        <f t="shared" si="44"/>
        <v>-0.11503050557851535</v>
      </c>
      <c r="N88" s="11" t="s">
        <v>35</v>
      </c>
      <c r="O88" s="17">
        <v>0.38588074379756976</v>
      </c>
      <c r="P88" s="17">
        <v>0.40333325972850209</v>
      </c>
      <c r="Q88" s="17">
        <v>0.42167234451603008</v>
      </c>
      <c r="R88" s="17">
        <v>0.44266612589143417</v>
      </c>
      <c r="S88" s="17">
        <v>0.49649168432961005</v>
      </c>
      <c r="T88" s="17">
        <v>0.6163255308201645</v>
      </c>
      <c r="U88" s="17">
        <v>0.59384136000915555</v>
      </c>
      <c r="V88" s="17">
        <v>0.28613131276322157</v>
      </c>
      <c r="W88" s="17">
        <v>-1.6553072249819556E-2</v>
      </c>
      <c r="X88" s="17">
        <v>-0.11558251934443636</v>
      </c>
      <c r="Z88" s="3" t="s">
        <v>35</v>
      </c>
      <c r="AA88" s="17" t="str">
        <f t="shared" si="45"/>
        <v>PARE</v>
      </c>
      <c r="AB88" s="17" t="str">
        <f t="shared" si="46"/>
        <v>PARE</v>
      </c>
      <c r="AC88" s="17" t="str">
        <f t="shared" si="47"/>
        <v>PARE</v>
      </c>
      <c r="AD88" s="17" t="str">
        <f t="shared" si="48"/>
        <v>PARE</v>
      </c>
      <c r="AE88" s="17" t="str">
        <f t="shared" si="49"/>
        <v>PARE</v>
      </c>
      <c r="AF88" s="17" t="str">
        <f t="shared" si="50"/>
        <v>PARE</v>
      </c>
      <c r="AG88" s="17" t="str">
        <f t="shared" si="51"/>
        <v>PARE</v>
      </c>
      <c r="AH88" s="17" t="str">
        <f t="shared" si="52"/>
        <v>PARE</v>
      </c>
      <c r="AI88" s="17" t="str">
        <f t="shared" si="53"/>
        <v>PARE</v>
      </c>
      <c r="AJ88" s="17" t="str">
        <f t="shared" si="54"/>
        <v>PARE</v>
      </c>
    </row>
    <row r="89" spans="2:36">
      <c r="B89" s="3" t="s">
        <v>36</v>
      </c>
      <c r="C89" s="17">
        <f t="shared" si="35"/>
        <v>0.63916377885693521</v>
      </c>
      <c r="D89" s="17">
        <f t="shared" si="36"/>
        <v>0.65019710462786584</v>
      </c>
      <c r="E89" s="17">
        <f t="shared" si="37"/>
        <v>0.65833646490665743</v>
      </c>
      <c r="F89" s="17">
        <f t="shared" si="38"/>
        <v>0.67270739658639112</v>
      </c>
      <c r="G89" s="17">
        <f t="shared" si="39"/>
        <v>0.70349514462354301</v>
      </c>
      <c r="H89" s="17">
        <f t="shared" si="40"/>
        <v>0.77412169779304585</v>
      </c>
      <c r="I89" s="17">
        <f t="shared" si="41"/>
        <v>0.79209560306050508</v>
      </c>
      <c r="J89" s="17">
        <f t="shared" si="42"/>
        <v>0.75845075364737258</v>
      </c>
      <c r="K89" s="17">
        <f t="shared" si="43"/>
        <v>0.43599926195474148</v>
      </c>
      <c r="L89" s="17">
        <f t="shared" si="44"/>
        <v>0.14376231387664912</v>
      </c>
      <c r="N89" s="11" t="s">
        <v>36</v>
      </c>
      <c r="O89" s="17">
        <v>0.63880948202458254</v>
      </c>
      <c r="P89" s="17">
        <v>0.64916395137845595</v>
      </c>
      <c r="Q89" s="17">
        <v>0.65891232154828783</v>
      </c>
      <c r="R89" s="17">
        <v>0.6714487018828289</v>
      </c>
      <c r="S89" s="17">
        <v>0.70452858781339678</v>
      </c>
      <c r="T89" s="17">
        <v>0.77458451861130295</v>
      </c>
      <c r="U89" s="17">
        <v>0.791361170400257</v>
      </c>
      <c r="V89" s="17">
        <v>0.75832465302581231</v>
      </c>
      <c r="W89" s="17">
        <v>0.43604231485625339</v>
      </c>
      <c r="X89" s="17">
        <v>0.14424320406746644</v>
      </c>
      <c r="Z89" s="3" t="s">
        <v>36</v>
      </c>
      <c r="AA89" s="17" t="str">
        <f t="shared" si="45"/>
        <v>PARE</v>
      </c>
      <c r="AB89" s="17" t="str">
        <f t="shared" si="46"/>
        <v>PARE</v>
      </c>
      <c r="AC89" s="17" t="str">
        <f t="shared" si="47"/>
        <v>PARE</v>
      </c>
      <c r="AD89" s="17" t="str">
        <f t="shared" si="48"/>
        <v>PARE</v>
      </c>
      <c r="AE89" s="17" t="str">
        <f t="shared" si="49"/>
        <v>PARE</v>
      </c>
      <c r="AF89" s="17" t="str">
        <f t="shared" si="50"/>
        <v>PARE</v>
      </c>
      <c r="AG89" s="17" t="str">
        <f t="shared" si="51"/>
        <v>PARE</v>
      </c>
      <c r="AH89" s="17" t="str">
        <f t="shared" si="52"/>
        <v>PARE</v>
      </c>
      <c r="AI89" s="17" t="str">
        <f t="shared" si="53"/>
        <v>PARE</v>
      </c>
      <c r="AJ89" s="17" t="str">
        <f t="shared" si="54"/>
        <v>PARE</v>
      </c>
    </row>
    <row r="90" spans="2:36">
      <c r="B90" s="3" t="s">
        <v>37</v>
      </c>
      <c r="C90" s="17">
        <f t="shared" si="35"/>
        <v>1</v>
      </c>
      <c r="D90" s="17">
        <f t="shared" si="36"/>
        <v>1</v>
      </c>
      <c r="E90" s="17">
        <f t="shared" si="37"/>
        <v>1</v>
      </c>
      <c r="F90" s="17">
        <f t="shared" si="38"/>
        <v>1</v>
      </c>
      <c r="G90" s="17">
        <f t="shared" si="39"/>
        <v>1</v>
      </c>
      <c r="H90" s="17">
        <f t="shared" si="40"/>
        <v>1</v>
      </c>
      <c r="I90" s="17">
        <f t="shared" si="41"/>
        <v>1</v>
      </c>
      <c r="J90" s="17">
        <f t="shared" si="42"/>
        <v>1</v>
      </c>
      <c r="K90" s="17">
        <f t="shared" si="43"/>
        <v>0.92285585978448281</v>
      </c>
      <c r="L90" s="17">
        <f t="shared" si="44"/>
        <v>0.69209585140221463</v>
      </c>
      <c r="N90" s="11" t="s">
        <v>37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0.9226142521148174</v>
      </c>
      <c r="X90" s="17">
        <v>0.69167442518773026</v>
      </c>
      <c r="Z90" s="3" t="s">
        <v>37</v>
      </c>
      <c r="AA90" s="17" t="str">
        <f t="shared" si="45"/>
        <v>PARE</v>
      </c>
      <c r="AB90" s="17" t="str">
        <f t="shared" si="46"/>
        <v>PARE</v>
      </c>
      <c r="AC90" s="17" t="str">
        <f t="shared" si="47"/>
        <v>PARE</v>
      </c>
      <c r="AD90" s="17" t="str">
        <f t="shared" si="48"/>
        <v>PARE</v>
      </c>
      <c r="AE90" s="17" t="str">
        <f t="shared" si="49"/>
        <v>PARE</v>
      </c>
      <c r="AF90" s="17" t="str">
        <f t="shared" si="50"/>
        <v>PARE</v>
      </c>
      <c r="AG90" s="17" t="str">
        <f t="shared" si="51"/>
        <v>PARE</v>
      </c>
      <c r="AH90" s="17" t="str">
        <f t="shared" si="52"/>
        <v>PARE</v>
      </c>
      <c r="AI90" s="17" t="str">
        <f t="shared" si="53"/>
        <v>PARE</v>
      </c>
      <c r="AJ90" s="17" t="str">
        <f t="shared" si="54"/>
        <v>PARE</v>
      </c>
    </row>
    <row r="94" spans="2:36">
      <c r="S94" s="21"/>
    </row>
    <row r="95" spans="2:36">
      <c r="Q95" s="21"/>
    </row>
  </sheetData>
  <mergeCells count="195">
    <mergeCell ref="N62:X62"/>
    <mergeCell ref="Z62:AJ62"/>
    <mergeCell ref="BE4:BF4"/>
    <mergeCell ref="BG4:BH4"/>
    <mergeCell ref="BI4:BJ4"/>
    <mergeCell ref="AY5:AZ5"/>
    <mergeCell ref="BA5:BB5"/>
    <mergeCell ref="BC5:BD5"/>
    <mergeCell ref="BE5:BF5"/>
    <mergeCell ref="BG5:BH5"/>
    <mergeCell ref="BI5:BJ5"/>
    <mergeCell ref="B62:L62"/>
    <mergeCell ref="N1:Y1"/>
    <mergeCell ref="AY2:BJ2"/>
    <mergeCell ref="AY3:BD3"/>
    <mergeCell ref="BE3:BJ3"/>
    <mergeCell ref="AY4:AZ4"/>
    <mergeCell ref="BA4:BB4"/>
    <mergeCell ref="BC4:BD4"/>
    <mergeCell ref="AV30:AW30"/>
    <mergeCell ref="AL2:AQ2"/>
    <mergeCell ref="AR2:AW2"/>
    <mergeCell ref="B32:L32"/>
    <mergeCell ref="N32:X32"/>
    <mergeCell ref="Z32:AJ32"/>
    <mergeCell ref="AV24:AW24"/>
    <mergeCell ref="AV25:AW25"/>
    <mergeCell ref="AV26:AW26"/>
    <mergeCell ref="AV27:AW27"/>
    <mergeCell ref="AV28:AW28"/>
    <mergeCell ref="AV29:AW29"/>
    <mergeCell ref="AV18:AW18"/>
    <mergeCell ref="AV19:AW19"/>
    <mergeCell ref="AV20:AW20"/>
    <mergeCell ref="AV21:AW21"/>
    <mergeCell ref="AV22:AW22"/>
    <mergeCell ref="AV23:AW23"/>
    <mergeCell ref="AV12:AW12"/>
    <mergeCell ref="AV13:AW13"/>
    <mergeCell ref="AV14:AW14"/>
    <mergeCell ref="AV15:AW15"/>
    <mergeCell ref="AV16:AW16"/>
    <mergeCell ref="AV17:AW17"/>
    <mergeCell ref="AT30:AU30"/>
    <mergeCell ref="AV3:AW3"/>
    <mergeCell ref="AV4:AW4"/>
    <mergeCell ref="AV5:AW5"/>
    <mergeCell ref="AV6:AW6"/>
    <mergeCell ref="AV7:AW7"/>
    <mergeCell ref="AV8:AW8"/>
    <mergeCell ref="AV9:AW9"/>
    <mergeCell ref="AV10:AW10"/>
    <mergeCell ref="AV11:AW11"/>
    <mergeCell ref="AT24:AU24"/>
    <mergeCell ref="AT25:AU25"/>
    <mergeCell ref="AT26:AU26"/>
    <mergeCell ref="AT27:AU27"/>
    <mergeCell ref="AT28:AU28"/>
    <mergeCell ref="AT29:AU29"/>
    <mergeCell ref="AT18:AU18"/>
    <mergeCell ref="AT19:AU19"/>
    <mergeCell ref="AT20:AU20"/>
    <mergeCell ref="AT21:AU21"/>
    <mergeCell ref="AT22:AU22"/>
    <mergeCell ref="AT23:AU23"/>
    <mergeCell ref="AT12:AU12"/>
    <mergeCell ref="AT13:AU13"/>
    <mergeCell ref="AT14:AU14"/>
    <mergeCell ref="AT15:AU15"/>
    <mergeCell ref="AT16:AU16"/>
    <mergeCell ref="AT17:AU17"/>
    <mergeCell ref="AR30:AS30"/>
    <mergeCell ref="AT3:AU3"/>
    <mergeCell ref="AT4:AU4"/>
    <mergeCell ref="AT5:AU5"/>
    <mergeCell ref="AT6:AU6"/>
    <mergeCell ref="AT7:AU7"/>
    <mergeCell ref="AT8:AU8"/>
    <mergeCell ref="AT9:AU9"/>
    <mergeCell ref="AT10:AU10"/>
    <mergeCell ref="AT11:AU11"/>
    <mergeCell ref="AR24:AS24"/>
    <mergeCell ref="AR25:AS25"/>
    <mergeCell ref="AR26:AS26"/>
    <mergeCell ref="AR27:AS27"/>
    <mergeCell ref="AR28:AS28"/>
    <mergeCell ref="AR29:AS29"/>
    <mergeCell ref="AR18:AS18"/>
    <mergeCell ref="AR19:AS19"/>
    <mergeCell ref="AR20:AS20"/>
    <mergeCell ref="AR21:AS21"/>
    <mergeCell ref="AR22:AS22"/>
    <mergeCell ref="AR23:AS23"/>
    <mergeCell ref="AR12:AS12"/>
    <mergeCell ref="AR13:AS13"/>
    <mergeCell ref="AR14:AS14"/>
    <mergeCell ref="AR15:AS15"/>
    <mergeCell ref="AR16:AS16"/>
    <mergeCell ref="AR17:AS17"/>
    <mergeCell ref="AP30:AQ30"/>
    <mergeCell ref="AR3:AS3"/>
    <mergeCell ref="AR4:AS4"/>
    <mergeCell ref="AR5:AS5"/>
    <mergeCell ref="AR6:AS6"/>
    <mergeCell ref="AR7:AS7"/>
    <mergeCell ref="AR8:AS8"/>
    <mergeCell ref="AR9:AS9"/>
    <mergeCell ref="AR10:AS10"/>
    <mergeCell ref="AR11:AS11"/>
    <mergeCell ref="AP24:AQ24"/>
    <mergeCell ref="AP25:AQ25"/>
    <mergeCell ref="AP26:AQ26"/>
    <mergeCell ref="AP27:AQ27"/>
    <mergeCell ref="AP28:AQ28"/>
    <mergeCell ref="AP29:AQ29"/>
    <mergeCell ref="AP18:AQ18"/>
    <mergeCell ref="AP19:AQ19"/>
    <mergeCell ref="AP20:AQ20"/>
    <mergeCell ref="AP21:AQ21"/>
    <mergeCell ref="AP22:AQ22"/>
    <mergeCell ref="AP23:AQ23"/>
    <mergeCell ref="AP12:AQ12"/>
    <mergeCell ref="AP13:AQ13"/>
    <mergeCell ref="AP14:AQ14"/>
    <mergeCell ref="AP15:AQ15"/>
    <mergeCell ref="AP16:AQ16"/>
    <mergeCell ref="AP17:AQ17"/>
    <mergeCell ref="AN30:AO30"/>
    <mergeCell ref="AP3:AQ3"/>
    <mergeCell ref="AP4:AQ4"/>
    <mergeCell ref="AP5:AQ5"/>
    <mergeCell ref="AP6:AQ6"/>
    <mergeCell ref="AP7:AQ7"/>
    <mergeCell ref="AP8:AQ8"/>
    <mergeCell ref="AP9:AQ9"/>
    <mergeCell ref="AP10:AQ10"/>
    <mergeCell ref="AP11:AQ11"/>
    <mergeCell ref="AN24:AO24"/>
    <mergeCell ref="AN25:AO25"/>
    <mergeCell ref="AN26:AO26"/>
    <mergeCell ref="AN27:AO27"/>
    <mergeCell ref="AN28:AO28"/>
    <mergeCell ref="AN29:AO29"/>
    <mergeCell ref="AN18:AO18"/>
    <mergeCell ref="AN19:AO19"/>
    <mergeCell ref="AN20:AO20"/>
    <mergeCell ref="AN21:AO21"/>
    <mergeCell ref="AN22:AO22"/>
    <mergeCell ref="AN23:AO23"/>
    <mergeCell ref="AN12:AO12"/>
    <mergeCell ref="AN13:AO13"/>
    <mergeCell ref="AN14:AO14"/>
    <mergeCell ref="AN15:AO15"/>
    <mergeCell ref="AN16:AO16"/>
    <mergeCell ref="AN17:AO17"/>
    <mergeCell ref="AL30:AM30"/>
    <mergeCell ref="AN3:AO3"/>
    <mergeCell ref="AN4:AO4"/>
    <mergeCell ref="AN5:AO5"/>
    <mergeCell ref="AN6:AO6"/>
    <mergeCell ref="AN7:AO7"/>
    <mergeCell ref="AN8:AO8"/>
    <mergeCell ref="AN9:AO9"/>
    <mergeCell ref="AN10:AO10"/>
    <mergeCell ref="AN11:AO11"/>
    <mergeCell ref="AL24:AM24"/>
    <mergeCell ref="AL25:AM25"/>
    <mergeCell ref="AL26:AM26"/>
    <mergeCell ref="AL27:AM27"/>
    <mergeCell ref="AL28:AM28"/>
    <mergeCell ref="AL29:AM29"/>
    <mergeCell ref="AL18:AM18"/>
    <mergeCell ref="AL19:AM19"/>
    <mergeCell ref="AL20:AM20"/>
    <mergeCell ref="AL21:AM21"/>
    <mergeCell ref="AL22:AM22"/>
    <mergeCell ref="AL23:AM23"/>
    <mergeCell ref="AL12:AM12"/>
    <mergeCell ref="AL13:AM13"/>
    <mergeCell ref="AL14:AM14"/>
    <mergeCell ref="AL15:AM15"/>
    <mergeCell ref="AL16:AM16"/>
    <mergeCell ref="AL17:AM17"/>
    <mergeCell ref="AL6:AM6"/>
    <mergeCell ref="AL7:AM7"/>
    <mergeCell ref="AL8:AM8"/>
    <mergeCell ref="AL9:AM9"/>
    <mergeCell ref="AL10:AM10"/>
    <mergeCell ref="AL11:AM11"/>
    <mergeCell ref="B2:L2"/>
    <mergeCell ref="N2:X2"/>
    <mergeCell ref="Z2:AJ2"/>
    <mergeCell ref="AL3:AM3"/>
    <mergeCell ref="AL4:AM4"/>
    <mergeCell ref="AL5:AM5"/>
  </mergeCells>
  <conditionalFormatting sqref="C4:L3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X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J30">
    <cfRule type="colorScale" priority="8">
      <colorScale>
        <cfvo type="min"/>
        <cfvo type="max"/>
        <color rgb="FFFCFCFF"/>
        <color rgb="FF63BE7B"/>
      </colorScale>
    </cfRule>
  </conditionalFormatting>
  <conditionalFormatting sqref="C34:L6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4:X6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4:AJ60">
    <cfRule type="colorScale" priority="5">
      <colorScale>
        <cfvo type="min"/>
        <cfvo type="max"/>
        <color rgb="FFFCFCFF"/>
        <color rgb="FF63BE7B"/>
      </colorScale>
    </cfRule>
  </conditionalFormatting>
  <conditionalFormatting sqref="C64:L9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4:X9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4:AJ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4:AJ90">
    <cfRule type="cellIs" dxfId="0" priority="1" operator="equal">
      <formula>"PEÇA"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Jonas Travassos</cp:lastModifiedBy>
  <cp:revision/>
  <dcterms:created xsi:type="dcterms:W3CDTF">2026-02-13T00:53:21Z</dcterms:created>
  <dcterms:modified xsi:type="dcterms:W3CDTF">2026-02-13T02:08:43Z</dcterms:modified>
  <cp:category/>
  <cp:contentStatus/>
</cp:coreProperties>
</file>