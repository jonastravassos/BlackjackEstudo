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23C5\EXCELCNV\e5d42d80-0c97-484d-94a6-89b1383a7db6\"/>
    </mc:Choice>
  </mc:AlternateContent>
  <xr:revisionPtr revIDLastSave="145" documentId="8_{48F0067C-EC1B-4241-ACE9-91EF6B2707E6}" xr6:coauthVersionLast="47" xr6:coauthVersionMax="47" xr10:uidLastSave="{95D7C479-F2AA-4B7C-A8FB-8EA0456F6E18}"/>
  <bookViews>
    <workbookView xWindow="-60" yWindow="-60" windowWidth="15480" windowHeight="11640" xr2:uid="{A2205251-B1AD-4539-BBDB-D6BB462EE15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5" i="1" l="1"/>
  <c r="W65" i="1"/>
  <c r="X65" i="1"/>
  <c r="Y65" i="1"/>
  <c r="Z65" i="1"/>
  <c r="AA65" i="1"/>
  <c r="AB65" i="1"/>
  <c r="AC65" i="1"/>
  <c r="AD65" i="1"/>
  <c r="AE65" i="1"/>
  <c r="AF65" i="1"/>
  <c r="AG65" i="1"/>
  <c r="AH65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W64" i="1"/>
  <c r="X64" i="1"/>
  <c r="Y64" i="1"/>
  <c r="Z64" i="1"/>
  <c r="AA64" i="1"/>
  <c r="AB64" i="1"/>
  <c r="AC64" i="1"/>
  <c r="AD64" i="1"/>
  <c r="AE64" i="1"/>
  <c r="AF64" i="1"/>
  <c r="AG64" i="1"/>
  <c r="AH64" i="1"/>
  <c r="V64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K34" i="1"/>
  <c r="V34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W34" i="1"/>
  <c r="X34" i="1"/>
  <c r="Y34" i="1"/>
  <c r="Z34" i="1"/>
  <c r="AA34" i="1"/>
  <c r="AB34" i="1"/>
  <c r="AC34" i="1"/>
  <c r="AD34" i="1"/>
  <c r="AE34" i="1"/>
  <c r="AF34" i="1"/>
  <c r="AG34" i="1"/>
  <c r="AH34" i="1"/>
  <c r="G34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H34" i="1"/>
  <c r="I34" i="1"/>
  <c r="J34" i="1"/>
  <c r="K34" i="1"/>
  <c r="L34" i="1"/>
  <c r="M34" i="1"/>
  <c r="N34" i="1"/>
  <c r="O34" i="1"/>
  <c r="P34" i="1"/>
  <c r="Q34" i="1"/>
  <c r="R34" i="1"/>
  <c r="S34" i="1"/>
</calcChain>
</file>

<file path=xl/sharedStrings.xml><?xml version="1.0" encoding="utf-8"?>
<sst xmlns="http://schemas.openxmlformats.org/spreadsheetml/2006/main" count="252" uniqueCount="39">
  <si>
    <t>RESULTADOS NUMÉRICOS DE VITÓRIAS</t>
  </si>
  <si>
    <t>RESULTADOS NUMÉRICOS DE DERROTAS</t>
  </si>
  <si>
    <t>RESULTADOS NUMÉRICOS DE EMPATES</t>
  </si>
  <si>
    <t>LUCRO</t>
  </si>
  <si>
    <t>A</t>
  </si>
  <si>
    <t>J</t>
  </si>
  <si>
    <t>Q</t>
  </si>
  <si>
    <t>K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</si>
  <si>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</si>
  <si>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</si>
  <si>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</si>
  <si>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</si>
  <si>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</si>
  <si>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</si>
  <si>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</si>
  <si>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</si>
  <si>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</si>
  <si>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</si>
  <si>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</si>
  <si>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</si>
  <si>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</si>
  <si>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</si>
  <si>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</si>
  <si>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</si>
  <si>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</si>
  <si>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</si>
  <si>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</si>
  <si>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</si>
  <si>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</si>
  <si>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</si>
  <si>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</si>
  <si>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</si>
  <si>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</si>
  <si>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</si>
  <si>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</si>
  <si>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RESULTADOS PERCENTUAIS DE VITÓRIAS</t>
  </si>
  <si>
    <t>RESULTADOS PERCENTUAIS DE DERROTAS</t>
  </si>
  <si>
    <t>RESULTADOS PERCENTUAIS DE EMPATES</t>
  </si>
  <si>
    <t>PROBABILIDADE DE VALOR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</si>
</sst>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0" fontId="0" fillId="33" borderId="11" xfId="0" applyFill="1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/>
    <xf numFmtId="0" fontId="16" fillId="33" borderId="13" xfId="0" applyFont="1" applyFill="1" applyBorder="1" applyAlignment="1">
      <alignment horizontal="center"/>
    </xf>
    <xf numFmtId="0" fontId="0" fillId="0" borderId="11" xfId="0" applyBorder="1"/>
    <xf numFmtId="0" fontId="16" fillId="33" borderId="14" xfId="0" applyFont="1" applyFill="1" applyBorder="1"/>
    <xf numFmtId="0" fontId="0" fillId="0" borderId="17" xfId="0" applyBorder="1"/>
    <xf numFmtId="0" fontId="0" fillId="0" borderId="13" xfId="0" applyBorder="1"/>
    <xf numFmtId="0" fontId="16" fillId="33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5" xfId="0" applyFont="1" applyFill="1" applyBorder="1" applyAlignment="1">
      <alignment horizontal="center"/>
    </xf>
    <xf numFmtId="0" fontId="16" fillId="33" borderId="16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33" borderId="14" xfId="0" applyFill="1" applyBorder="1"/>
    <xf numFmtId="0" fontId="16" fillId="33" borderId="17" xfId="0" applyFont="1" applyFill="1" applyBorder="1" applyAlignment="1">
      <alignment horizontal="center"/>
    </xf>
    <xf numFmtId="10" fontId="0" fillId="0" borderId="10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7899-1647-4350-9349-4B81D9926267}">
  <dimension ref="B2:AW90"/>
  <sheetViews>
    <sheetView tabSelected="1" topLeftCell="S60" workbookViewId="0">
      <selection activeCell="U72" sqref="U72"/>
    </sheetView>
  </sheetViews>
  <sheetFormatPr defaultRowHeight="15"/>
  <sheetData>
    <row r="2" spans="2:49">
      <c r="F2" s="16" t="s">
        <v>0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U2" s="16" t="s">
        <v>1</v>
      </c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J2" s="16" t="s">
        <v>2</v>
      </c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</row>
    <row r="3" spans="2:49">
      <c r="B3" s="13" t="s">
        <v>3</v>
      </c>
      <c r="C3" s="14"/>
      <c r="D3" s="15"/>
      <c r="F3" s="3"/>
      <c r="G3" s="4" t="s">
        <v>4</v>
      </c>
      <c r="H3" s="4">
        <v>2</v>
      </c>
      <c r="I3" s="4">
        <v>3</v>
      </c>
      <c r="J3" s="4">
        <v>4</v>
      </c>
      <c r="K3" s="4">
        <v>5</v>
      </c>
      <c r="L3" s="4">
        <v>6</v>
      </c>
      <c r="M3" s="4">
        <v>7</v>
      </c>
      <c r="N3" s="4">
        <v>8</v>
      </c>
      <c r="O3" s="4">
        <v>9</v>
      </c>
      <c r="P3" s="4">
        <v>10</v>
      </c>
      <c r="Q3" s="4" t="s">
        <v>5</v>
      </c>
      <c r="R3" s="4" t="s">
        <v>6</v>
      </c>
      <c r="S3" s="4" t="s">
        <v>7</v>
      </c>
      <c r="U3" s="3"/>
      <c r="V3" s="6" t="s">
        <v>4</v>
      </c>
      <c r="W3" s="6">
        <v>2</v>
      </c>
      <c r="X3" s="6">
        <v>3</v>
      </c>
      <c r="Y3" s="6">
        <v>4</v>
      </c>
      <c r="Z3" s="6">
        <v>5</v>
      </c>
      <c r="AA3" s="6">
        <v>6</v>
      </c>
      <c r="AB3" s="6">
        <v>7</v>
      </c>
      <c r="AC3" s="6">
        <v>8</v>
      </c>
      <c r="AD3" s="6">
        <v>9</v>
      </c>
      <c r="AE3" s="6">
        <v>10</v>
      </c>
      <c r="AF3" s="6" t="s">
        <v>5</v>
      </c>
      <c r="AG3" s="6" t="s">
        <v>6</v>
      </c>
      <c r="AH3" s="6" t="s">
        <v>7</v>
      </c>
      <c r="AJ3" s="17"/>
      <c r="AK3" s="11" t="s">
        <v>4</v>
      </c>
      <c r="AL3" s="11">
        <v>2</v>
      </c>
      <c r="AM3" s="11">
        <v>3</v>
      </c>
      <c r="AN3" s="11">
        <v>4</v>
      </c>
      <c r="AO3" s="11">
        <v>5</v>
      </c>
      <c r="AP3" s="11">
        <v>6</v>
      </c>
      <c r="AQ3" s="11">
        <v>7</v>
      </c>
      <c r="AR3" s="11">
        <v>8</v>
      </c>
      <c r="AS3" s="11">
        <v>9</v>
      </c>
      <c r="AT3" s="11">
        <v>10</v>
      </c>
      <c r="AU3" s="11" t="s">
        <v>5</v>
      </c>
      <c r="AV3" s="11" t="s">
        <v>6</v>
      </c>
      <c r="AW3" s="11" t="s">
        <v>7</v>
      </c>
    </row>
    <row r="4" spans="2:49">
      <c r="B4" s="8" t="s">
        <v>8</v>
      </c>
      <c r="C4" s="12">
        <v>-435712</v>
      </c>
      <c r="D4" s="12"/>
      <c r="F4" s="1" t="s">
        <v>8</v>
      </c>
      <c r="G4" s="2">
        <v>8885</v>
      </c>
      <c r="H4" s="2">
        <v>27218</v>
      </c>
      <c r="I4" s="2">
        <v>28664</v>
      </c>
      <c r="J4" s="2">
        <v>30470</v>
      </c>
      <c r="K4" s="2">
        <v>32265</v>
      </c>
      <c r="L4" s="2">
        <v>32641</v>
      </c>
      <c r="M4" s="2">
        <v>20029</v>
      </c>
      <c r="N4" s="2">
        <v>18710</v>
      </c>
      <c r="O4" s="2">
        <v>17633</v>
      </c>
      <c r="P4" s="2">
        <v>16451</v>
      </c>
      <c r="Q4" s="2">
        <v>16445</v>
      </c>
      <c r="R4" s="2">
        <v>16359</v>
      </c>
      <c r="S4" s="2">
        <v>16374</v>
      </c>
      <c r="U4" s="5" t="s">
        <v>8</v>
      </c>
      <c r="V4" s="2">
        <v>68286</v>
      </c>
      <c r="W4" s="2">
        <v>49704</v>
      </c>
      <c r="X4" s="2">
        <v>47877</v>
      </c>
      <c r="Y4" s="2">
        <v>46289</v>
      </c>
      <c r="Z4" s="2">
        <v>45071</v>
      </c>
      <c r="AA4" s="2">
        <v>44625</v>
      </c>
      <c r="AB4" s="2">
        <v>57187</v>
      </c>
      <c r="AC4" s="2">
        <v>57577</v>
      </c>
      <c r="AD4" s="2">
        <v>59244</v>
      </c>
      <c r="AE4" s="2">
        <v>60791</v>
      </c>
      <c r="AF4" s="2">
        <v>60478</v>
      </c>
      <c r="AG4" s="2">
        <v>60241</v>
      </c>
      <c r="AH4" s="2">
        <v>60486</v>
      </c>
      <c r="AJ4" s="5" t="s">
        <v>8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</row>
    <row r="5" spans="2:49">
      <c r="B5" s="5" t="s">
        <v>9</v>
      </c>
      <c r="C5" s="12">
        <v>-434764</v>
      </c>
      <c r="D5" s="12"/>
      <c r="F5" s="1" t="s">
        <v>9</v>
      </c>
      <c r="G5" s="2">
        <v>8980</v>
      </c>
      <c r="H5" s="2">
        <v>27279</v>
      </c>
      <c r="I5" s="2">
        <v>28781</v>
      </c>
      <c r="J5" s="2">
        <v>30357</v>
      </c>
      <c r="K5" s="2">
        <v>32560</v>
      </c>
      <c r="L5" s="2">
        <v>32757</v>
      </c>
      <c r="M5" s="2">
        <v>20138</v>
      </c>
      <c r="N5" s="2">
        <v>18793</v>
      </c>
      <c r="O5" s="2">
        <v>17649</v>
      </c>
      <c r="P5" s="2">
        <v>16356</v>
      </c>
      <c r="Q5" s="2">
        <v>16524</v>
      </c>
      <c r="R5" s="2">
        <v>16315</v>
      </c>
      <c r="S5" s="2">
        <v>16129</v>
      </c>
      <c r="U5" s="5" t="s">
        <v>9</v>
      </c>
      <c r="V5" s="2">
        <v>68557</v>
      </c>
      <c r="W5" s="2">
        <v>49728</v>
      </c>
      <c r="X5" s="2">
        <v>48074</v>
      </c>
      <c r="Y5" s="2">
        <v>46599</v>
      </c>
      <c r="Z5" s="2">
        <v>44356</v>
      </c>
      <c r="AA5" s="2">
        <v>44326</v>
      </c>
      <c r="AB5" s="2">
        <v>56670</v>
      </c>
      <c r="AC5" s="2">
        <v>58283</v>
      </c>
      <c r="AD5" s="2">
        <v>58937</v>
      </c>
      <c r="AE5" s="2">
        <v>60330</v>
      </c>
      <c r="AF5" s="2">
        <v>60351</v>
      </c>
      <c r="AG5" s="2">
        <v>60862</v>
      </c>
      <c r="AH5" s="2">
        <v>60309</v>
      </c>
      <c r="AJ5" s="5" t="s">
        <v>9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</row>
    <row r="6" spans="2:49">
      <c r="B6" s="5" t="s">
        <v>10</v>
      </c>
      <c r="C6" s="12">
        <v>-435390</v>
      </c>
      <c r="D6" s="12"/>
      <c r="F6" s="1" t="s">
        <v>10</v>
      </c>
      <c r="G6" s="2">
        <v>8901</v>
      </c>
      <c r="H6" s="2">
        <v>27246</v>
      </c>
      <c r="I6" s="2">
        <v>28666</v>
      </c>
      <c r="J6" s="2">
        <v>30602</v>
      </c>
      <c r="K6" s="2">
        <v>32142</v>
      </c>
      <c r="L6" s="2">
        <v>32750</v>
      </c>
      <c r="M6" s="2">
        <v>20316</v>
      </c>
      <c r="N6" s="2">
        <v>18595</v>
      </c>
      <c r="O6" s="2">
        <v>17521</v>
      </c>
      <c r="P6" s="2">
        <v>16315</v>
      </c>
      <c r="Q6" s="2">
        <v>16492</v>
      </c>
      <c r="R6" s="2">
        <v>16407</v>
      </c>
      <c r="S6" s="2">
        <v>16352</v>
      </c>
      <c r="U6" s="5" t="s">
        <v>10</v>
      </c>
      <c r="V6" s="2">
        <v>67944</v>
      </c>
      <c r="W6" s="2">
        <v>49728</v>
      </c>
      <c r="X6" s="2">
        <v>48353</v>
      </c>
      <c r="Y6" s="2">
        <v>46179</v>
      </c>
      <c r="Z6" s="2">
        <v>45070</v>
      </c>
      <c r="AA6" s="2">
        <v>44330</v>
      </c>
      <c r="AB6" s="2">
        <v>56240</v>
      </c>
      <c r="AC6" s="2">
        <v>58577</v>
      </c>
      <c r="AD6" s="2">
        <v>59239</v>
      </c>
      <c r="AE6" s="2">
        <v>60746</v>
      </c>
      <c r="AF6" s="2">
        <v>60146</v>
      </c>
      <c r="AG6" s="2">
        <v>60541</v>
      </c>
      <c r="AH6" s="2">
        <v>60602</v>
      </c>
      <c r="AJ6" s="5" t="s">
        <v>10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</row>
    <row r="7" spans="2:49">
      <c r="B7" s="5" t="s">
        <v>11</v>
      </c>
      <c r="C7" s="12">
        <v>-437038</v>
      </c>
      <c r="D7" s="12"/>
      <c r="F7" s="1" t="s">
        <v>11</v>
      </c>
      <c r="G7" s="2">
        <v>8904</v>
      </c>
      <c r="H7" s="2">
        <v>26926</v>
      </c>
      <c r="I7" s="2">
        <v>28637</v>
      </c>
      <c r="J7" s="2">
        <v>30575</v>
      </c>
      <c r="K7" s="2">
        <v>32027</v>
      </c>
      <c r="L7" s="2">
        <v>32502</v>
      </c>
      <c r="M7" s="2">
        <v>20177</v>
      </c>
      <c r="N7" s="2">
        <v>18612</v>
      </c>
      <c r="O7" s="2">
        <v>17625</v>
      </c>
      <c r="P7" s="2">
        <v>16167</v>
      </c>
      <c r="Q7" s="2">
        <v>16455</v>
      </c>
      <c r="R7" s="2">
        <v>16326</v>
      </c>
      <c r="S7" s="2">
        <v>16548</v>
      </c>
      <c r="U7" s="5" t="s">
        <v>11</v>
      </c>
      <c r="V7" s="2">
        <v>68160</v>
      </c>
      <c r="W7" s="2">
        <v>49988</v>
      </c>
      <c r="X7" s="2">
        <v>48213</v>
      </c>
      <c r="Y7" s="2">
        <v>46816</v>
      </c>
      <c r="Z7" s="2">
        <v>44849</v>
      </c>
      <c r="AA7" s="2">
        <v>44651</v>
      </c>
      <c r="AB7" s="2">
        <v>57162</v>
      </c>
      <c r="AC7" s="2">
        <v>57908</v>
      </c>
      <c r="AD7" s="2">
        <v>58668</v>
      </c>
      <c r="AE7" s="2">
        <v>60833</v>
      </c>
      <c r="AF7" s="2">
        <v>60527</v>
      </c>
      <c r="AG7" s="2">
        <v>60130</v>
      </c>
      <c r="AH7" s="2">
        <v>60614</v>
      </c>
      <c r="AJ7" s="5" t="s">
        <v>11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</row>
    <row r="8" spans="2:49">
      <c r="B8" s="5" t="s">
        <v>12</v>
      </c>
      <c r="C8" s="12">
        <v>-434888</v>
      </c>
      <c r="D8" s="12"/>
      <c r="F8" s="1" t="s">
        <v>12</v>
      </c>
      <c r="G8" s="9">
        <v>8766</v>
      </c>
      <c r="H8" s="9">
        <v>27268</v>
      </c>
      <c r="I8" s="9">
        <v>28816</v>
      </c>
      <c r="J8" s="9">
        <v>30557</v>
      </c>
      <c r="K8" s="9">
        <v>32179</v>
      </c>
      <c r="L8" s="9">
        <v>32708</v>
      </c>
      <c r="M8" s="9">
        <v>20145</v>
      </c>
      <c r="N8" s="9">
        <v>18961</v>
      </c>
      <c r="O8" s="9">
        <v>17889</v>
      </c>
      <c r="P8" s="9">
        <v>16405</v>
      </c>
      <c r="Q8" s="9">
        <v>16294</v>
      </c>
      <c r="R8" s="9">
        <v>16249</v>
      </c>
      <c r="S8" s="9">
        <v>16319</v>
      </c>
      <c r="U8" s="5" t="s">
        <v>12</v>
      </c>
      <c r="V8" s="9">
        <v>68144</v>
      </c>
      <c r="W8" s="9">
        <v>49753</v>
      </c>
      <c r="X8" s="9">
        <v>48118</v>
      </c>
      <c r="Y8" s="9">
        <v>46063</v>
      </c>
      <c r="Z8" s="9">
        <v>44601</v>
      </c>
      <c r="AA8" s="9">
        <v>44235</v>
      </c>
      <c r="AB8" s="9">
        <v>56808</v>
      </c>
      <c r="AC8" s="9">
        <v>58418</v>
      </c>
      <c r="AD8" s="9">
        <v>58858</v>
      </c>
      <c r="AE8" s="9">
        <v>60556</v>
      </c>
      <c r="AF8" s="9">
        <v>60541</v>
      </c>
      <c r="AG8" s="9">
        <v>60972</v>
      </c>
      <c r="AH8" s="9">
        <v>60377</v>
      </c>
      <c r="AJ8" s="5" t="s">
        <v>12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</row>
    <row r="9" spans="2:49">
      <c r="B9" s="5" t="s">
        <v>13</v>
      </c>
      <c r="C9" s="12">
        <v>-436258</v>
      </c>
      <c r="D9" s="12"/>
      <c r="F9" s="5" t="s">
        <v>13</v>
      </c>
      <c r="G9" s="2">
        <v>9018</v>
      </c>
      <c r="H9" s="2">
        <v>26942</v>
      </c>
      <c r="I9" s="2">
        <v>28629</v>
      </c>
      <c r="J9" s="2">
        <v>30674</v>
      </c>
      <c r="K9" s="2">
        <v>32394</v>
      </c>
      <c r="L9" s="2">
        <v>32606</v>
      </c>
      <c r="M9" s="2">
        <v>19907</v>
      </c>
      <c r="N9" s="2">
        <v>18703</v>
      </c>
      <c r="O9" s="2">
        <v>17618</v>
      </c>
      <c r="P9" s="2">
        <v>16379</v>
      </c>
      <c r="Q9" s="2">
        <v>16161</v>
      </c>
      <c r="R9" s="2">
        <v>16393</v>
      </c>
      <c r="S9" s="2">
        <v>16447</v>
      </c>
      <c r="U9" s="5" t="s">
        <v>13</v>
      </c>
      <c r="V9" s="2">
        <v>68210</v>
      </c>
      <c r="W9" s="2">
        <v>49878</v>
      </c>
      <c r="X9" s="2">
        <v>48244</v>
      </c>
      <c r="Y9" s="2">
        <v>46408</v>
      </c>
      <c r="Z9" s="2">
        <v>44647</v>
      </c>
      <c r="AA9" s="2">
        <v>44608</v>
      </c>
      <c r="AB9" s="2">
        <v>57202</v>
      </c>
      <c r="AC9" s="2">
        <v>58008</v>
      </c>
      <c r="AD9" s="2">
        <v>59278</v>
      </c>
      <c r="AE9" s="2">
        <v>60499</v>
      </c>
      <c r="AF9" s="2">
        <v>60377</v>
      </c>
      <c r="AG9" s="2">
        <v>60384</v>
      </c>
      <c r="AH9" s="2">
        <v>60386</v>
      </c>
      <c r="AJ9" s="5" t="s">
        <v>13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</row>
    <row r="10" spans="2:49">
      <c r="B10" s="5" t="s">
        <v>14</v>
      </c>
      <c r="C10" s="12">
        <v>-436728</v>
      </c>
      <c r="D10" s="12"/>
      <c r="F10" s="5" t="s">
        <v>14</v>
      </c>
      <c r="G10" s="2">
        <v>8981</v>
      </c>
      <c r="H10" s="2">
        <v>27301</v>
      </c>
      <c r="I10" s="2">
        <v>28618</v>
      </c>
      <c r="J10" s="2">
        <v>30315</v>
      </c>
      <c r="K10" s="2">
        <v>32124</v>
      </c>
      <c r="L10" s="2">
        <v>32441</v>
      </c>
      <c r="M10" s="2">
        <v>20196</v>
      </c>
      <c r="N10" s="2">
        <v>18585</v>
      </c>
      <c r="O10" s="2">
        <v>17732</v>
      </c>
      <c r="P10" s="2">
        <v>16243</v>
      </c>
      <c r="Q10" s="2">
        <v>16340</v>
      </c>
      <c r="R10" s="2">
        <v>16470</v>
      </c>
      <c r="S10" s="2">
        <v>16290</v>
      </c>
      <c r="U10" s="5" t="s">
        <v>14</v>
      </c>
      <c r="V10" s="2">
        <v>68015</v>
      </c>
      <c r="W10" s="2">
        <v>49451</v>
      </c>
      <c r="X10" s="2">
        <v>48632</v>
      </c>
      <c r="Y10" s="2">
        <v>46695</v>
      </c>
      <c r="Z10" s="2">
        <v>44606</v>
      </c>
      <c r="AA10" s="2">
        <v>44241</v>
      </c>
      <c r="AB10" s="2">
        <v>56916</v>
      </c>
      <c r="AC10" s="2">
        <v>57723</v>
      </c>
      <c r="AD10" s="2">
        <v>59785</v>
      </c>
      <c r="AE10" s="2">
        <v>60708</v>
      </c>
      <c r="AF10" s="2">
        <v>60117</v>
      </c>
      <c r="AG10" s="2">
        <v>60818</v>
      </c>
      <c r="AH10" s="2">
        <v>60657</v>
      </c>
      <c r="AJ10" s="5" t="s">
        <v>14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</row>
    <row r="11" spans="2:49">
      <c r="B11" s="5" t="s">
        <v>15</v>
      </c>
      <c r="C11" s="12">
        <v>-435442</v>
      </c>
      <c r="D11" s="12"/>
      <c r="F11" s="5" t="s">
        <v>15</v>
      </c>
      <c r="G11" s="2">
        <v>8936</v>
      </c>
      <c r="H11" s="2">
        <v>27034</v>
      </c>
      <c r="I11" s="2">
        <v>28801</v>
      </c>
      <c r="J11" s="2">
        <v>30512</v>
      </c>
      <c r="K11" s="2">
        <v>32091</v>
      </c>
      <c r="L11" s="2">
        <v>32767</v>
      </c>
      <c r="M11" s="2">
        <v>20296</v>
      </c>
      <c r="N11" s="2">
        <v>18949</v>
      </c>
      <c r="O11" s="2">
        <v>17567</v>
      </c>
      <c r="P11" s="2">
        <v>16296</v>
      </c>
      <c r="Q11" s="2">
        <v>16511</v>
      </c>
      <c r="R11" s="2">
        <v>16228</v>
      </c>
      <c r="S11" s="2">
        <v>16291</v>
      </c>
      <c r="U11" s="5" t="s">
        <v>15</v>
      </c>
      <c r="V11" s="2">
        <v>67883</v>
      </c>
      <c r="W11" s="2">
        <v>49996</v>
      </c>
      <c r="X11" s="2">
        <v>47824</v>
      </c>
      <c r="Y11" s="2">
        <v>46302</v>
      </c>
      <c r="Z11" s="2">
        <v>44601</v>
      </c>
      <c r="AA11" s="2">
        <v>44488</v>
      </c>
      <c r="AB11" s="2">
        <v>56957</v>
      </c>
      <c r="AC11" s="2">
        <v>57835</v>
      </c>
      <c r="AD11" s="2">
        <v>59061</v>
      </c>
      <c r="AE11" s="2">
        <v>60580</v>
      </c>
      <c r="AF11" s="2">
        <v>60550</v>
      </c>
      <c r="AG11" s="2">
        <v>60836</v>
      </c>
      <c r="AH11" s="2">
        <v>60808</v>
      </c>
      <c r="AJ11" s="5" t="s">
        <v>15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</row>
    <row r="12" spans="2:49">
      <c r="B12" s="5" t="s">
        <v>16</v>
      </c>
      <c r="C12" s="12">
        <v>-436816</v>
      </c>
      <c r="D12" s="12"/>
      <c r="F12" s="5" t="s">
        <v>16</v>
      </c>
      <c r="G12" s="2">
        <v>8871</v>
      </c>
      <c r="H12" s="2">
        <v>27210</v>
      </c>
      <c r="I12" s="2">
        <v>28661</v>
      </c>
      <c r="J12" s="2">
        <v>30304</v>
      </c>
      <c r="K12" s="2">
        <v>31783</v>
      </c>
      <c r="L12" s="2">
        <v>32542</v>
      </c>
      <c r="M12" s="2">
        <v>20176</v>
      </c>
      <c r="N12" s="2">
        <v>18960</v>
      </c>
      <c r="O12" s="2">
        <v>17456</v>
      </c>
      <c r="P12" s="2">
        <v>16252</v>
      </c>
      <c r="Q12" s="2">
        <v>16492</v>
      </c>
      <c r="R12" s="2">
        <v>16308</v>
      </c>
      <c r="S12" s="2">
        <v>16577</v>
      </c>
      <c r="U12" s="5" t="s">
        <v>16</v>
      </c>
      <c r="V12" s="2">
        <v>67604</v>
      </c>
      <c r="W12" s="2">
        <v>49819</v>
      </c>
      <c r="X12" s="2">
        <v>48273</v>
      </c>
      <c r="Y12" s="2">
        <v>46541</v>
      </c>
      <c r="Z12" s="2">
        <v>44435</v>
      </c>
      <c r="AA12" s="2">
        <v>44591</v>
      </c>
      <c r="AB12" s="2">
        <v>57111</v>
      </c>
      <c r="AC12" s="2">
        <v>57979</v>
      </c>
      <c r="AD12" s="2">
        <v>59345</v>
      </c>
      <c r="AE12" s="2">
        <v>60584</v>
      </c>
      <c r="AF12" s="2">
        <v>60330</v>
      </c>
      <c r="AG12" s="2">
        <v>60626</v>
      </c>
      <c r="AH12" s="2">
        <v>61170</v>
      </c>
      <c r="AJ12" s="5" t="s">
        <v>16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</row>
    <row r="13" spans="2:49">
      <c r="B13" s="5" t="s">
        <v>17</v>
      </c>
      <c r="C13" s="12">
        <v>-435348</v>
      </c>
      <c r="D13" s="12"/>
      <c r="F13" s="5" t="s">
        <v>17</v>
      </c>
      <c r="G13" s="9">
        <v>8967</v>
      </c>
      <c r="H13" s="9">
        <v>27132</v>
      </c>
      <c r="I13" s="9">
        <v>28909</v>
      </c>
      <c r="J13" s="9">
        <v>30572</v>
      </c>
      <c r="K13" s="9">
        <v>32130</v>
      </c>
      <c r="L13" s="9">
        <v>32856</v>
      </c>
      <c r="M13" s="9">
        <v>20192</v>
      </c>
      <c r="N13" s="9">
        <v>18673</v>
      </c>
      <c r="O13" s="9">
        <v>17883</v>
      </c>
      <c r="P13" s="9">
        <v>16397</v>
      </c>
      <c r="Q13" s="9">
        <v>16178</v>
      </c>
      <c r="R13" s="9">
        <v>16206</v>
      </c>
      <c r="S13" s="9">
        <v>16231</v>
      </c>
      <c r="U13" s="5" t="s">
        <v>17</v>
      </c>
      <c r="V13" s="9">
        <v>67458</v>
      </c>
      <c r="W13" s="9">
        <v>49857</v>
      </c>
      <c r="X13" s="9">
        <v>48300</v>
      </c>
      <c r="Y13" s="9">
        <v>46646</v>
      </c>
      <c r="Z13" s="9">
        <v>44980</v>
      </c>
      <c r="AA13" s="9">
        <v>44275</v>
      </c>
      <c r="AB13" s="9">
        <v>56749</v>
      </c>
      <c r="AC13" s="9">
        <v>58049</v>
      </c>
      <c r="AD13" s="9">
        <v>59229</v>
      </c>
      <c r="AE13" s="9">
        <v>60465</v>
      </c>
      <c r="AF13" s="9">
        <v>60768</v>
      </c>
      <c r="AG13" s="9">
        <v>60699</v>
      </c>
      <c r="AH13" s="9">
        <v>60199</v>
      </c>
      <c r="AJ13" s="5" t="s">
        <v>17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</row>
    <row r="14" spans="2:49">
      <c r="B14" s="5" t="s">
        <v>18</v>
      </c>
      <c r="C14" s="12">
        <v>-436660</v>
      </c>
      <c r="D14" s="12"/>
      <c r="F14" s="5" t="s">
        <v>18</v>
      </c>
      <c r="G14" s="2">
        <v>8842</v>
      </c>
      <c r="H14" s="2">
        <v>27194</v>
      </c>
      <c r="I14" s="2">
        <v>28643</v>
      </c>
      <c r="J14" s="2">
        <v>30479</v>
      </c>
      <c r="K14" s="2">
        <v>32553</v>
      </c>
      <c r="L14" s="2">
        <v>32576</v>
      </c>
      <c r="M14" s="2">
        <v>20280</v>
      </c>
      <c r="N14" s="2">
        <v>18842</v>
      </c>
      <c r="O14" s="2">
        <v>17586</v>
      </c>
      <c r="P14" s="2">
        <v>16305</v>
      </c>
      <c r="Q14" s="2">
        <v>16198</v>
      </c>
      <c r="R14" s="2">
        <v>16082</v>
      </c>
      <c r="S14" s="2">
        <v>16090</v>
      </c>
      <c r="U14" s="5" t="s">
        <v>18</v>
      </c>
      <c r="V14" s="2">
        <v>68195</v>
      </c>
      <c r="W14" s="2">
        <v>49917</v>
      </c>
      <c r="X14" s="2">
        <v>48367</v>
      </c>
      <c r="Y14" s="2">
        <v>46303</v>
      </c>
      <c r="Z14" s="2">
        <v>44705</v>
      </c>
      <c r="AA14" s="2">
        <v>44176</v>
      </c>
      <c r="AB14" s="2">
        <v>56579</v>
      </c>
      <c r="AC14" s="2">
        <v>57945</v>
      </c>
      <c r="AD14" s="2">
        <v>59474</v>
      </c>
      <c r="AE14" s="2">
        <v>60463</v>
      </c>
      <c r="AF14" s="2">
        <v>60540</v>
      </c>
      <c r="AG14" s="2">
        <v>60797</v>
      </c>
      <c r="AH14" s="2">
        <v>60869</v>
      </c>
      <c r="AJ14" s="5" t="s">
        <v>18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</row>
    <row r="15" spans="2:49">
      <c r="B15" s="5" t="s">
        <v>19</v>
      </c>
      <c r="C15" s="12">
        <v>-437976</v>
      </c>
      <c r="D15" s="12"/>
      <c r="F15" s="5" t="s">
        <v>19</v>
      </c>
      <c r="G15" s="2">
        <v>8831</v>
      </c>
      <c r="H15" s="2">
        <v>27121</v>
      </c>
      <c r="I15" s="2">
        <v>28580</v>
      </c>
      <c r="J15" s="2">
        <v>30514</v>
      </c>
      <c r="K15" s="2">
        <v>32245</v>
      </c>
      <c r="L15" s="2">
        <v>32282</v>
      </c>
      <c r="M15" s="2">
        <v>19902</v>
      </c>
      <c r="N15" s="2">
        <v>18657</v>
      </c>
      <c r="O15" s="2">
        <v>17580</v>
      </c>
      <c r="P15" s="2">
        <v>16293</v>
      </c>
      <c r="Q15" s="2">
        <v>16464</v>
      </c>
      <c r="R15" s="2">
        <v>16355</v>
      </c>
      <c r="S15" s="2">
        <v>16188</v>
      </c>
      <c r="U15" s="5" t="s">
        <v>19</v>
      </c>
      <c r="V15" s="2">
        <v>68273</v>
      </c>
      <c r="W15" s="2">
        <v>49926</v>
      </c>
      <c r="X15" s="2">
        <v>48258</v>
      </c>
      <c r="Y15" s="2">
        <v>46321</v>
      </c>
      <c r="Z15" s="2">
        <v>44666</v>
      </c>
      <c r="AA15" s="2">
        <v>44503</v>
      </c>
      <c r="AB15" s="2">
        <v>56785</v>
      </c>
      <c r="AC15" s="2">
        <v>58278</v>
      </c>
      <c r="AD15" s="2">
        <v>59426</v>
      </c>
      <c r="AE15" s="2">
        <v>60801</v>
      </c>
      <c r="AF15" s="2">
        <v>60721</v>
      </c>
      <c r="AG15" s="2">
        <v>60378</v>
      </c>
      <c r="AH15" s="2">
        <v>60652</v>
      </c>
      <c r="AJ15" s="5" t="s">
        <v>19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</row>
    <row r="16" spans="2:49">
      <c r="B16" s="5" t="s">
        <v>20</v>
      </c>
      <c r="C16" s="12">
        <v>-436176</v>
      </c>
      <c r="D16" s="12"/>
      <c r="F16" s="5" t="s">
        <v>20</v>
      </c>
      <c r="G16" s="2">
        <v>8851</v>
      </c>
      <c r="H16" s="2">
        <v>27351</v>
      </c>
      <c r="I16" s="2">
        <v>29044</v>
      </c>
      <c r="J16" s="2">
        <v>30495</v>
      </c>
      <c r="K16" s="2">
        <v>31727</v>
      </c>
      <c r="L16" s="2">
        <v>32292</v>
      </c>
      <c r="M16" s="2">
        <v>20202</v>
      </c>
      <c r="N16" s="2">
        <v>18694</v>
      </c>
      <c r="O16" s="2">
        <v>17659</v>
      </c>
      <c r="P16" s="2">
        <v>16349</v>
      </c>
      <c r="Q16" s="2">
        <v>16385</v>
      </c>
      <c r="R16" s="2">
        <v>16477</v>
      </c>
      <c r="S16" s="2">
        <v>16386</v>
      </c>
      <c r="U16" s="5" t="s">
        <v>20</v>
      </c>
      <c r="V16" s="2">
        <v>67792</v>
      </c>
      <c r="W16" s="2">
        <v>49988</v>
      </c>
      <c r="X16" s="2">
        <v>48266</v>
      </c>
      <c r="Y16" s="2">
        <v>46358</v>
      </c>
      <c r="Z16" s="2">
        <v>44604</v>
      </c>
      <c r="AA16" s="2">
        <v>44580</v>
      </c>
      <c r="AB16" s="2">
        <v>56692</v>
      </c>
      <c r="AC16" s="2">
        <v>58488</v>
      </c>
      <c r="AD16" s="2">
        <v>59424</v>
      </c>
      <c r="AE16" s="2">
        <v>60253</v>
      </c>
      <c r="AF16" s="2">
        <v>60398</v>
      </c>
      <c r="AG16" s="2">
        <v>60557</v>
      </c>
      <c r="AH16" s="2">
        <v>60688</v>
      </c>
      <c r="AJ16" s="5" t="s">
        <v>20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</row>
    <row r="17" spans="2:49">
      <c r="B17" s="5" t="s">
        <v>21</v>
      </c>
      <c r="C17" s="12">
        <v>-289344</v>
      </c>
      <c r="D17" s="12"/>
      <c r="F17" s="5" t="s">
        <v>21</v>
      </c>
      <c r="G17" s="2">
        <v>8768</v>
      </c>
      <c r="H17" s="2">
        <v>26970</v>
      </c>
      <c r="I17" s="2">
        <v>28864</v>
      </c>
      <c r="J17" s="2">
        <v>30307</v>
      </c>
      <c r="K17" s="2">
        <v>32188</v>
      </c>
      <c r="L17" s="2">
        <v>32697</v>
      </c>
      <c r="M17" s="2">
        <v>20331</v>
      </c>
      <c r="N17" s="2">
        <v>19063</v>
      </c>
      <c r="O17" s="2">
        <v>17857</v>
      </c>
      <c r="P17" s="2">
        <v>16460</v>
      </c>
      <c r="Q17" s="2">
        <v>16375</v>
      </c>
      <c r="R17" s="2">
        <v>16311</v>
      </c>
      <c r="S17" s="2">
        <v>16244</v>
      </c>
      <c r="U17" s="5" t="s">
        <v>21</v>
      </c>
      <c r="V17" s="2">
        <v>57748</v>
      </c>
      <c r="W17" s="2">
        <v>39203</v>
      </c>
      <c r="X17" s="2">
        <v>38007</v>
      </c>
      <c r="Y17" s="2">
        <v>36683</v>
      </c>
      <c r="Z17" s="2">
        <v>35457</v>
      </c>
      <c r="AA17" s="2">
        <v>31676</v>
      </c>
      <c r="AB17" s="2">
        <v>27968</v>
      </c>
      <c r="AC17" s="2">
        <v>48076</v>
      </c>
      <c r="AD17" s="2">
        <v>50006</v>
      </c>
      <c r="AE17" s="2">
        <v>51483</v>
      </c>
      <c r="AF17" s="2">
        <v>51475</v>
      </c>
      <c r="AG17" s="2">
        <v>51878</v>
      </c>
      <c r="AH17" s="2">
        <v>52119</v>
      </c>
      <c r="AJ17" s="5" t="s">
        <v>21</v>
      </c>
      <c r="AK17" s="2">
        <v>9790</v>
      </c>
      <c r="AL17" s="2">
        <v>10966</v>
      </c>
      <c r="AM17" s="2">
        <v>10168</v>
      </c>
      <c r="AN17" s="2">
        <v>10288</v>
      </c>
      <c r="AO17" s="2">
        <v>9375</v>
      </c>
      <c r="AP17" s="2">
        <v>13012</v>
      </c>
      <c r="AQ17" s="2">
        <v>28256</v>
      </c>
      <c r="AR17" s="2">
        <v>9984</v>
      </c>
      <c r="AS17" s="2">
        <v>9267</v>
      </c>
      <c r="AT17" s="2">
        <v>8708</v>
      </c>
      <c r="AU17" s="2">
        <v>8506</v>
      </c>
      <c r="AV17" s="2">
        <v>8697</v>
      </c>
      <c r="AW17" s="2">
        <v>8769</v>
      </c>
    </row>
    <row r="18" spans="2:49">
      <c r="B18" s="5" t="s">
        <v>22</v>
      </c>
      <c r="C18" s="12">
        <v>-5951</v>
      </c>
      <c r="D18" s="12"/>
      <c r="F18" s="5" t="s">
        <v>22</v>
      </c>
      <c r="G18" s="9">
        <v>19125</v>
      </c>
      <c r="H18" s="9">
        <v>38015</v>
      </c>
      <c r="I18" s="9">
        <v>39282</v>
      </c>
      <c r="J18" s="9">
        <v>40785</v>
      </c>
      <c r="K18" s="9">
        <v>41449</v>
      </c>
      <c r="L18" s="9">
        <v>45223</v>
      </c>
      <c r="M18" s="9">
        <v>48104</v>
      </c>
      <c r="N18" s="9">
        <v>28569</v>
      </c>
      <c r="O18" s="9">
        <v>27076</v>
      </c>
      <c r="P18" s="9">
        <v>24617</v>
      </c>
      <c r="Q18" s="9">
        <v>24840</v>
      </c>
      <c r="R18" s="9">
        <v>25119</v>
      </c>
      <c r="S18" s="9">
        <v>25177</v>
      </c>
      <c r="U18" s="5" t="s">
        <v>22</v>
      </c>
      <c r="V18" s="9">
        <v>48221</v>
      </c>
      <c r="W18" s="9">
        <v>28698</v>
      </c>
      <c r="X18" s="9">
        <v>27331</v>
      </c>
      <c r="Y18" s="9">
        <v>26818</v>
      </c>
      <c r="Z18" s="9">
        <v>25781</v>
      </c>
      <c r="AA18" s="9">
        <v>23796</v>
      </c>
      <c r="AB18" s="9">
        <v>17672</v>
      </c>
      <c r="AC18" s="9">
        <v>20652</v>
      </c>
      <c r="AD18" s="9">
        <v>40813</v>
      </c>
      <c r="AE18" s="9">
        <v>43536</v>
      </c>
      <c r="AF18" s="9">
        <v>43459</v>
      </c>
      <c r="AG18" s="9">
        <v>43341</v>
      </c>
      <c r="AH18" s="9">
        <v>43214</v>
      </c>
      <c r="AJ18" s="5" t="s">
        <v>22</v>
      </c>
      <c r="AK18" s="9">
        <v>10107</v>
      </c>
      <c r="AL18" s="9">
        <v>10253</v>
      </c>
      <c r="AM18" s="9">
        <v>10005</v>
      </c>
      <c r="AN18" s="9">
        <v>9504</v>
      </c>
      <c r="AO18" s="9">
        <v>9452</v>
      </c>
      <c r="AP18" s="9">
        <v>8119</v>
      </c>
      <c r="AQ18" s="9">
        <v>10658</v>
      </c>
      <c r="AR18" s="9">
        <v>27699</v>
      </c>
      <c r="AS18" s="9">
        <v>9030</v>
      </c>
      <c r="AT18" s="9">
        <v>8767</v>
      </c>
      <c r="AU18" s="9">
        <v>8567</v>
      </c>
      <c r="AV18" s="9">
        <v>8440</v>
      </c>
      <c r="AW18" s="9">
        <v>8686</v>
      </c>
    </row>
    <row r="19" spans="2:49">
      <c r="B19" s="5" t="s">
        <v>23</v>
      </c>
      <c r="C19" s="12">
        <v>265476</v>
      </c>
      <c r="D19" s="12"/>
      <c r="F19" s="5" t="s">
        <v>23</v>
      </c>
      <c r="G19" s="2">
        <v>29041</v>
      </c>
      <c r="H19" s="2">
        <v>48639</v>
      </c>
      <c r="I19" s="2">
        <v>49260</v>
      </c>
      <c r="J19" s="2">
        <v>49744</v>
      </c>
      <c r="K19" s="2">
        <v>51178</v>
      </c>
      <c r="L19" s="2">
        <v>53586</v>
      </c>
      <c r="M19" s="2">
        <v>58882</v>
      </c>
      <c r="N19" s="2">
        <v>56187</v>
      </c>
      <c r="O19" s="2">
        <v>35968</v>
      </c>
      <c r="P19" s="2">
        <v>33518</v>
      </c>
      <c r="Q19" s="2">
        <v>33608</v>
      </c>
      <c r="R19" s="2">
        <v>32907</v>
      </c>
      <c r="S19" s="2">
        <v>33642</v>
      </c>
      <c r="U19" s="5" t="s">
        <v>23</v>
      </c>
      <c r="V19" s="2">
        <v>38010</v>
      </c>
      <c r="W19" s="2">
        <v>18633</v>
      </c>
      <c r="X19" s="2">
        <v>18275</v>
      </c>
      <c r="Y19" s="2">
        <v>17660</v>
      </c>
      <c r="Z19" s="2">
        <v>16973</v>
      </c>
      <c r="AA19" s="2">
        <v>15378</v>
      </c>
      <c r="AB19" s="2">
        <v>11711</v>
      </c>
      <c r="AC19" s="2">
        <v>10487</v>
      </c>
      <c r="AD19" s="2">
        <v>14083</v>
      </c>
      <c r="AE19" s="2">
        <v>34872</v>
      </c>
      <c r="AF19" s="2">
        <v>35015</v>
      </c>
      <c r="AG19" s="2">
        <v>35080</v>
      </c>
      <c r="AH19" s="2">
        <v>34507</v>
      </c>
      <c r="AJ19" s="5" t="s">
        <v>23</v>
      </c>
      <c r="AK19" s="2">
        <v>9943</v>
      </c>
      <c r="AL19" s="2">
        <v>10035</v>
      </c>
      <c r="AM19" s="2">
        <v>9611</v>
      </c>
      <c r="AN19" s="2">
        <v>9347</v>
      </c>
      <c r="AO19" s="2">
        <v>9097</v>
      </c>
      <c r="AP19" s="2">
        <v>8153</v>
      </c>
      <c r="AQ19" s="2">
        <v>5861</v>
      </c>
      <c r="AR19" s="2">
        <v>9881</v>
      </c>
      <c r="AS19" s="2">
        <v>27041</v>
      </c>
      <c r="AT19" s="2">
        <v>8427</v>
      </c>
      <c r="AU19" s="2">
        <v>8649</v>
      </c>
      <c r="AV19" s="2">
        <v>8585</v>
      </c>
      <c r="AW19" s="2">
        <v>8526</v>
      </c>
    </row>
    <row r="20" spans="2:49">
      <c r="B20" s="5" t="s">
        <v>24</v>
      </c>
      <c r="C20" s="12">
        <v>580423</v>
      </c>
      <c r="D20" s="12"/>
      <c r="F20" s="5" t="s">
        <v>24</v>
      </c>
      <c r="G20" s="9">
        <v>39175</v>
      </c>
      <c r="H20" s="9">
        <v>58494</v>
      </c>
      <c r="I20" s="9">
        <v>58898</v>
      </c>
      <c r="J20" s="9">
        <v>59014</v>
      </c>
      <c r="K20" s="9">
        <v>59813</v>
      </c>
      <c r="L20" s="9">
        <v>61943</v>
      </c>
      <c r="M20" s="9">
        <v>65206</v>
      </c>
      <c r="N20" s="9">
        <v>66083</v>
      </c>
      <c r="O20" s="9">
        <v>62855</v>
      </c>
      <c r="P20" s="9">
        <v>42251</v>
      </c>
      <c r="Q20" s="9">
        <v>42273</v>
      </c>
      <c r="R20" s="9">
        <v>41951</v>
      </c>
      <c r="S20" s="9">
        <v>42403</v>
      </c>
      <c r="U20" s="5" t="s">
        <v>24</v>
      </c>
      <c r="V20" s="9">
        <v>27887</v>
      </c>
      <c r="W20" s="9">
        <v>9034</v>
      </c>
      <c r="X20" s="9">
        <v>8854</v>
      </c>
      <c r="Y20" s="9">
        <v>8398</v>
      </c>
      <c r="Z20" s="9">
        <v>8289</v>
      </c>
      <c r="AA20" s="9">
        <v>7402</v>
      </c>
      <c r="AB20" s="9">
        <v>5525</v>
      </c>
      <c r="AC20" s="9">
        <v>5296</v>
      </c>
      <c r="AD20" s="9">
        <v>4700</v>
      </c>
      <c r="AE20" s="9">
        <v>8602</v>
      </c>
      <c r="AF20" s="9">
        <v>8578</v>
      </c>
      <c r="AG20" s="9">
        <v>8727</v>
      </c>
      <c r="AH20" s="9">
        <v>8644</v>
      </c>
      <c r="AJ20" s="5" t="s">
        <v>24</v>
      </c>
      <c r="AK20" s="2">
        <v>10175</v>
      </c>
      <c r="AL20" s="2">
        <v>9594</v>
      </c>
      <c r="AM20" s="2">
        <v>9326</v>
      </c>
      <c r="AN20" s="2">
        <v>8924</v>
      </c>
      <c r="AO20" s="2">
        <v>8725</v>
      </c>
      <c r="AP20" s="2">
        <v>8070</v>
      </c>
      <c r="AQ20" s="2">
        <v>6032</v>
      </c>
      <c r="AR20" s="2">
        <v>5357</v>
      </c>
      <c r="AS20" s="2">
        <v>9319</v>
      </c>
      <c r="AT20" s="2">
        <v>25894</v>
      </c>
      <c r="AU20" s="2">
        <v>26253</v>
      </c>
      <c r="AV20" s="2">
        <v>25955</v>
      </c>
      <c r="AW20" s="2">
        <v>26081</v>
      </c>
    </row>
    <row r="21" spans="2:49">
      <c r="B21" s="5" t="s">
        <v>25</v>
      </c>
      <c r="C21" s="12">
        <v>-434028</v>
      </c>
      <c r="D21" s="12"/>
      <c r="F21" s="5" t="s">
        <v>25</v>
      </c>
      <c r="G21" s="2">
        <v>8933</v>
      </c>
      <c r="H21" s="2">
        <v>27895</v>
      </c>
      <c r="I21" s="2">
        <v>29221</v>
      </c>
      <c r="J21" s="2">
        <v>30393</v>
      </c>
      <c r="K21" s="2">
        <v>31950</v>
      </c>
      <c r="L21" s="2">
        <v>32528</v>
      </c>
      <c r="M21" s="2">
        <v>20244</v>
      </c>
      <c r="N21" s="2">
        <v>18522</v>
      </c>
      <c r="O21" s="2">
        <v>17741</v>
      </c>
      <c r="P21" s="2">
        <v>16473</v>
      </c>
      <c r="Q21" s="2">
        <v>16484</v>
      </c>
      <c r="R21" s="2">
        <v>16312</v>
      </c>
      <c r="S21" s="2">
        <v>16290</v>
      </c>
      <c r="U21" s="5" t="s">
        <v>25</v>
      </c>
      <c r="V21" s="2">
        <v>68022</v>
      </c>
      <c r="W21" s="2">
        <v>49568</v>
      </c>
      <c r="X21" s="2">
        <v>47900</v>
      </c>
      <c r="Y21" s="2">
        <v>46654</v>
      </c>
      <c r="Z21" s="2">
        <v>44553</v>
      </c>
      <c r="AA21" s="2">
        <v>44177</v>
      </c>
      <c r="AB21" s="2">
        <v>56596</v>
      </c>
      <c r="AC21" s="2">
        <v>57940</v>
      </c>
      <c r="AD21" s="2">
        <v>59215</v>
      </c>
      <c r="AE21" s="2">
        <v>60584</v>
      </c>
      <c r="AF21" s="2">
        <v>60531</v>
      </c>
      <c r="AG21" s="2">
        <v>60331</v>
      </c>
      <c r="AH21" s="2">
        <v>60943</v>
      </c>
      <c r="AJ21" s="1" t="s">
        <v>25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</row>
    <row r="22" spans="2:49">
      <c r="B22" s="5" t="s">
        <v>26</v>
      </c>
      <c r="C22" s="12">
        <v>-436720</v>
      </c>
      <c r="D22" s="12"/>
      <c r="F22" s="5" t="s">
        <v>26</v>
      </c>
      <c r="G22" s="2">
        <v>8928</v>
      </c>
      <c r="H22" s="2">
        <v>27133</v>
      </c>
      <c r="I22" s="2">
        <v>28529</v>
      </c>
      <c r="J22" s="2">
        <v>30459</v>
      </c>
      <c r="K22" s="2">
        <v>32283</v>
      </c>
      <c r="L22" s="2">
        <v>32718</v>
      </c>
      <c r="M22" s="2">
        <v>20104</v>
      </c>
      <c r="N22" s="2">
        <v>18667</v>
      </c>
      <c r="O22" s="2">
        <v>17525</v>
      </c>
      <c r="P22" s="2">
        <v>16444</v>
      </c>
      <c r="Q22" s="2">
        <v>16207</v>
      </c>
      <c r="R22" s="2">
        <v>16523</v>
      </c>
      <c r="S22" s="2">
        <v>16120</v>
      </c>
      <c r="U22" s="5" t="s">
        <v>26</v>
      </c>
      <c r="V22" s="2">
        <v>68155</v>
      </c>
      <c r="W22" s="2">
        <v>49809</v>
      </c>
      <c r="X22" s="2">
        <v>48216</v>
      </c>
      <c r="Y22" s="2">
        <v>46708</v>
      </c>
      <c r="Z22" s="2">
        <v>44645</v>
      </c>
      <c r="AA22" s="2">
        <v>44407</v>
      </c>
      <c r="AB22" s="2">
        <v>56563</v>
      </c>
      <c r="AC22" s="2">
        <v>58040</v>
      </c>
      <c r="AD22" s="2">
        <v>59693</v>
      </c>
      <c r="AE22" s="2">
        <v>60675</v>
      </c>
      <c r="AF22" s="2">
        <v>60401</v>
      </c>
      <c r="AG22" s="2">
        <v>60287</v>
      </c>
      <c r="AH22" s="2">
        <v>60761</v>
      </c>
      <c r="AJ22" s="1" t="s">
        <v>26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</row>
    <row r="23" spans="2:49">
      <c r="B23" s="5" t="s">
        <v>27</v>
      </c>
      <c r="C23" s="12">
        <v>-436618</v>
      </c>
      <c r="D23" s="12"/>
      <c r="F23" s="5" t="s">
        <v>27</v>
      </c>
      <c r="G23" s="2">
        <v>8785</v>
      </c>
      <c r="H23" s="2">
        <v>27103</v>
      </c>
      <c r="I23" s="2">
        <v>28637</v>
      </c>
      <c r="J23" s="2">
        <v>30570</v>
      </c>
      <c r="K23" s="2">
        <v>32300</v>
      </c>
      <c r="L23" s="2">
        <v>32617</v>
      </c>
      <c r="M23" s="2">
        <v>20075</v>
      </c>
      <c r="N23" s="2">
        <v>18748</v>
      </c>
      <c r="O23" s="2">
        <v>17596</v>
      </c>
      <c r="P23" s="2">
        <v>16287</v>
      </c>
      <c r="Q23" s="2">
        <v>16251</v>
      </c>
      <c r="R23" s="2">
        <v>16347</v>
      </c>
      <c r="S23" s="2">
        <v>16375</v>
      </c>
      <c r="U23" s="5" t="s">
        <v>27</v>
      </c>
      <c r="V23" s="2">
        <v>68339</v>
      </c>
      <c r="W23" s="2">
        <v>49618</v>
      </c>
      <c r="X23" s="2">
        <v>48398</v>
      </c>
      <c r="Y23" s="2">
        <v>46476</v>
      </c>
      <c r="Z23" s="2">
        <v>45235</v>
      </c>
      <c r="AA23" s="2">
        <v>44490</v>
      </c>
      <c r="AB23" s="2">
        <v>56942</v>
      </c>
      <c r="AC23" s="2">
        <v>57950</v>
      </c>
      <c r="AD23" s="2">
        <v>58872</v>
      </c>
      <c r="AE23" s="2">
        <v>60557</v>
      </c>
      <c r="AF23" s="2">
        <v>60755</v>
      </c>
      <c r="AG23" s="2">
        <v>60316</v>
      </c>
      <c r="AH23" s="2">
        <v>60361</v>
      </c>
      <c r="AJ23" s="1" t="s">
        <v>27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</row>
    <row r="24" spans="2:49">
      <c r="B24" s="5" t="s">
        <v>28</v>
      </c>
      <c r="C24" s="12">
        <v>-437702</v>
      </c>
      <c r="D24" s="12"/>
      <c r="F24" s="5" t="s">
        <v>28</v>
      </c>
      <c r="G24" s="2">
        <v>8815</v>
      </c>
      <c r="H24" s="2">
        <v>27020</v>
      </c>
      <c r="I24" s="2">
        <v>28964</v>
      </c>
      <c r="J24" s="2">
        <v>30246</v>
      </c>
      <c r="K24" s="2">
        <v>32269</v>
      </c>
      <c r="L24" s="2">
        <v>32305</v>
      </c>
      <c r="M24" s="2">
        <v>20083</v>
      </c>
      <c r="N24" s="2">
        <v>18724</v>
      </c>
      <c r="O24" s="2">
        <v>17602</v>
      </c>
      <c r="P24" s="2">
        <v>16297</v>
      </c>
      <c r="Q24" s="2">
        <v>16258</v>
      </c>
      <c r="R24" s="2">
        <v>16298</v>
      </c>
      <c r="S24" s="2">
        <v>16268</v>
      </c>
      <c r="U24" s="5" t="s">
        <v>28</v>
      </c>
      <c r="V24" s="2">
        <v>67704</v>
      </c>
      <c r="W24" s="2">
        <v>49596</v>
      </c>
      <c r="X24" s="2">
        <v>48644</v>
      </c>
      <c r="Y24" s="2">
        <v>46640</v>
      </c>
      <c r="Z24" s="2">
        <v>44595</v>
      </c>
      <c r="AA24" s="2">
        <v>44298</v>
      </c>
      <c r="AB24" s="2">
        <v>57105</v>
      </c>
      <c r="AC24" s="2">
        <v>58423</v>
      </c>
      <c r="AD24" s="2">
        <v>59235</v>
      </c>
      <c r="AE24" s="2">
        <v>60866</v>
      </c>
      <c r="AF24" s="2">
        <v>60226</v>
      </c>
      <c r="AG24" s="2">
        <v>61058</v>
      </c>
      <c r="AH24" s="2">
        <v>60461</v>
      </c>
      <c r="AJ24" s="1" t="s">
        <v>28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</row>
    <row r="25" spans="2:49">
      <c r="B25" s="5" t="s">
        <v>29</v>
      </c>
      <c r="C25" s="12">
        <v>-434900</v>
      </c>
      <c r="D25" s="12"/>
      <c r="F25" s="5" t="s">
        <v>29</v>
      </c>
      <c r="G25" s="9">
        <v>8949</v>
      </c>
      <c r="H25" s="9">
        <v>27178</v>
      </c>
      <c r="I25" s="9">
        <v>29123</v>
      </c>
      <c r="J25" s="9">
        <v>30408</v>
      </c>
      <c r="K25" s="9">
        <v>32279</v>
      </c>
      <c r="L25" s="9">
        <v>32594</v>
      </c>
      <c r="M25" s="9">
        <v>20100</v>
      </c>
      <c r="N25" s="9">
        <v>18763</v>
      </c>
      <c r="O25" s="9">
        <v>17689</v>
      </c>
      <c r="P25" s="9">
        <v>16400</v>
      </c>
      <c r="Q25" s="9">
        <v>16341</v>
      </c>
      <c r="R25" s="9">
        <v>16306</v>
      </c>
      <c r="S25" s="9">
        <v>16420</v>
      </c>
      <c r="U25" s="5" t="s">
        <v>29</v>
      </c>
      <c r="V25" s="9">
        <v>67880</v>
      </c>
      <c r="W25" s="9">
        <v>49802</v>
      </c>
      <c r="X25" s="9">
        <v>47869</v>
      </c>
      <c r="Y25" s="9">
        <v>46561</v>
      </c>
      <c r="Z25" s="9">
        <v>44672</v>
      </c>
      <c r="AA25" s="9">
        <v>44464</v>
      </c>
      <c r="AB25" s="9">
        <v>56627</v>
      </c>
      <c r="AC25" s="9">
        <v>58156</v>
      </c>
      <c r="AD25" s="9">
        <v>59381</v>
      </c>
      <c r="AE25" s="9">
        <v>60881</v>
      </c>
      <c r="AF25" s="9">
        <v>60695</v>
      </c>
      <c r="AG25" s="9">
        <v>60253</v>
      </c>
      <c r="AH25" s="9">
        <v>60209</v>
      </c>
      <c r="AJ25" s="1" t="s">
        <v>29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</row>
    <row r="26" spans="2:49">
      <c r="B26" s="5" t="s">
        <v>30</v>
      </c>
      <c r="C26" s="12">
        <v>-290490</v>
      </c>
      <c r="D26" s="12"/>
      <c r="F26" s="5" t="s">
        <v>30</v>
      </c>
      <c r="G26" s="2">
        <v>8732</v>
      </c>
      <c r="H26" s="2">
        <v>27293</v>
      </c>
      <c r="I26" s="2">
        <v>28594</v>
      </c>
      <c r="J26" s="2">
        <v>30507</v>
      </c>
      <c r="K26" s="2">
        <v>32130</v>
      </c>
      <c r="L26" s="2">
        <v>32665</v>
      </c>
      <c r="M26" s="2">
        <v>20129</v>
      </c>
      <c r="N26" s="2">
        <v>18957</v>
      </c>
      <c r="O26" s="2">
        <v>17573</v>
      </c>
      <c r="P26" s="2">
        <v>16454</v>
      </c>
      <c r="Q26" s="2">
        <v>16494</v>
      </c>
      <c r="R26" s="2">
        <v>16348</v>
      </c>
      <c r="S26" s="2">
        <v>16211</v>
      </c>
      <c r="U26" s="5" t="s">
        <v>30</v>
      </c>
      <c r="V26" s="2">
        <v>57772</v>
      </c>
      <c r="W26" s="2">
        <v>38732</v>
      </c>
      <c r="X26" s="2">
        <v>37974</v>
      </c>
      <c r="Y26" s="2">
        <v>36335</v>
      </c>
      <c r="Z26" s="2">
        <v>35432</v>
      </c>
      <c r="AA26" s="2">
        <v>31940</v>
      </c>
      <c r="AB26" s="2">
        <v>28484</v>
      </c>
      <c r="AC26" s="2">
        <v>48147</v>
      </c>
      <c r="AD26" s="2">
        <v>50072</v>
      </c>
      <c r="AE26" s="2">
        <v>51695</v>
      </c>
      <c r="AF26" s="2">
        <v>52124</v>
      </c>
      <c r="AG26" s="2">
        <v>51857</v>
      </c>
      <c r="AH26" s="2">
        <v>52013</v>
      </c>
      <c r="AJ26" s="5" t="s">
        <v>30</v>
      </c>
      <c r="AK26" s="2">
        <v>10102</v>
      </c>
      <c r="AL26" s="2">
        <v>10729</v>
      </c>
      <c r="AM26" s="2">
        <v>10360</v>
      </c>
      <c r="AN26" s="2">
        <v>10067</v>
      </c>
      <c r="AO26" s="2">
        <v>9393</v>
      </c>
      <c r="AP26" s="2">
        <v>12515</v>
      </c>
      <c r="AQ26" s="2">
        <v>28581</v>
      </c>
      <c r="AR26" s="2">
        <v>9885</v>
      </c>
      <c r="AS26" s="2">
        <v>9178</v>
      </c>
      <c r="AT26" s="2">
        <v>8628</v>
      </c>
      <c r="AU26" s="2">
        <v>8645</v>
      </c>
      <c r="AV26" s="2">
        <v>8541</v>
      </c>
      <c r="AW26" s="2">
        <v>8712</v>
      </c>
    </row>
    <row r="27" spans="2:49">
      <c r="B27" s="5" t="s">
        <v>31</v>
      </c>
      <c r="C27" s="12">
        <v>-4829</v>
      </c>
      <c r="D27" s="12"/>
      <c r="F27" s="5" t="s">
        <v>31</v>
      </c>
      <c r="G27" s="2">
        <v>18922</v>
      </c>
      <c r="H27" s="2">
        <v>37835</v>
      </c>
      <c r="I27" s="2">
        <v>39385</v>
      </c>
      <c r="J27" s="2">
        <v>40684</v>
      </c>
      <c r="K27" s="2">
        <v>41732</v>
      </c>
      <c r="L27" s="2">
        <v>45344</v>
      </c>
      <c r="M27" s="2">
        <v>48790</v>
      </c>
      <c r="N27" s="2">
        <v>28347</v>
      </c>
      <c r="O27" s="2">
        <v>26938</v>
      </c>
      <c r="P27" s="2">
        <v>25116</v>
      </c>
      <c r="Q27" s="2">
        <v>24888</v>
      </c>
      <c r="R27" s="2">
        <v>25144</v>
      </c>
      <c r="S27" s="2">
        <v>24992</v>
      </c>
      <c r="U27" s="5" t="s">
        <v>31</v>
      </c>
      <c r="V27" s="2">
        <v>48232</v>
      </c>
      <c r="W27" s="2">
        <v>28579</v>
      </c>
      <c r="X27" s="2">
        <v>27594</v>
      </c>
      <c r="Y27" s="2">
        <v>26810</v>
      </c>
      <c r="Z27" s="2">
        <v>25765</v>
      </c>
      <c r="AA27" s="2">
        <v>23468</v>
      </c>
      <c r="AB27" s="2">
        <v>17642</v>
      </c>
      <c r="AC27" s="2">
        <v>20505</v>
      </c>
      <c r="AD27" s="2">
        <v>41197</v>
      </c>
      <c r="AE27" s="2">
        <v>43132</v>
      </c>
      <c r="AF27" s="2">
        <v>43413</v>
      </c>
      <c r="AG27" s="2">
        <v>43430</v>
      </c>
      <c r="AH27" s="2">
        <v>43179</v>
      </c>
      <c r="AJ27" s="5" t="s">
        <v>31</v>
      </c>
      <c r="AK27" s="2">
        <v>9993</v>
      </c>
      <c r="AL27" s="2">
        <v>10434</v>
      </c>
      <c r="AM27" s="2">
        <v>9951</v>
      </c>
      <c r="AN27" s="2">
        <v>9427</v>
      </c>
      <c r="AO27" s="2">
        <v>9503</v>
      </c>
      <c r="AP27" s="2">
        <v>8111</v>
      </c>
      <c r="AQ27" s="2">
        <v>10582</v>
      </c>
      <c r="AR27" s="2">
        <v>27708</v>
      </c>
      <c r="AS27" s="2">
        <v>9071</v>
      </c>
      <c r="AT27" s="2">
        <v>8520</v>
      </c>
      <c r="AU27" s="2">
        <v>8756</v>
      </c>
      <c r="AV27" s="2">
        <v>8497</v>
      </c>
      <c r="AW27" s="2">
        <v>8384</v>
      </c>
    </row>
    <row r="28" spans="2:49">
      <c r="B28" s="5" t="s">
        <v>32</v>
      </c>
      <c r="C28" s="12">
        <v>266848</v>
      </c>
      <c r="D28" s="12"/>
      <c r="F28" s="5" t="s">
        <v>32</v>
      </c>
      <c r="G28" s="2">
        <v>28930</v>
      </c>
      <c r="H28" s="2">
        <v>48233</v>
      </c>
      <c r="I28" s="2">
        <v>48854</v>
      </c>
      <c r="J28" s="2">
        <v>49904</v>
      </c>
      <c r="K28" s="2">
        <v>51291</v>
      </c>
      <c r="L28" s="2">
        <v>53520</v>
      </c>
      <c r="M28" s="2">
        <v>59156</v>
      </c>
      <c r="N28" s="2">
        <v>56362</v>
      </c>
      <c r="O28" s="2">
        <v>36133</v>
      </c>
      <c r="P28" s="2">
        <v>33502</v>
      </c>
      <c r="Q28" s="2">
        <v>33511</v>
      </c>
      <c r="R28" s="2">
        <v>33566</v>
      </c>
      <c r="S28" s="2">
        <v>33711</v>
      </c>
      <c r="U28" s="5" t="s">
        <v>32</v>
      </c>
      <c r="V28" s="2">
        <v>37946</v>
      </c>
      <c r="W28" s="2">
        <v>18692</v>
      </c>
      <c r="X28" s="2">
        <v>18220</v>
      </c>
      <c r="Y28" s="2">
        <v>17527</v>
      </c>
      <c r="Z28" s="2">
        <v>16925</v>
      </c>
      <c r="AA28" s="2">
        <v>15353</v>
      </c>
      <c r="AB28" s="2">
        <v>11811</v>
      </c>
      <c r="AC28" s="2">
        <v>10584</v>
      </c>
      <c r="AD28" s="2">
        <v>13851</v>
      </c>
      <c r="AE28" s="2">
        <v>34642</v>
      </c>
      <c r="AF28" s="2">
        <v>34575</v>
      </c>
      <c r="AG28" s="2">
        <v>34813</v>
      </c>
      <c r="AH28" s="2">
        <v>34886</v>
      </c>
      <c r="AJ28" s="5" t="s">
        <v>32</v>
      </c>
      <c r="AK28" s="2">
        <v>9981</v>
      </c>
      <c r="AL28" s="2">
        <v>9908</v>
      </c>
      <c r="AM28" s="2">
        <v>9695</v>
      </c>
      <c r="AN28" s="2">
        <v>9471</v>
      </c>
      <c r="AO28" s="2">
        <v>8930</v>
      </c>
      <c r="AP28" s="2">
        <v>8214</v>
      </c>
      <c r="AQ28" s="2">
        <v>5938</v>
      </c>
      <c r="AR28" s="2">
        <v>10054</v>
      </c>
      <c r="AS28" s="2">
        <v>26948</v>
      </c>
      <c r="AT28" s="2">
        <v>8534</v>
      </c>
      <c r="AU28" s="2">
        <v>8617</v>
      </c>
      <c r="AV28" s="2">
        <v>8537</v>
      </c>
      <c r="AW28" s="2">
        <v>8675</v>
      </c>
    </row>
    <row r="29" spans="2:49">
      <c r="B29" s="5" t="s">
        <v>33</v>
      </c>
      <c r="C29" s="12">
        <v>579125</v>
      </c>
      <c r="D29" s="12"/>
      <c r="F29" s="5" t="s">
        <v>33</v>
      </c>
      <c r="G29" s="9">
        <v>39094</v>
      </c>
      <c r="H29" s="9">
        <v>58505</v>
      </c>
      <c r="I29" s="9">
        <v>58505</v>
      </c>
      <c r="J29" s="9">
        <v>59382</v>
      </c>
      <c r="K29" s="9">
        <v>59447</v>
      </c>
      <c r="L29" s="9">
        <v>61348</v>
      </c>
      <c r="M29" s="9">
        <v>64796</v>
      </c>
      <c r="N29" s="9">
        <v>65890</v>
      </c>
      <c r="O29" s="9">
        <v>63149</v>
      </c>
      <c r="P29" s="9">
        <v>42312</v>
      </c>
      <c r="Q29" s="9">
        <v>42268</v>
      </c>
      <c r="R29" s="9">
        <v>42469</v>
      </c>
      <c r="S29" s="9">
        <v>42338</v>
      </c>
      <c r="U29" s="5" t="s">
        <v>33</v>
      </c>
      <c r="V29" s="2">
        <v>27894</v>
      </c>
      <c r="W29" s="2">
        <v>9179</v>
      </c>
      <c r="X29" s="2">
        <v>8904</v>
      </c>
      <c r="Y29" s="2">
        <v>8619</v>
      </c>
      <c r="Z29" s="2">
        <v>8373</v>
      </c>
      <c r="AA29" s="2">
        <v>7405</v>
      </c>
      <c r="AB29" s="2">
        <v>5719</v>
      </c>
      <c r="AC29" s="2">
        <v>5322</v>
      </c>
      <c r="AD29" s="2">
        <v>4583</v>
      </c>
      <c r="AE29" s="2">
        <v>8371</v>
      </c>
      <c r="AF29" s="2">
        <v>8845</v>
      </c>
      <c r="AG29" s="2">
        <v>8587</v>
      </c>
      <c r="AH29" s="2">
        <v>8577</v>
      </c>
      <c r="AJ29" s="5" t="s">
        <v>33</v>
      </c>
      <c r="AK29" s="9">
        <v>10072</v>
      </c>
      <c r="AL29" s="9">
        <v>9512</v>
      </c>
      <c r="AM29" s="9">
        <v>9389</v>
      </c>
      <c r="AN29" s="9">
        <v>9005</v>
      </c>
      <c r="AO29" s="9">
        <v>8641</v>
      </c>
      <c r="AP29" s="9">
        <v>7890</v>
      </c>
      <c r="AQ29" s="9">
        <v>6129</v>
      </c>
      <c r="AR29" s="9">
        <v>5273</v>
      </c>
      <c r="AS29" s="9">
        <v>9157</v>
      </c>
      <c r="AT29" s="9">
        <v>26241</v>
      </c>
      <c r="AU29" s="9">
        <v>26360</v>
      </c>
      <c r="AV29" s="9">
        <v>26213</v>
      </c>
      <c r="AW29" s="9">
        <v>26237</v>
      </c>
    </row>
    <row r="30" spans="2:49">
      <c r="B30" s="5" t="s">
        <v>34</v>
      </c>
      <c r="C30" s="12">
        <v>580793.5</v>
      </c>
      <c r="D30" s="12"/>
      <c r="F30" s="5" t="s">
        <v>34</v>
      </c>
      <c r="G30" s="2">
        <v>53222</v>
      </c>
      <c r="H30" s="2">
        <v>77167</v>
      </c>
      <c r="I30" s="2">
        <v>76763</v>
      </c>
      <c r="J30" s="2">
        <v>76821</v>
      </c>
      <c r="K30" s="2">
        <v>76857</v>
      </c>
      <c r="L30" s="2">
        <v>76616</v>
      </c>
      <c r="M30" s="2">
        <v>77219</v>
      </c>
      <c r="N30" s="2">
        <v>77002</v>
      </c>
      <c r="O30" s="2">
        <v>77050</v>
      </c>
      <c r="P30" s="2">
        <v>71217</v>
      </c>
      <c r="Q30" s="2">
        <v>70878</v>
      </c>
      <c r="R30" s="2">
        <v>71315</v>
      </c>
      <c r="S30" s="2">
        <v>70446</v>
      </c>
      <c r="U30" s="1" t="s">
        <v>34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J30" s="5" t="s">
        <v>34</v>
      </c>
      <c r="AK30" s="2">
        <v>23984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5761</v>
      </c>
      <c r="AU30" s="2">
        <v>5882</v>
      </c>
      <c r="AV30" s="2">
        <v>5890</v>
      </c>
      <c r="AW30" s="2">
        <v>5910</v>
      </c>
    </row>
    <row r="32" spans="2:49">
      <c r="F32" s="16" t="s">
        <v>35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U32" s="16" t="s">
        <v>36</v>
      </c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J32" s="16" t="s">
        <v>37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</row>
    <row r="33" spans="6:49">
      <c r="F33" s="3"/>
      <c r="G33" s="4" t="s">
        <v>4</v>
      </c>
      <c r="H33" s="4">
        <v>2</v>
      </c>
      <c r="I33" s="4">
        <v>3</v>
      </c>
      <c r="J33" s="4">
        <v>4</v>
      </c>
      <c r="K33" s="4">
        <v>5</v>
      </c>
      <c r="L33" s="4">
        <v>6</v>
      </c>
      <c r="M33" s="4">
        <v>7</v>
      </c>
      <c r="N33" s="4">
        <v>8</v>
      </c>
      <c r="O33" s="4">
        <v>9</v>
      </c>
      <c r="P33" s="4">
        <v>10</v>
      </c>
      <c r="Q33" s="4" t="s">
        <v>5</v>
      </c>
      <c r="R33" s="4" t="s">
        <v>6</v>
      </c>
      <c r="S33" s="4" t="s">
        <v>7</v>
      </c>
      <c r="U33" s="3"/>
      <c r="V33" s="6" t="s">
        <v>4</v>
      </c>
      <c r="W33" s="6">
        <v>2</v>
      </c>
      <c r="X33" s="6">
        <v>3</v>
      </c>
      <c r="Y33" s="6">
        <v>4</v>
      </c>
      <c r="Z33" s="6">
        <v>5</v>
      </c>
      <c r="AA33" s="6">
        <v>6</v>
      </c>
      <c r="AB33" s="6">
        <v>7</v>
      </c>
      <c r="AC33" s="6">
        <v>8</v>
      </c>
      <c r="AD33" s="6">
        <v>9</v>
      </c>
      <c r="AE33" s="6">
        <v>10</v>
      </c>
      <c r="AF33" s="6" t="s">
        <v>5</v>
      </c>
      <c r="AG33" s="6" t="s">
        <v>6</v>
      </c>
      <c r="AH33" s="6" t="s">
        <v>7</v>
      </c>
      <c r="AJ33" s="17"/>
      <c r="AK33" s="11" t="s">
        <v>4</v>
      </c>
      <c r="AL33" s="11">
        <v>2</v>
      </c>
      <c r="AM33" s="11">
        <v>3</v>
      </c>
      <c r="AN33" s="11">
        <v>4</v>
      </c>
      <c r="AO33" s="11">
        <v>5</v>
      </c>
      <c r="AP33" s="11">
        <v>6</v>
      </c>
      <c r="AQ33" s="11">
        <v>7</v>
      </c>
      <c r="AR33" s="11">
        <v>8</v>
      </c>
      <c r="AS33" s="11">
        <v>9</v>
      </c>
      <c r="AT33" s="11">
        <v>10</v>
      </c>
      <c r="AU33" s="11" t="s">
        <v>5</v>
      </c>
      <c r="AV33" s="11" t="s">
        <v>6</v>
      </c>
      <c r="AW33" s="11" t="s">
        <v>7</v>
      </c>
    </row>
    <row r="34" spans="6:49">
      <c r="F34" s="1" t="s">
        <v>8</v>
      </c>
      <c r="G34" s="19">
        <f>G4/SUM(G4,V4,AK4)</f>
        <v>0.11513392336499462</v>
      </c>
      <c r="H34" s="19">
        <f t="shared" ref="H34:S34" si="0">H4/SUM(H4,W4,AL4)</f>
        <v>0.35383895374535246</v>
      </c>
      <c r="I34" s="19">
        <f t="shared" si="0"/>
        <v>0.37449210227198493</v>
      </c>
      <c r="J34" s="19">
        <f t="shared" si="0"/>
        <v>0.39695670865957089</v>
      </c>
      <c r="K34" s="19">
        <f t="shared" si="0"/>
        <v>0.41720544119168307</v>
      </c>
      <c r="L34" s="19">
        <f t="shared" si="0"/>
        <v>0.42244971915202029</v>
      </c>
      <c r="M34" s="19">
        <f t="shared" si="0"/>
        <v>0.2593892457521757</v>
      </c>
      <c r="N34" s="19">
        <f t="shared" si="0"/>
        <v>0.24525803872219382</v>
      </c>
      <c r="O34" s="19">
        <f t="shared" si="0"/>
        <v>0.22936639046789026</v>
      </c>
      <c r="P34" s="19">
        <f t="shared" si="0"/>
        <v>0.21297998498226353</v>
      </c>
      <c r="Q34" s="19">
        <f t="shared" si="0"/>
        <v>0.21378521378521378</v>
      </c>
      <c r="R34" s="19">
        <f t="shared" si="0"/>
        <v>0.21356396866840732</v>
      </c>
      <c r="S34" s="19">
        <f t="shared" si="0"/>
        <v>0.21303669008587042</v>
      </c>
      <c r="U34" s="5" t="s">
        <v>8</v>
      </c>
      <c r="V34" s="19">
        <f>V4/SUM(G4,V4,AK4)</f>
        <v>0.88486607663500538</v>
      </c>
      <c r="W34" s="19">
        <f t="shared" ref="W34:AH34" si="1">W4/SUM(H4,W4,AL4)</f>
        <v>0.64616104625464754</v>
      </c>
      <c r="X34" s="19">
        <f t="shared" si="1"/>
        <v>0.62550789772801507</v>
      </c>
      <c r="Y34" s="19">
        <f t="shared" si="1"/>
        <v>0.60304329134042911</v>
      </c>
      <c r="Z34" s="19">
        <f t="shared" si="1"/>
        <v>0.58279455880831699</v>
      </c>
      <c r="AA34" s="19">
        <f t="shared" si="1"/>
        <v>0.57755028084797966</v>
      </c>
      <c r="AB34" s="19">
        <f t="shared" si="1"/>
        <v>0.7406107542478243</v>
      </c>
      <c r="AC34" s="19">
        <f t="shared" si="1"/>
        <v>0.75474196127780613</v>
      </c>
      <c r="AD34" s="19">
        <f t="shared" si="1"/>
        <v>0.77063360953210969</v>
      </c>
      <c r="AE34" s="19">
        <f t="shared" si="1"/>
        <v>0.78702001501773644</v>
      </c>
      <c r="AF34" s="19">
        <f t="shared" si="1"/>
        <v>0.78621478621478624</v>
      </c>
      <c r="AG34" s="19">
        <f t="shared" si="1"/>
        <v>0.78643603133159268</v>
      </c>
      <c r="AH34" s="19">
        <f t="shared" si="1"/>
        <v>0.78696330991412955</v>
      </c>
      <c r="AJ34" s="5" t="s">
        <v>8</v>
      </c>
      <c r="AK34" s="19">
        <f>AK4/SUM(G4,V4,AK4)</f>
        <v>0</v>
      </c>
      <c r="AL34" s="19">
        <f t="shared" ref="AL34:AW34" si="2">AL4/SUM(H4,W4,AL4)</f>
        <v>0</v>
      </c>
      <c r="AM34" s="19">
        <f t="shared" si="2"/>
        <v>0</v>
      </c>
      <c r="AN34" s="19">
        <f t="shared" si="2"/>
        <v>0</v>
      </c>
      <c r="AO34" s="19">
        <f t="shared" si="2"/>
        <v>0</v>
      </c>
      <c r="AP34" s="19">
        <f t="shared" si="2"/>
        <v>0</v>
      </c>
      <c r="AQ34" s="19">
        <f t="shared" si="2"/>
        <v>0</v>
      </c>
      <c r="AR34" s="19">
        <f t="shared" si="2"/>
        <v>0</v>
      </c>
      <c r="AS34" s="19">
        <f t="shared" si="2"/>
        <v>0</v>
      </c>
      <c r="AT34" s="19">
        <f t="shared" si="2"/>
        <v>0</v>
      </c>
      <c r="AU34" s="19">
        <f t="shared" si="2"/>
        <v>0</v>
      </c>
      <c r="AV34" s="19">
        <f t="shared" si="2"/>
        <v>0</v>
      </c>
      <c r="AW34" s="19">
        <f t="shared" si="2"/>
        <v>0</v>
      </c>
    </row>
    <row r="35" spans="6:49">
      <c r="F35" s="1" t="s">
        <v>9</v>
      </c>
      <c r="G35" s="19">
        <f t="shared" ref="G35:G60" si="3">G5/SUM(G5,V5,AK5)</f>
        <v>0.11581567509705044</v>
      </c>
      <c r="H35" s="19">
        <f t="shared" ref="H35:H60" si="4">H5/SUM(H5,W5,AL5)</f>
        <v>0.35424052358876468</v>
      </c>
      <c r="I35" s="19">
        <f t="shared" ref="I35:I60" si="5">I5/SUM(I5,X5,AM5)</f>
        <v>0.37448441871055882</v>
      </c>
      <c r="J35" s="19">
        <f t="shared" ref="J35:J60" si="6">J5/SUM(J5,Y5,AN5)</f>
        <v>0.39447216591298923</v>
      </c>
      <c r="K35" s="19">
        <f t="shared" ref="K35:K60" si="7">K5/SUM(K5,Z5,AO5)</f>
        <v>0.42331894534297154</v>
      </c>
      <c r="L35" s="19">
        <f t="shared" ref="L35:L60" si="8">L5/SUM(L5,AA5,AP5)</f>
        <v>0.42495751332978737</v>
      </c>
      <c r="M35" s="19">
        <f t="shared" ref="M35:M60" si="9">M5/SUM(M5,AB5,AQ5)</f>
        <v>0.26218623060097906</v>
      </c>
      <c r="N35" s="19">
        <f t="shared" ref="N35:N60" si="10">N5/SUM(N5,AC5,AR5)</f>
        <v>0.24382427733665474</v>
      </c>
      <c r="O35" s="19">
        <f t="shared" ref="O35:O60" si="11">O5/SUM(O5,AD5,AS5)</f>
        <v>0.23044681795628444</v>
      </c>
      <c r="P35" s="19">
        <f t="shared" ref="P35:P60" si="12">P5/SUM(P5,AE5,AT5)</f>
        <v>0.21328534543462954</v>
      </c>
      <c r="Q35" s="19">
        <f t="shared" ref="Q35:Q60" si="13">Q5/SUM(Q5,AF5,AU5)</f>
        <v>0.21494634146341463</v>
      </c>
      <c r="R35" s="19">
        <f t="shared" ref="R35:R60" si="14">R5/SUM(R5,AG5,AV5)</f>
        <v>0.21139717791570029</v>
      </c>
      <c r="S35" s="19">
        <f t="shared" ref="S35:S60" si="15">S5/SUM(S5,AH5,AW5)</f>
        <v>0.21100761401397211</v>
      </c>
      <c r="U35" s="5" t="s">
        <v>9</v>
      </c>
      <c r="V35" s="19">
        <f t="shared" ref="V35:V60" si="16">V5/SUM(G5,V5,AK5)</f>
        <v>0.88418432490294951</v>
      </c>
      <c r="W35" s="19">
        <f t="shared" ref="W35:W60" si="17">W5/SUM(H5,W5,AL5)</f>
        <v>0.64575947641123532</v>
      </c>
      <c r="X35" s="19">
        <f t="shared" ref="X35:X60" si="18">X5/SUM(I5,X5,AM5)</f>
        <v>0.62551558128944118</v>
      </c>
      <c r="Y35" s="19">
        <f t="shared" ref="Y35:Y60" si="19">Y5/SUM(J5,Y5,AN5)</f>
        <v>0.60552783408701072</v>
      </c>
      <c r="Z35" s="19">
        <f t="shared" ref="Z35:Z60" si="20">Z5/SUM(K5,Z5,AO5)</f>
        <v>0.57668105465702846</v>
      </c>
      <c r="AA35" s="19">
        <f t="shared" ref="AA35:AA60" si="21">AA5/SUM(L5,AA5,AP5)</f>
        <v>0.57504248667021263</v>
      </c>
      <c r="AB35" s="19">
        <f t="shared" ref="AB35:AB60" si="22">AB5/SUM(M5,AB5,AQ5)</f>
        <v>0.73781376939902088</v>
      </c>
      <c r="AC35" s="19">
        <f t="shared" ref="AC35:AC60" si="23">AC5/SUM(N5,AC5,AR5)</f>
        <v>0.75617572266334532</v>
      </c>
      <c r="AD35" s="19">
        <f t="shared" ref="AD35:AD60" si="24">AD5/SUM(O5,AD5,AS5)</f>
        <v>0.76955318204371559</v>
      </c>
      <c r="AE35" s="19">
        <f t="shared" ref="AE35:AE60" si="25">AE5/SUM(P5,AE5,AT5)</f>
        <v>0.78671465456537049</v>
      </c>
      <c r="AF35" s="19">
        <f t="shared" ref="AF35:AF60" si="26">AF5/SUM(Q5,AF5,AU5)</f>
        <v>0.78505365853658537</v>
      </c>
      <c r="AG35" s="19">
        <f t="shared" ref="AG35:AG60" si="27">AG5/SUM(R5,AG5,AV5)</f>
        <v>0.78860282208429977</v>
      </c>
      <c r="AH35" s="19">
        <f t="shared" ref="AH35:AH60" si="28">AH5/SUM(S5,AH5,AW5)</f>
        <v>0.78899238598602794</v>
      </c>
      <c r="AJ35" s="5" t="s">
        <v>9</v>
      </c>
      <c r="AK35" s="19">
        <f t="shared" ref="AK35:AK60" si="29">AK5/SUM(G5,V5,AK5)</f>
        <v>0</v>
      </c>
      <c r="AL35" s="19">
        <f t="shared" ref="AL35:AL60" si="30">AL5/SUM(H5,W5,AL5)</f>
        <v>0</v>
      </c>
      <c r="AM35" s="19">
        <f t="shared" ref="AM35:AM60" si="31">AM5/SUM(I5,X5,AM5)</f>
        <v>0</v>
      </c>
      <c r="AN35" s="19">
        <f t="shared" ref="AN35:AN60" si="32">AN5/SUM(J5,Y5,AN5)</f>
        <v>0</v>
      </c>
      <c r="AO35" s="19">
        <f t="shared" ref="AO35:AO60" si="33">AO5/SUM(K5,Z5,AO5)</f>
        <v>0</v>
      </c>
      <c r="AP35" s="19">
        <f t="shared" ref="AP35:AP60" si="34">AP5/SUM(L5,AA5,AP5)</f>
        <v>0</v>
      </c>
      <c r="AQ35" s="19">
        <f t="shared" ref="AQ35:AQ60" si="35">AQ5/SUM(M5,AB5,AQ5)</f>
        <v>0</v>
      </c>
      <c r="AR35" s="19">
        <f t="shared" ref="AR35:AR60" si="36">AR5/SUM(N5,AC5,AR5)</f>
        <v>0</v>
      </c>
      <c r="AS35" s="19">
        <f t="shared" ref="AS35:AS60" si="37">AS5/SUM(O5,AD5,AS5)</f>
        <v>0</v>
      </c>
      <c r="AT35" s="19">
        <f t="shared" ref="AT35:AT60" si="38">AT5/SUM(P5,AE5,AT5)</f>
        <v>0</v>
      </c>
      <c r="AU35" s="19">
        <f t="shared" ref="AU35:AU60" si="39">AU5/SUM(Q5,AF5,AU5)</f>
        <v>0</v>
      </c>
      <c r="AV35" s="19">
        <f t="shared" ref="AV35:AV60" si="40">AV5/SUM(R5,AG5,AV5)</f>
        <v>0</v>
      </c>
      <c r="AW35" s="19">
        <f t="shared" ref="AW35:AW60" si="41">AW5/SUM(S5,AH5,AW5)</f>
        <v>0</v>
      </c>
    </row>
    <row r="36" spans="6:49">
      <c r="F36" s="1" t="s">
        <v>10</v>
      </c>
      <c r="G36" s="19">
        <f t="shared" si="3"/>
        <v>0.11583056802654694</v>
      </c>
      <c r="H36" s="19">
        <f t="shared" si="4"/>
        <v>0.35396367604645723</v>
      </c>
      <c r="I36" s="19">
        <f t="shared" si="5"/>
        <v>0.37219387423882416</v>
      </c>
      <c r="J36" s="19">
        <f t="shared" si="6"/>
        <v>0.39856214428048603</v>
      </c>
      <c r="K36" s="19">
        <f t="shared" si="7"/>
        <v>0.41628244314355284</v>
      </c>
      <c r="L36" s="19">
        <f t="shared" si="8"/>
        <v>0.42488323819408408</v>
      </c>
      <c r="M36" s="19">
        <f t="shared" si="9"/>
        <v>0.26537436647682744</v>
      </c>
      <c r="N36" s="19">
        <f t="shared" si="10"/>
        <v>0.24095526875032394</v>
      </c>
      <c r="O36" s="19">
        <f t="shared" si="11"/>
        <v>0.22825690463783221</v>
      </c>
      <c r="P36" s="19">
        <f t="shared" si="12"/>
        <v>0.21171539429802363</v>
      </c>
      <c r="Q36" s="19">
        <f t="shared" si="13"/>
        <v>0.21519350713745139</v>
      </c>
      <c r="R36" s="19">
        <f t="shared" si="14"/>
        <v>0.21322191609918387</v>
      </c>
      <c r="S36" s="19">
        <f t="shared" si="15"/>
        <v>0.21249057878732749</v>
      </c>
      <c r="U36" s="5" t="s">
        <v>10</v>
      </c>
      <c r="V36" s="19">
        <f t="shared" si="16"/>
        <v>0.8841694319734531</v>
      </c>
      <c r="W36" s="19">
        <f t="shared" si="17"/>
        <v>0.64603632395354271</v>
      </c>
      <c r="X36" s="19">
        <f t="shared" si="18"/>
        <v>0.62780612576117578</v>
      </c>
      <c r="Y36" s="19">
        <f t="shared" si="19"/>
        <v>0.60143785571951391</v>
      </c>
      <c r="Z36" s="19">
        <f t="shared" si="20"/>
        <v>0.58371755685644722</v>
      </c>
      <c r="AA36" s="19">
        <f t="shared" si="21"/>
        <v>0.57511676180591598</v>
      </c>
      <c r="AB36" s="19">
        <f t="shared" si="22"/>
        <v>0.73462563352317256</v>
      </c>
      <c r="AC36" s="19">
        <f t="shared" si="23"/>
        <v>0.75904473124967609</v>
      </c>
      <c r="AD36" s="19">
        <f t="shared" si="24"/>
        <v>0.77174309536216779</v>
      </c>
      <c r="AE36" s="19">
        <f t="shared" si="25"/>
        <v>0.78828460570197634</v>
      </c>
      <c r="AF36" s="19">
        <f t="shared" si="26"/>
        <v>0.78480649286254855</v>
      </c>
      <c r="AG36" s="19">
        <f t="shared" si="27"/>
        <v>0.78677808390081616</v>
      </c>
      <c r="AH36" s="19">
        <f t="shared" si="28"/>
        <v>0.78750942121267253</v>
      </c>
      <c r="AJ36" s="5" t="s">
        <v>10</v>
      </c>
      <c r="AK36" s="19">
        <f t="shared" si="29"/>
        <v>0</v>
      </c>
      <c r="AL36" s="19">
        <f t="shared" si="30"/>
        <v>0</v>
      </c>
      <c r="AM36" s="19">
        <f t="shared" si="31"/>
        <v>0</v>
      </c>
      <c r="AN36" s="19">
        <f t="shared" si="32"/>
        <v>0</v>
      </c>
      <c r="AO36" s="19">
        <f t="shared" si="33"/>
        <v>0</v>
      </c>
      <c r="AP36" s="19">
        <f t="shared" si="34"/>
        <v>0</v>
      </c>
      <c r="AQ36" s="19">
        <f t="shared" si="35"/>
        <v>0</v>
      </c>
      <c r="AR36" s="19">
        <f t="shared" si="36"/>
        <v>0</v>
      </c>
      <c r="AS36" s="19">
        <f t="shared" si="37"/>
        <v>0</v>
      </c>
      <c r="AT36" s="19">
        <f t="shared" si="38"/>
        <v>0</v>
      </c>
      <c r="AU36" s="19">
        <f t="shared" si="39"/>
        <v>0</v>
      </c>
      <c r="AV36" s="19">
        <f t="shared" si="40"/>
        <v>0</v>
      </c>
      <c r="AW36" s="19">
        <f t="shared" si="41"/>
        <v>0</v>
      </c>
    </row>
    <row r="37" spans="6:49">
      <c r="F37" s="1" t="s">
        <v>11</v>
      </c>
      <c r="G37" s="19">
        <f t="shared" si="3"/>
        <v>0.11554033011522891</v>
      </c>
      <c r="H37" s="19">
        <f t="shared" si="4"/>
        <v>0.35007930935850429</v>
      </c>
      <c r="I37" s="19">
        <f t="shared" si="5"/>
        <v>0.37263500325309046</v>
      </c>
      <c r="J37" s="19">
        <f t="shared" si="6"/>
        <v>0.39507177837216212</v>
      </c>
      <c r="K37" s="19">
        <f t="shared" si="7"/>
        <v>0.41660596284926377</v>
      </c>
      <c r="L37" s="19">
        <f t="shared" si="8"/>
        <v>0.42126683343486321</v>
      </c>
      <c r="M37" s="19">
        <f t="shared" si="9"/>
        <v>0.26089036579216179</v>
      </c>
      <c r="N37" s="19">
        <f t="shared" si="10"/>
        <v>0.24323052796654471</v>
      </c>
      <c r="O37" s="19">
        <f t="shared" si="11"/>
        <v>0.231017262396288</v>
      </c>
      <c r="P37" s="19">
        <f t="shared" si="12"/>
        <v>0.20996103896103896</v>
      </c>
      <c r="Q37" s="19">
        <f t="shared" si="13"/>
        <v>0.21375126652983814</v>
      </c>
      <c r="R37" s="19">
        <f t="shared" si="14"/>
        <v>0.21353458198179345</v>
      </c>
      <c r="S37" s="19">
        <f t="shared" si="15"/>
        <v>0.21445789378191338</v>
      </c>
      <c r="U37" s="5" t="s">
        <v>11</v>
      </c>
      <c r="V37" s="19">
        <f t="shared" si="16"/>
        <v>0.88445966988477109</v>
      </c>
      <c r="W37" s="19">
        <f t="shared" si="17"/>
        <v>0.64992069064149571</v>
      </c>
      <c r="X37" s="19">
        <f t="shared" si="18"/>
        <v>0.6273649967469096</v>
      </c>
      <c r="Y37" s="19">
        <f t="shared" si="19"/>
        <v>0.60492822162783788</v>
      </c>
      <c r="Z37" s="19">
        <f t="shared" si="20"/>
        <v>0.58339403715073623</v>
      </c>
      <c r="AA37" s="19">
        <f t="shared" si="21"/>
        <v>0.57873316656513685</v>
      </c>
      <c r="AB37" s="19">
        <f t="shared" si="22"/>
        <v>0.73910963420783826</v>
      </c>
      <c r="AC37" s="19">
        <f t="shared" si="23"/>
        <v>0.75676947203345535</v>
      </c>
      <c r="AD37" s="19">
        <f t="shared" si="24"/>
        <v>0.76898273760371205</v>
      </c>
      <c r="AE37" s="19">
        <f t="shared" si="25"/>
        <v>0.79003896103896099</v>
      </c>
      <c r="AF37" s="19">
        <f t="shared" si="26"/>
        <v>0.78624873347016189</v>
      </c>
      <c r="AG37" s="19">
        <f t="shared" si="27"/>
        <v>0.78646541801820657</v>
      </c>
      <c r="AH37" s="19">
        <f t="shared" si="28"/>
        <v>0.78554210621808662</v>
      </c>
      <c r="AJ37" s="5" t="s">
        <v>11</v>
      </c>
      <c r="AK37" s="19">
        <f t="shared" si="29"/>
        <v>0</v>
      </c>
      <c r="AL37" s="19">
        <f t="shared" si="30"/>
        <v>0</v>
      </c>
      <c r="AM37" s="19">
        <f t="shared" si="31"/>
        <v>0</v>
      </c>
      <c r="AN37" s="19">
        <f t="shared" si="32"/>
        <v>0</v>
      </c>
      <c r="AO37" s="19">
        <f t="shared" si="33"/>
        <v>0</v>
      </c>
      <c r="AP37" s="19">
        <f t="shared" si="34"/>
        <v>0</v>
      </c>
      <c r="AQ37" s="19">
        <f t="shared" si="35"/>
        <v>0</v>
      </c>
      <c r="AR37" s="19">
        <f t="shared" si="36"/>
        <v>0</v>
      </c>
      <c r="AS37" s="19">
        <f t="shared" si="37"/>
        <v>0</v>
      </c>
      <c r="AT37" s="19">
        <f t="shared" si="38"/>
        <v>0</v>
      </c>
      <c r="AU37" s="19">
        <f t="shared" si="39"/>
        <v>0</v>
      </c>
      <c r="AV37" s="19">
        <f t="shared" si="40"/>
        <v>0</v>
      </c>
      <c r="AW37" s="19">
        <f t="shared" si="41"/>
        <v>0</v>
      </c>
    </row>
    <row r="38" spans="6:49">
      <c r="F38" s="1" t="s">
        <v>12</v>
      </c>
      <c r="G38" s="19">
        <f t="shared" si="3"/>
        <v>0.11397737615394617</v>
      </c>
      <c r="H38" s="19">
        <f t="shared" si="4"/>
        <v>0.35403331558925488</v>
      </c>
      <c r="I38" s="19">
        <f t="shared" si="5"/>
        <v>0.37455481321652323</v>
      </c>
      <c r="J38" s="19">
        <f t="shared" si="6"/>
        <v>0.39881232054293919</v>
      </c>
      <c r="K38" s="19">
        <f t="shared" si="7"/>
        <v>0.41910653816097942</v>
      </c>
      <c r="L38" s="19">
        <f t="shared" si="8"/>
        <v>0.42509390067972397</v>
      </c>
      <c r="M38" s="19">
        <f t="shared" si="9"/>
        <v>0.26178316634829052</v>
      </c>
      <c r="N38" s="19">
        <f t="shared" si="10"/>
        <v>0.24504064410240506</v>
      </c>
      <c r="O38" s="19">
        <f t="shared" si="11"/>
        <v>0.23309054425580153</v>
      </c>
      <c r="P38" s="19">
        <f t="shared" si="12"/>
        <v>0.21315991216330349</v>
      </c>
      <c r="Q38" s="19">
        <f t="shared" si="13"/>
        <v>0.21206481421227305</v>
      </c>
      <c r="R38" s="19">
        <f t="shared" si="14"/>
        <v>0.21042203545667629</v>
      </c>
      <c r="S38" s="19">
        <f t="shared" si="15"/>
        <v>0.21277511213101075</v>
      </c>
      <c r="U38" s="5" t="s">
        <v>12</v>
      </c>
      <c r="V38" s="19">
        <f t="shared" si="16"/>
        <v>0.88602262384605379</v>
      </c>
      <c r="W38" s="19">
        <f t="shared" si="17"/>
        <v>0.64596668441074512</v>
      </c>
      <c r="X38" s="19">
        <f t="shared" si="18"/>
        <v>0.62544518678347671</v>
      </c>
      <c r="Y38" s="19">
        <f t="shared" si="19"/>
        <v>0.60118767945706086</v>
      </c>
      <c r="Z38" s="19">
        <f t="shared" si="20"/>
        <v>0.58089346183902058</v>
      </c>
      <c r="AA38" s="19">
        <f t="shared" si="21"/>
        <v>0.57490609932027603</v>
      </c>
      <c r="AB38" s="19">
        <f t="shared" si="22"/>
        <v>0.73821683365170954</v>
      </c>
      <c r="AC38" s="19">
        <f t="shared" si="23"/>
        <v>0.754959355897595</v>
      </c>
      <c r="AD38" s="19">
        <f t="shared" si="24"/>
        <v>0.76690945574419844</v>
      </c>
      <c r="AE38" s="19">
        <f t="shared" si="25"/>
        <v>0.78684008783669646</v>
      </c>
      <c r="AF38" s="19">
        <f t="shared" si="26"/>
        <v>0.78793518578772692</v>
      </c>
      <c r="AG38" s="19">
        <f t="shared" si="27"/>
        <v>0.78957796454332374</v>
      </c>
      <c r="AH38" s="19">
        <f t="shared" si="28"/>
        <v>0.78722488786898925</v>
      </c>
      <c r="AJ38" s="5" t="s">
        <v>12</v>
      </c>
      <c r="AK38" s="19">
        <f t="shared" si="29"/>
        <v>0</v>
      </c>
      <c r="AL38" s="19">
        <f t="shared" si="30"/>
        <v>0</v>
      </c>
      <c r="AM38" s="19">
        <f t="shared" si="31"/>
        <v>0</v>
      </c>
      <c r="AN38" s="19">
        <f t="shared" si="32"/>
        <v>0</v>
      </c>
      <c r="AO38" s="19">
        <f t="shared" si="33"/>
        <v>0</v>
      </c>
      <c r="AP38" s="19">
        <f t="shared" si="34"/>
        <v>0</v>
      </c>
      <c r="AQ38" s="19">
        <f t="shared" si="35"/>
        <v>0</v>
      </c>
      <c r="AR38" s="19">
        <f t="shared" si="36"/>
        <v>0</v>
      </c>
      <c r="AS38" s="19">
        <f t="shared" si="37"/>
        <v>0</v>
      </c>
      <c r="AT38" s="19">
        <f t="shared" si="38"/>
        <v>0</v>
      </c>
      <c r="AU38" s="19">
        <f t="shared" si="39"/>
        <v>0</v>
      </c>
      <c r="AV38" s="19">
        <f t="shared" si="40"/>
        <v>0</v>
      </c>
      <c r="AW38" s="19">
        <f t="shared" si="41"/>
        <v>0</v>
      </c>
    </row>
    <row r="39" spans="6:49">
      <c r="F39" s="5" t="s">
        <v>13</v>
      </c>
      <c r="G39" s="19">
        <f t="shared" si="3"/>
        <v>0.11677111928316154</v>
      </c>
      <c r="H39" s="19">
        <f t="shared" si="4"/>
        <v>0.35071595938557665</v>
      </c>
      <c r="I39" s="19">
        <f t="shared" si="5"/>
        <v>0.37241944505873326</v>
      </c>
      <c r="J39" s="19">
        <f t="shared" si="6"/>
        <v>0.39793985625697309</v>
      </c>
      <c r="K39" s="19">
        <f t="shared" si="7"/>
        <v>0.42047740813333162</v>
      </c>
      <c r="L39" s="19">
        <f t="shared" si="8"/>
        <v>0.42228093350946722</v>
      </c>
      <c r="M39" s="19">
        <f t="shared" si="9"/>
        <v>0.25816701033601785</v>
      </c>
      <c r="N39" s="19">
        <f t="shared" si="10"/>
        <v>0.2438111874437825</v>
      </c>
      <c r="O39" s="19">
        <f t="shared" si="11"/>
        <v>0.22911464835622139</v>
      </c>
      <c r="P39" s="19">
        <f t="shared" si="12"/>
        <v>0.21305184838315253</v>
      </c>
      <c r="Q39" s="19">
        <f t="shared" si="13"/>
        <v>0.21115001698502706</v>
      </c>
      <c r="R39" s="19">
        <f t="shared" si="14"/>
        <v>0.21351446396707346</v>
      </c>
      <c r="S39" s="19">
        <f t="shared" si="15"/>
        <v>0.21406166621113323</v>
      </c>
      <c r="U39" s="5" t="s">
        <v>13</v>
      </c>
      <c r="V39" s="19">
        <f t="shared" si="16"/>
        <v>0.88322888071683847</v>
      </c>
      <c r="W39" s="19">
        <f t="shared" si="17"/>
        <v>0.64928404061442335</v>
      </c>
      <c r="X39" s="19">
        <f t="shared" si="18"/>
        <v>0.62758055494126674</v>
      </c>
      <c r="Y39" s="19">
        <f t="shared" si="19"/>
        <v>0.60206014374302685</v>
      </c>
      <c r="Z39" s="19">
        <f t="shared" si="20"/>
        <v>0.57952259186666844</v>
      </c>
      <c r="AA39" s="19">
        <f t="shared" si="21"/>
        <v>0.57771906649053284</v>
      </c>
      <c r="AB39" s="19">
        <f t="shared" si="22"/>
        <v>0.74183298966398215</v>
      </c>
      <c r="AC39" s="19">
        <f t="shared" si="23"/>
        <v>0.7561888125562175</v>
      </c>
      <c r="AD39" s="19">
        <f t="shared" si="24"/>
        <v>0.77088535164377858</v>
      </c>
      <c r="AE39" s="19">
        <f t="shared" si="25"/>
        <v>0.7869481516168475</v>
      </c>
      <c r="AF39" s="19">
        <f t="shared" si="26"/>
        <v>0.788849983014973</v>
      </c>
      <c r="AG39" s="19">
        <f t="shared" si="27"/>
        <v>0.78648553603292648</v>
      </c>
      <c r="AH39" s="19">
        <f t="shared" si="28"/>
        <v>0.78593833378886679</v>
      </c>
      <c r="AJ39" s="5" t="s">
        <v>13</v>
      </c>
      <c r="AK39" s="19">
        <f t="shared" si="29"/>
        <v>0</v>
      </c>
      <c r="AL39" s="19">
        <f t="shared" si="30"/>
        <v>0</v>
      </c>
      <c r="AM39" s="19">
        <f t="shared" si="31"/>
        <v>0</v>
      </c>
      <c r="AN39" s="19">
        <f t="shared" si="32"/>
        <v>0</v>
      </c>
      <c r="AO39" s="19">
        <f t="shared" si="33"/>
        <v>0</v>
      </c>
      <c r="AP39" s="19">
        <f t="shared" si="34"/>
        <v>0</v>
      </c>
      <c r="AQ39" s="19">
        <f t="shared" si="35"/>
        <v>0</v>
      </c>
      <c r="AR39" s="19">
        <f t="shared" si="36"/>
        <v>0</v>
      </c>
      <c r="AS39" s="19">
        <f t="shared" si="37"/>
        <v>0</v>
      </c>
      <c r="AT39" s="19">
        <f t="shared" si="38"/>
        <v>0</v>
      </c>
      <c r="AU39" s="19">
        <f t="shared" si="39"/>
        <v>0</v>
      </c>
      <c r="AV39" s="19">
        <f t="shared" si="40"/>
        <v>0</v>
      </c>
      <c r="AW39" s="19">
        <f t="shared" si="41"/>
        <v>0</v>
      </c>
    </row>
    <row r="40" spans="6:49">
      <c r="F40" s="5" t="s">
        <v>14</v>
      </c>
      <c r="G40" s="19">
        <f t="shared" si="3"/>
        <v>0.1166424229830121</v>
      </c>
      <c r="H40" s="19">
        <f t="shared" si="4"/>
        <v>0.35570408588701269</v>
      </c>
      <c r="I40" s="19">
        <f t="shared" si="5"/>
        <v>0.37045954692556632</v>
      </c>
      <c r="J40" s="19">
        <f t="shared" si="6"/>
        <v>0.39365017530190882</v>
      </c>
      <c r="K40" s="19">
        <f t="shared" si="7"/>
        <v>0.41866284373778184</v>
      </c>
      <c r="L40" s="19">
        <f t="shared" si="8"/>
        <v>0.42305886648757207</v>
      </c>
      <c r="M40" s="19">
        <f t="shared" si="9"/>
        <v>0.26190476190476192</v>
      </c>
      <c r="N40" s="19">
        <f t="shared" si="10"/>
        <v>0.24355244535304293</v>
      </c>
      <c r="O40" s="19">
        <f t="shared" si="11"/>
        <v>0.22874982261955443</v>
      </c>
      <c r="P40" s="19">
        <f t="shared" si="12"/>
        <v>0.21108237709711375</v>
      </c>
      <c r="Q40" s="19">
        <f t="shared" si="13"/>
        <v>0.21371489857043829</v>
      </c>
      <c r="R40" s="19">
        <f t="shared" si="14"/>
        <v>0.21309905806852292</v>
      </c>
      <c r="S40" s="19">
        <f t="shared" si="15"/>
        <v>0.21170416000623807</v>
      </c>
      <c r="U40" s="5" t="s">
        <v>14</v>
      </c>
      <c r="V40" s="19">
        <f t="shared" si="16"/>
        <v>0.88335757701698792</v>
      </c>
      <c r="W40" s="19">
        <f t="shared" si="17"/>
        <v>0.64429591411298726</v>
      </c>
      <c r="X40" s="19">
        <f t="shared" si="18"/>
        <v>0.62954045307443363</v>
      </c>
      <c r="Y40" s="19">
        <f t="shared" si="19"/>
        <v>0.60634982469809118</v>
      </c>
      <c r="Z40" s="19">
        <f t="shared" si="20"/>
        <v>0.58133715626221816</v>
      </c>
      <c r="AA40" s="19">
        <f t="shared" si="21"/>
        <v>0.57694113351242793</v>
      </c>
      <c r="AB40" s="19">
        <f t="shared" si="22"/>
        <v>0.73809523809523814</v>
      </c>
      <c r="AC40" s="19">
        <f t="shared" si="23"/>
        <v>0.75644755464695712</v>
      </c>
      <c r="AD40" s="19">
        <f t="shared" si="24"/>
        <v>0.77125017738044555</v>
      </c>
      <c r="AE40" s="19">
        <f t="shared" si="25"/>
        <v>0.78891762290288625</v>
      </c>
      <c r="AF40" s="19">
        <f t="shared" si="26"/>
        <v>0.78628510142956176</v>
      </c>
      <c r="AG40" s="19">
        <f t="shared" si="27"/>
        <v>0.78690094193147708</v>
      </c>
      <c r="AH40" s="19">
        <f t="shared" si="28"/>
        <v>0.78829583999376196</v>
      </c>
      <c r="AJ40" s="5" t="s">
        <v>14</v>
      </c>
      <c r="AK40" s="19">
        <f t="shared" si="29"/>
        <v>0</v>
      </c>
      <c r="AL40" s="19">
        <f t="shared" si="30"/>
        <v>0</v>
      </c>
      <c r="AM40" s="19">
        <f t="shared" si="31"/>
        <v>0</v>
      </c>
      <c r="AN40" s="19">
        <f t="shared" si="32"/>
        <v>0</v>
      </c>
      <c r="AO40" s="19">
        <f t="shared" si="33"/>
        <v>0</v>
      </c>
      <c r="AP40" s="19">
        <f t="shared" si="34"/>
        <v>0</v>
      </c>
      <c r="AQ40" s="19">
        <f t="shared" si="35"/>
        <v>0</v>
      </c>
      <c r="AR40" s="19">
        <f t="shared" si="36"/>
        <v>0</v>
      </c>
      <c r="AS40" s="19">
        <f t="shared" si="37"/>
        <v>0</v>
      </c>
      <c r="AT40" s="19">
        <f t="shared" si="38"/>
        <v>0</v>
      </c>
      <c r="AU40" s="19">
        <f t="shared" si="39"/>
        <v>0</v>
      </c>
      <c r="AV40" s="19">
        <f t="shared" si="40"/>
        <v>0</v>
      </c>
      <c r="AW40" s="19">
        <f t="shared" si="41"/>
        <v>0</v>
      </c>
    </row>
    <row r="41" spans="6:49">
      <c r="F41" s="5" t="s">
        <v>15</v>
      </c>
      <c r="G41" s="19">
        <f t="shared" si="3"/>
        <v>0.11632538825030266</v>
      </c>
      <c r="H41" s="19">
        <f t="shared" si="4"/>
        <v>0.35095417369855902</v>
      </c>
      <c r="I41" s="19">
        <f t="shared" si="5"/>
        <v>0.37586949429037519</v>
      </c>
      <c r="J41" s="19">
        <f t="shared" si="6"/>
        <v>0.39721925690629312</v>
      </c>
      <c r="K41" s="19">
        <f t="shared" si="7"/>
        <v>0.41843999374119856</v>
      </c>
      <c r="L41" s="19">
        <f t="shared" si="8"/>
        <v>0.42414083230858846</v>
      </c>
      <c r="M41" s="19">
        <f t="shared" si="9"/>
        <v>0.26272118882114609</v>
      </c>
      <c r="N41" s="19">
        <f t="shared" si="10"/>
        <v>0.24678318399666596</v>
      </c>
      <c r="O41" s="19">
        <f t="shared" si="11"/>
        <v>0.22925040455186094</v>
      </c>
      <c r="P41" s="19">
        <f t="shared" si="12"/>
        <v>0.21197773037098705</v>
      </c>
      <c r="Q41" s="19">
        <f t="shared" si="13"/>
        <v>0.21425883391079795</v>
      </c>
      <c r="R41" s="19">
        <f t="shared" si="14"/>
        <v>0.21057822069967819</v>
      </c>
      <c r="S41" s="19">
        <f t="shared" si="15"/>
        <v>0.21129975745470109</v>
      </c>
      <c r="U41" s="5" t="s">
        <v>15</v>
      </c>
      <c r="V41" s="19">
        <f t="shared" si="16"/>
        <v>0.8836746117496973</v>
      </c>
      <c r="W41" s="19">
        <f t="shared" si="17"/>
        <v>0.64904582630144103</v>
      </c>
      <c r="X41" s="19">
        <f t="shared" si="18"/>
        <v>0.62413050570962481</v>
      </c>
      <c r="Y41" s="19">
        <f t="shared" si="19"/>
        <v>0.60278074309370688</v>
      </c>
      <c r="Z41" s="19">
        <f t="shared" si="20"/>
        <v>0.58156000625880144</v>
      </c>
      <c r="AA41" s="19">
        <f t="shared" si="21"/>
        <v>0.57585916769141154</v>
      </c>
      <c r="AB41" s="19">
        <f t="shared" si="22"/>
        <v>0.73727881117885385</v>
      </c>
      <c r="AC41" s="19">
        <f t="shared" si="23"/>
        <v>0.75321681600333401</v>
      </c>
      <c r="AD41" s="19">
        <f t="shared" si="24"/>
        <v>0.77074959544813904</v>
      </c>
      <c r="AE41" s="19">
        <f t="shared" si="25"/>
        <v>0.78802226962901301</v>
      </c>
      <c r="AF41" s="19">
        <f t="shared" si="26"/>
        <v>0.78574116608920208</v>
      </c>
      <c r="AG41" s="19">
        <f t="shared" si="27"/>
        <v>0.78942177930032176</v>
      </c>
      <c r="AH41" s="19">
        <f t="shared" si="28"/>
        <v>0.78870024254529891</v>
      </c>
      <c r="AJ41" s="5" t="s">
        <v>15</v>
      </c>
      <c r="AK41" s="19">
        <f t="shared" si="29"/>
        <v>0</v>
      </c>
      <c r="AL41" s="19">
        <f t="shared" si="30"/>
        <v>0</v>
      </c>
      <c r="AM41" s="19">
        <f t="shared" si="31"/>
        <v>0</v>
      </c>
      <c r="AN41" s="19">
        <f t="shared" si="32"/>
        <v>0</v>
      </c>
      <c r="AO41" s="19">
        <f t="shared" si="33"/>
        <v>0</v>
      </c>
      <c r="AP41" s="19">
        <f t="shared" si="34"/>
        <v>0</v>
      </c>
      <c r="AQ41" s="19">
        <f t="shared" si="35"/>
        <v>0</v>
      </c>
      <c r="AR41" s="19">
        <f t="shared" si="36"/>
        <v>0</v>
      </c>
      <c r="AS41" s="19">
        <f t="shared" si="37"/>
        <v>0</v>
      </c>
      <c r="AT41" s="19">
        <f t="shared" si="38"/>
        <v>0</v>
      </c>
      <c r="AU41" s="19">
        <f t="shared" si="39"/>
        <v>0</v>
      </c>
      <c r="AV41" s="19">
        <f t="shared" si="40"/>
        <v>0</v>
      </c>
      <c r="AW41" s="19">
        <f t="shared" si="41"/>
        <v>0</v>
      </c>
    </row>
    <row r="42" spans="6:49">
      <c r="F42" s="5" t="s">
        <v>16</v>
      </c>
      <c r="G42" s="19">
        <f t="shared" si="3"/>
        <v>0.11599869238313175</v>
      </c>
      <c r="H42" s="19">
        <f t="shared" si="4"/>
        <v>0.35324358358540292</v>
      </c>
      <c r="I42" s="19">
        <f t="shared" si="5"/>
        <v>0.37254009930589854</v>
      </c>
      <c r="J42" s="19">
        <f t="shared" si="6"/>
        <v>0.39435226755156483</v>
      </c>
      <c r="K42" s="19">
        <f t="shared" si="7"/>
        <v>0.41700123330446875</v>
      </c>
      <c r="L42" s="19">
        <f t="shared" si="8"/>
        <v>0.4218946495015104</v>
      </c>
      <c r="M42" s="19">
        <f t="shared" si="9"/>
        <v>0.26105295845355625</v>
      </c>
      <c r="N42" s="19">
        <f t="shared" si="10"/>
        <v>0.24642898919923575</v>
      </c>
      <c r="O42" s="19">
        <f t="shared" si="11"/>
        <v>0.22728870717829194</v>
      </c>
      <c r="P42" s="19">
        <f t="shared" si="12"/>
        <v>0.2115154354729554</v>
      </c>
      <c r="Q42" s="19">
        <f t="shared" si="13"/>
        <v>0.21467808700632632</v>
      </c>
      <c r="R42" s="19">
        <f t="shared" si="14"/>
        <v>0.21197389970624173</v>
      </c>
      <c r="S42" s="19">
        <f t="shared" si="15"/>
        <v>0.21321723024682623</v>
      </c>
      <c r="U42" s="5" t="s">
        <v>16</v>
      </c>
      <c r="V42" s="19">
        <f t="shared" si="16"/>
        <v>0.88400130761686824</v>
      </c>
      <c r="W42" s="19">
        <f t="shared" si="17"/>
        <v>0.64675641641459714</v>
      </c>
      <c r="X42" s="19">
        <f t="shared" si="18"/>
        <v>0.6274599006941014</v>
      </c>
      <c r="Y42" s="19">
        <f t="shared" si="19"/>
        <v>0.60564773244843517</v>
      </c>
      <c r="Z42" s="19">
        <f t="shared" si="20"/>
        <v>0.58299876669553119</v>
      </c>
      <c r="AA42" s="19">
        <f t="shared" si="21"/>
        <v>0.57810535049848966</v>
      </c>
      <c r="AB42" s="19">
        <f t="shared" si="22"/>
        <v>0.73894704154644375</v>
      </c>
      <c r="AC42" s="19">
        <f t="shared" si="23"/>
        <v>0.75357101080076427</v>
      </c>
      <c r="AD42" s="19">
        <f t="shared" si="24"/>
        <v>0.77271129282170803</v>
      </c>
      <c r="AE42" s="19">
        <f t="shared" si="25"/>
        <v>0.78848456452704463</v>
      </c>
      <c r="AF42" s="19">
        <f t="shared" si="26"/>
        <v>0.78532191299367371</v>
      </c>
      <c r="AG42" s="19">
        <f t="shared" si="27"/>
        <v>0.7880261002937583</v>
      </c>
      <c r="AH42" s="19">
        <f t="shared" si="28"/>
        <v>0.78678276975317374</v>
      </c>
      <c r="AJ42" s="5" t="s">
        <v>16</v>
      </c>
      <c r="AK42" s="19">
        <f t="shared" si="29"/>
        <v>0</v>
      </c>
      <c r="AL42" s="19">
        <f t="shared" si="30"/>
        <v>0</v>
      </c>
      <c r="AM42" s="19">
        <f t="shared" si="31"/>
        <v>0</v>
      </c>
      <c r="AN42" s="19">
        <f t="shared" si="32"/>
        <v>0</v>
      </c>
      <c r="AO42" s="19">
        <f t="shared" si="33"/>
        <v>0</v>
      </c>
      <c r="AP42" s="19">
        <f t="shared" si="34"/>
        <v>0</v>
      </c>
      <c r="AQ42" s="19">
        <f t="shared" si="35"/>
        <v>0</v>
      </c>
      <c r="AR42" s="19">
        <f t="shared" si="36"/>
        <v>0</v>
      </c>
      <c r="AS42" s="19">
        <f t="shared" si="37"/>
        <v>0</v>
      </c>
      <c r="AT42" s="19">
        <f t="shared" si="38"/>
        <v>0</v>
      </c>
      <c r="AU42" s="19">
        <f t="shared" si="39"/>
        <v>0</v>
      </c>
      <c r="AV42" s="19">
        <f t="shared" si="40"/>
        <v>0</v>
      </c>
      <c r="AW42" s="19">
        <f t="shared" si="41"/>
        <v>0</v>
      </c>
    </row>
    <row r="43" spans="6:49">
      <c r="F43" s="5" t="s">
        <v>17</v>
      </c>
      <c r="G43" s="19">
        <f t="shared" si="3"/>
        <v>0.11733071638861629</v>
      </c>
      <c r="H43" s="19">
        <f t="shared" si="4"/>
        <v>0.35241398121809608</v>
      </c>
      <c r="I43" s="19">
        <f t="shared" si="5"/>
        <v>0.37442526130373405</v>
      </c>
      <c r="J43" s="19">
        <f t="shared" si="6"/>
        <v>0.39591805019555026</v>
      </c>
      <c r="K43" s="19">
        <f t="shared" si="7"/>
        <v>0.4166774737388147</v>
      </c>
      <c r="L43" s="19">
        <f t="shared" si="8"/>
        <v>0.42597658528996124</v>
      </c>
      <c r="M43" s="19">
        <f t="shared" si="9"/>
        <v>0.2624348526793257</v>
      </c>
      <c r="N43" s="19">
        <f t="shared" si="10"/>
        <v>0.24338520893615911</v>
      </c>
      <c r="O43" s="19">
        <f t="shared" si="11"/>
        <v>0.23190943043884221</v>
      </c>
      <c r="P43" s="19">
        <f t="shared" si="12"/>
        <v>0.21333038432515417</v>
      </c>
      <c r="Q43" s="19">
        <f t="shared" si="13"/>
        <v>0.21025134509916046</v>
      </c>
      <c r="R43" s="19">
        <f t="shared" si="14"/>
        <v>0.21072752096742733</v>
      </c>
      <c r="S43" s="19">
        <f t="shared" si="15"/>
        <v>0.21236425487374067</v>
      </c>
      <c r="U43" s="5" t="s">
        <v>17</v>
      </c>
      <c r="V43" s="19">
        <f t="shared" si="16"/>
        <v>0.88266928361138375</v>
      </c>
      <c r="W43" s="19">
        <f t="shared" si="17"/>
        <v>0.64758601878190392</v>
      </c>
      <c r="X43" s="19">
        <f t="shared" si="18"/>
        <v>0.62557473869626601</v>
      </c>
      <c r="Y43" s="19">
        <f t="shared" si="19"/>
        <v>0.60408194980444974</v>
      </c>
      <c r="Z43" s="19">
        <f t="shared" si="20"/>
        <v>0.5833225262611853</v>
      </c>
      <c r="AA43" s="19">
        <f t="shared" si="21"/>
        <v>0.57402341471003882</v>
      </c>
      <c r="AB43" s="19">
        <f t="shared" si="22"/>
        <v>0.73756514732067424</v>
      </c>
      <c r="AC43" s="19">
        <f t="shared" si="23"/>
        <v>0.75661479106384089</v>
      </c>
      <c r="AD43" s="19">
        <f t="shared" si="24"/>
        <v>0.76809056956115784</v>
      </c>
      <c r="AE43" s="19">
        <f t="shared" si="25"/>
        <v>0.78666961567484583</v>
      </c>
      <c r="AF43" s="19">
        <f t="shared" si="26"/>
        <v>0.78974865490083956</v>
      </c>
      <c r="AG43" s="19">
        <f t="shared" si="27"/>
        <v>0.78927247903257269</v>
      </c>
      <c r="AH43" s="19">
        <f t="shared" si="28"/>
        <v>0.78763574512625933</v>
      </c>
      <c r="AJ43" s="5" t="s">
        <v>17</v>
      </c>
      <c r="AK43" s="19">
        <f t="shared" si="29"/>
        <v>0</v>
      </c>
      <c r="AL43" s="19">
        <f t="shared" si="30"/>
        <v>0</v>
      </c>
      <c r="AM43" s="19">
        <f t="shared" si="31"/>
        <v>0</v>
      </c>
      <c r="AN43" s="19">
        <f t="shared" si="32"/>
        <v>0</v>
      </c>
      <c r="AO43" s="19">
        <f t="shared" si="33"/>
        <v>0</v>
      </c>
      <c r="AP43" s="19">
        <f t="shared" si="34"/>
        <v>0</v>
      </c>
      <c r="AQ43" s="19">
        <f t="shared" si="35"/>
        <v>0</v>
      </c>
      <c r="AR43" s="19">
        <f t="shared" si="36"/>
        <v>0</v>
      </c>
      <c r="AS43" s="19">
        <f t="shared" si="37"/>
        <v>0</v>
      </c>
      <c r="AT43" s="19">
        <f t="shared" si="38"/>
        <v>0</v>
      </c>
      <c r="AU43" s="19">
        <f t="shared" si="39"/>
        <v>0</v>
      </c>
      <c r="AV43" s="19">
        <f t="shared" si="40"/>
        <v>0</v>
      </c>
      <c r="AW43" s="19">
        <f t="shared" si="41"/>
        <v>0</v>
      </c>
    </row>
    <row r="44" spans="6:49">
      <c r="F44" s="5" t="s">
        <v>18</v>
      </c>
      <c r="G44" s="19">
        <f t="shared" si="3"/>
        <v>0.1147760167192388</v>
      </c>
      <c r="H44" s="19">
        <f t="shared" si="4"/>
        <v>0.35266045051938116</v>
      </c>
      <c r="I44" s="19">
        <f t="shared" si="5"/>
        <v>0.37193870925853784</v>
      </c>
      <c r="J44" s="19">
        <f t="shared" si="6"/>
        <v>0.3969550154984241</v>
      </c>
      <c r="K44" s="19">
        <f t="shared" si="7"/>
        <v>0.42135442284294183</v>
      </c>
      <c r="L44" s="19">
        <f t="shared" si="8"/>
        <v>0.42443193662705858</v>
      </c>
      <c r="M44" s="19">
        <f t="shared" si="9"/>
        <v>0.26385979520940944</v>
      </c>
      <c r="N44" s="19">
        <f t="shared" si="10"/>
        <v>0.24538007735684425</v>
      </c>
      <c r="O44" s="19">
        <f t="shared" si="11"/>
        <v>0.22821178302621334</v>
      </c>
      <c r="P44" s="19">
        <f t="shared" si="12"/>
        <v>0.21239318466027512</v>
      </c>
      <c r="Q44" s="19">
        <f t="shared" si="13"/>
        <v>0.21108186296228726</v>
      </c>
      <c r="R44" s="19">
        <f t="shared" si="14"/>
        <v>0.20918586349978538</v>
      </c>
      <c r="S44" s="19">
        <f t="shared" si="15"/>
        <v>0.20907236320638262</v>
      </c>
      <c r="U44" s="5" t="s">
        <v>18</v>
      </c>
      <c r="V44" s="19">
        <f t="shared" si="16"/>
        <v>0.88522398328076124</v>
      </c>
      <c r="W44" s="19">
        <f t="shared" si="17"/>
        <v>0.64733954948061889</v>
      </c>
      <c r="X44" s="19">
        <f t="shared" si="18"/>
        <v>0.62806129074146211</v>
      </c>
      <c r="Y44" s="19">
        <f t="shared" si="19"/>
        <v>0.60304498450157584</v>
      </c>
      <c r="Z44" s="19">
        <f t="shared" si="20"/>
        <v>0.57864557715705822</v>
      </c>
      <c r="AA44" s="19">
        <f t="shared" si="21"/>
        <v>0.57556806337294142</v>
      </c>
      <c r="AB44" s="19">
        <f t="shared" si="22"/>
        <v>0.73614020479059061</v>
      </c>
      <c r="AC44" s="19">
        <f t="shared" si="23"/>
        <v>0.75461992264315569</v>
      </c>
      <c r="AD44" s="19">
        <f t="shared" si="24"/>
        <v>0.77178821697378663</v>
      </c>
      <c r="AE44" s="19">
        <f t="shared" si="25"/>
        <v>0.78760681533972488</v>
      </c>
      <c r="AF44" s="19">
        <f t="shared" si="26"/>
        <v>0.78891813703771274</v>
      </c>
      <c r="AG44" s="19">
        <f t="shared" si="27"/>
        <v>0.79081413650021459</v>
      </c>
      <c r="AH44" s="19">
        <f t="shared" si="28"/>
        <v>0.79092763679361733</v>
      </c>
      <c r="AJ44" s="5" t="s">
        <v>18</v>
      </c>
      <c r="AK44" s="19">
        <f t="shared" si="29"/>
        <v>0</v>
      </c>
      <c r="AL44" s="19">
        <f t="shared" si="30"/>
        <v>0</v>
      </c>
      <c r="AM44" s="19">
        <f t="shared" si="31"/>
        <v>0</v>
      </c>
      <c r="AN44" s="19">
        <f t="shared" si="32"/>
        <v>0</v>
      </c>
      <c r="AO44" s="19">
        <f t="shared" si="33"/>
        <v>0</v>
      </c>
      <c r="AP44" s="19">
        <f t="shared" si="34"/>
        <v>0</v>
      </c>
      <c r="AQ44" s="19">
        <f t="shared" si="35"/>
        <v>0</v>
      </c>
      <c r="AR44" s="19">
        <f t="shared" si="36"/>
        <v>0</v>
      </c>
      <c r="AS44" s="19">
        <f t="shared" si="37"/>
        <v>0</v>
      </c>
      <c r="AT44" s="19">
        <f t="shared" si="38"/>
        <v>0</v>
      </c>
      <c r="AU44" s="19">
        <f t="shared" si="39"/>
        <v>0</v>
      </c>
      <c r="AV44" s="19">
        <f t="shared" si="40"/>
        <v>0</v>
      </c>
      <c r="AW44" s="19">
        <f t="shared" si="41"/>
        <v>0</v>
      </c>
    </row>
    <row r="45" spans="6:49">
      <c r="F45" s="5" t="s">
        <v>19</v>
      </c>
      <c r="G45" s="19">
        <f t="shared" si="3"/>
        <v>0.11453361693297365</v>
      </c>
      <c r="H45" s="19">
        <f t="shared" si="4"/>
        <v>0.35200591846535234</v>
      </c>
      <c r="I45" s="19">
        <f t="shared" si="5"/>
        <v>0.37195137822431612</v>
      </c>
      <c r="J45" s="19">
        <f t="shared" si="6"/>
        <v>0.39713672154617036</v>
      </c>
      <c r="K45" s="19">
        <f t="shared" si="7"/>
        <v>0.41925082237911354</v>
      </c>
      <c r="L45" s="19">
        <f t="shared" si="8"/>
        <v>0.42042065507586118</v>
      </c>
      <c r="M45" s="19">
        <f t="shared" si="9"/>
        <v>0.25952247447416121</v>
      </c>
      <c r="N45" s="19">
        <f t="shared" si="10"/>
        <v>0.24250341197114447</v>
      </c>
      <c r="O45" s="19">
        <f t="shared" si="11"/>
        <v>0.22829389917668752</v>
      </c>
      <c r="P45" s="19">
        <f t="shared" si="12"/>
        <v>0.21133940384465716</v>
      </c>
      <c r="Q45" s="19">
        <f t="shared" si="13"/>
        <v>0.21330569411155018</v>
      </c>
      <c r="R45" s="19">
        <f t="shared" si="14"/>
        <v>0.21314167307416626</v>
      </c>
      <c r="S45" s="19">
        <f t="shared" si="15"/>
        <v>0.21067152524726704</v>
      </c>
      <c r="U45" s="5" t="s">
        <v>19</v>
      </c>
      <c r="V45" s="19">
        <f t="shared" si="16"/>
        <v>0.88546638306702641</v>
      </c>
      <c r="W45" s="19">
        <f t="shared" si="17"/>
        <v>0.64799408153464766</v>
      </c>
      <c r="X45" s="19">
        <f t="shared" si="18"/>
        <v>0.62804862177568388</v>
      </c>
      <c r="Y45" s="19">
        <f t="shared" si="19"/>
        <v>0.60286327845382959</v>
      </c>
      <c r="Z45" s="19">
        <f t="shared" si="20"/>
        <v>0.58074917762088651</v>
      </c>
      <c r="AA45" s="19">
        <f t="shared" si="21"/>
        <v>0.57957934492413887</v>
      </c>
      <c r="AB45" s="19">
        <f t="shared" si="22"/>
        <v>0.74047752552583879</v>
      </c>
      <c r="AC45" s="19">
        <f t="shared" si="23"/>
        <v>0.75749658802885556</v>
      </c>
      <c r="AD45" s="19">
        <f t="shared" si="24"/>
        <v>0.77170610082331248</v>
      </c>
      <c r="AE45" s="19">
        <f t="shared" si="25"/>
        <v>0.78866059615534279</v>
      </c>
      <c r="AF45" s="19">
        <f t="shared" si="26"/>
        <v>0.7866943058884498</v>
      </c>
      <c r="AG45" s="19">
        <f t="shared" si="27"/>
        <v>0.78685832692583368</v>
      </c>
      <c r="AH45" s="19">
        <f t="shared" si="28"/>
        <v>0.78932847475273293</v>
      </c>
      <c r="AJ45" s="5" t="s">
        <v>19</v>
      </c>
      <c r="AK45" s="19">
        <f t="shared" si="29"/>
        <v>0</v>
      </c>
      <c r="AL45" s="19">
        <f t="shared" si="30"/>
        <v>0</v>
      </c>
      <c r="AM45" s="19">
        <f t="shared" si="31"/>
        <v>0</v>
      </c>
      <c r="AN45" s="19">
        <f t="shared" si="32"/>
        <v>0</v>
      </c>
      <c r="AO45" s="19">
        <f t="shared" si="33"/>
        <v>0</v>
      </c>
      <c r="AP45" s="19">
        <f t="shared" si="34"/>
        <v>0</v>
      </c>
      <c r="AQ45" s="19">
        <f t="shared" si="35"/>
        <v>0</v>
      </c>
      <c r="AR45" s="19">
        <f t="shared" si="36"/>
        <v>0</v>
      </c>
      <c r="AS45" s="19">
        <f t="shared" si="37"/>
        <v>0</v>
      </c>
      <c r="AT45" s="19">
        <f t="shared" si="38"/>
        <v>0</v>
      </c>
      <c r="AU45" s="19">
        <f t="shared" si="39"/>
        <v>0</v>
      </c>
      <c r="AV45" s="19">
        <f t="shared" si="40"/>
        <v>0</v>
      </c>
      <c r="AW45" s="19">
        <f t="shared" si="41"/>
        <v>0</v>
      </c>
    </row>
    <row r="46" spans="6:49">
      <c r="F46" s="5" t="s">
        <v>20</v>
      </c>
      <c r="G46" s="19">
        <f t="shared" si="3"/>
        <v>0.11548347533368997</v>
      </c>
      <c r="H46" s="19">
        <f t="shared" si="4"/>
        <v>0.35365081006995175</v>
      </c>
      <c r="I46" s="19">
        <f t="shared" si="5"/>
        <v>0.37568231794075801</v>
      </c>
      <c r="J46" s="19">
        <f t="shared" si="6"/>
        <v>0.3967964815947328</v>
      </c>
      <c r="K46" s="19">
        <f t="shared" si="7"/>
        <v>0.41565026005161732</v>
      </c>
      <c r="L46" s="19">
        <f t="shared" si="8"/>
        <v>0.42007492975335625</v>
      </c>
      <c r="M46" s="19">
        <f t="shared" si="9"/>
        <v>0.26272531016724321</v>
      </c>
      <c r="N46" s="19">
        <f t="shared" si="10"/>
        <v>0.24220673213961805</v>
      </c>
      <c r="O46" s="19">
        <f t="shared" si="11"/>
        <v>0.22909072039230441</v>
      </c>
      <c r="P46" s="19">
        <f t="shared" si="12"/>
        <v>0.2134278478368711</v>
      </c>
      <c r="Q46" s="19">
        <f t="shared" si="13"/>
        <v>0.21339358972689268</v>
      </c>
      <c r="R46" s="19">
        <f t="shared" si="14"/>
        <v>0.21389256691850353</v>
      </c>
      <c r="S46" s="19">
        <f t="shared" si="15"/>
        <v>0.21260087707917066</v>
      </c>
      <c r="U46" s="5" t="s">
        <v>20</v>
      </c>
      <c r="V46" s="19">
        <f t="shared" si="16"/>
        <v>0.88451652466631003</v>
      </c>
      <c r="W46" s="19">
        <f t="shared" si="17"/>
        <v>0.6463491899300482</v>
      </c>
      <c r="X46" s="19">
        <f t="shared" si="18"/>
        <v>0.62431768205924199</v>
      </c>
      <c r="Y46" s="19">
        <f t="shared" si="19"/>
        <v>0.6032035184052672</v>
      </c>
      <c r="Z46" s="19">
        <f t="shared" si="20"/>
        <v>0.58434973994838268</v>
      </c>
      <c r="AA46" s="19">
        <f t="shared" si="21"/>
        <v>0.57992507024664375</v>
      </c>
      <c r="AB46" s="19">
        <f t="shared" si="22"/>
        <v>0.73727468983275679</v>
      </c>
      <c r="AC46" s="19">
        <f t="shared" si="23"/>
        <v>0.75779326786038192</v>
      </c>
      <c r="AD46" s="19">
        <f t="shared" si="24"/>
        <v>0.77090927960769562</v>
      </c>
      <c r="AE46" s="19">
        <f t="shared" si="25"/>
        <v>0.78657215216312892</v>
      </c>
      <c r="AF46" s="19">
        <f t="shared" si="26"/>
        <v>0.78660641027310729</v>
      </c>
      <c r="AG46" s="19">
        <f t="shared" si="27"/>
        <v>0.78610743308149644</v>
      </c>
      <c r="AH46" s="19">
        <f t="shared" si="28"/>
        <v>0.78739912292082936</v>
      </c>
      <c r="AJ46" s="5" t="s">
        <v>20</v>
      </c>
      <c r="AK46" s="19">
        <f t="shared" si="29"/>
        <v>0</v>
      </c>
      <c r="AL46" s="19">
        <f t="shared" si="30"/>
        <v>0</v>
      </c>
      <c r="AM46" s="19">
        <f t="shared" si="31"/>
        <v>0</v>
      </c>
      <c r="AN46" s="19">
        <f t="shared" si="32"/>
        <v>0</v>
      </c>
      <c r="AO46" s="19">
        <f t="shared" si="33"/>
        <v>0</v>
      </c>
      <c r="AP46" s="19">
        <f t="shared" si="34"/>
        <v>0</v>
      </c>
      <c r="AQ46" s="19">
        <f t="shared" si="35"/>
        <v>0</v>
      </c>
      <c r="AR46" s="19">
        <f t="shared" si="36"/>
        <v>0</v>
      </c>
      <c r="AS46" s="19">
        <f t="shared" si="37"/>
        <v>0</v>
      </c>
      <c r="AT46" s="19">
        <f t="shared" si="38"/>
        <v>0</v>
      </c>
      <c r="AU46" s="19">
        <f t="shared" si="39"/>
        <v>0</v>
      </c>
      <c r="AV46" s="19">
        <f t="shared" si="40"/>
        <v>0</v>
      </c>
      <c r="AW46" s="19">
        <f t="shared" si="41"/>
        <v>0</v>
      </c>
    </row>
    <row r="47" spans="6:49">
      <c r="F47" s="5" t="s">
        <v>21</v>
      </c>
      <c r="G47" s="19">
        <f t="shared" si="3"/>
        <v>0.11490577411999056</v>
      </c>
      <c r="H47" s="19">
        <f t="shared" si="4"/>
        <v>0.34962859254073814</v>
      </c>
      <c r="I47" s="19">
        <f t="shared" si="5"/>
        <v>0.37466737626397018</v>
      </c>
      <c r="J47" s="19">
        <f t="shared" si="6"/>
        <v>0.39218147467584563</v>
      </c>
      <c r="K47" s="19">
        <f t="shared" si="7"/>
        <v>0.41791742404570242</v>
      </c>
      <c r="L47" s="19">
        <f t="shared" si="8"/>
        <v>0.42252374491180461</v>
      </c>
      <c r="M47" s="19">
        <f t="shared" si="9"/>
        <v>0.26557377049180325</v>
      </c>
      <c r="N47" s="19">
        <f t="shared" si="10"/>
        <v>0.24717658804766413</v>
      </c>
      <c r="O47" s="19">
        <f t="shared" si="11"/>
        <v>0.2315182159989628</v>
      </c>
      <c r="P47" s="19">
        <f t="shared" si="12"/>
        <v>0.21473953373080587</v>
      </c>
      <c r="Q47" s="19">
        <f t="shared" si="13"/>
        <v>0.21445596940646447</v>
      </c>
      <c r="R47" s="19">
        <f t="shared" si="14"/>
        <v>0.212145254012434</v>
      </c>
      <c r="S47" s="19">
        <f t="shared" si="15"/>
        <v>0.2106000103718301</v>
      </c>
      <c r="U47" s="5" t="s">
        <v>21</v>
      </c>
      <c r="V47" s="19">
        <f t="shared" si="16"/>
        <v>0.75679500956674439</v>
      </c>
      <c r="W47" s="19">
        <f t="shared" si="17"/>
        <v>0.50821244765941997</v>
      </c>
      <c r="X47" s="19">
        <f t="shared" si="18"/>
        <v>0.49334752527940395</v>
      </c>
      <c r="Y47" s="19">
        <f t="shared" si="19"/>
        <v>0.47468878594166514</v>
      </c>
      <c r="Z47" s="19">
        <f t="shared" si="20"/>
        <v>0.46036094520903659</v>
      </c>
      <c r="AA47" s="19">
        <f t="shared" si="21"/>
        <v>0.40932997350907796</v>
      </c>
      <c r="AB47" s="19">
        <f t="shared" si="22"/>
        <v>0.36533211416628569</v>
      </c>
      <c r="AC47" s="19">
        <f t="shared" si="23"/>
        <v>0.62336786691389079</v>
      </c>
      <c r="AD47" s="19">
        <f t="shared" si="24"/>
        <v>0.64833398158952416</v>
      </c>
      <c r="AE47" s="19">
        <f t="shared" si="25"/>
        <v>0.67165464247041784</v>
      </c>
      <c r="AF47" s="19">
        <f t="shared" si="26"/>
        <v>0.67414479543192418</v>
      </c>
      <c r="AG47" s="19">
        <f t="shared" si="27"/>
        <v>0.67473922430611555</v>
      </c>
      <c r="AH47" s="19">
        <f t="shared" si="28"/>
        <v>0.67571176684125911</v>
      </c>
      <c r="AJ47" s="5" t="s">
        <v>21</v>
      </c>
      <c r="AK47" s="19">
        <f t="shared" si="29"/>
        <v>0.12829921631326502</v>
      </c>
      <c r="AL47" s="19">
        <f t="shared" si="30"/>
        <v>0.14215895979984183</v>
      </c>
      <c r="AM47" s="19">
        <f t="shared" si="31"/>
        <v>0.13198509845662587</v>
      </c>
      <c r="AN47" s="19">
        <f t="shared" si="32"/>
        <v>0.1331297393824892</v>
      </c>
      <c r="AO47" s="19">
        <f t="shared" si="33"/>
        <v>0.12172163074526098</v>
      </c>
      <c r="AP47" s="19">
        <f t="shared" si="34"/>
        <v>0.1681462815791174</v>
      </c>
      <c r="AQ47" s="19">
        <f t="shared" si="35"/>
        <v>0.36909411534191106</v>
      </c>
      <c r="AR47" s="19">
        <f t="shared" si="36"/>
        <v>0.12945554503844509</v>
      </c>
      <c r="AS47" s="19">
        <f t="shared" si="37"/>
        <v>0.12014780241151303</v>
      </c>
      <c r="AT47" s="19">
        <f t="shared" si="38"/>
        <v>0.11360582379877628</v>
      </c>
      <c r="AU47" s="19">
        <f t="shared" si="39"/>
        <v>0.1113992351616114</v>
      </c>
      <c r="AV47" s="19">
        <f t="shared" si="40"/>
        <v>0.11311552168145046</v>
      </c>
      <c r="AW47" s="19">
        <f t="shared" si="41"/>
        <v>0.11368822278691075</v>
      </c>
    </row>
    <row r="48" spans="6:49">
      <c r="F48" s="5" t="s">
        <v>22</v>
      </c>
      <c r="G48" s="19">
        <f t="shared" si="3"/>
        <v>0.24692394097065318</v>
      </c>
      <c r="H48" s="19">
        <f t="shared" si="4"/>
        <v>0.4939193929787179</v>
      </c>
      <c r="I48" s="19">
        <f t="shared" si="5"/>
        <v>0.51269936568430396</v>
      </c>
      <c r="J48" s="19">
        <f t="shared" si="6"/>
        <v>0.52894030373377254</v>
      </c>
      <c r="K48" s="19">
        <f t="shared" si="7"/>
        <v>0.5405310242299366</v>
      </c>
      <c r="L48" s="19">
        <f t="shared" si="8"/>
        <v>0.58626098680287275</v>
      </c>
      <c r="M48" s="19">
        <f t="shared" si="9"/>
        <v>0.62935342910223202</v>
      </c>
      <c r="N48" s="19">
        <f t="shared" si="10"/>
        <v>0.37141185647425895</v>
      </c>
      <c r="O48" s="19">
        <f t="shared" si="11"/>
        <v>0.35200665635278672</v>
      </c>
      <c r="P48" s="19">
        <f t="shared" si="12"/>
        <v>0.32003380135205406</v>
      </c>
      <c r="Q48" s="19">
        <f t="shared" si="13"/>
        <v>0.3231597845601436</v>
      </c>
      <c r="R48" s="19">
        <f t="shared" si="14"/>
        <v>0.32664499349804943</v>
      </c>
      <c r="S48" s="19">
        <f t="shared" si="15"/>
        <v>0.32664737859543053</v>
      </c>
      <c r="U48" s="5" t="s">
        <v>22</v>
      </c>
      <c r="V48" s="19">
        <f t="shared" si="16"/>
        <v>0.62258401869520874</v>
      </c>
      <c r="W48" s="19">
        <f t="shared" si="17"/>
        <v>0.37286594080503077</v>
      </c>
      <c r="X48" s="19">
        <f t="shared" si="18"/>
        <v>0.35671774256702082</v>
      </c>
      <c r="Y48" s="19">
        <f t="shared" si="19"/>
        <v>0.34780240445095778</v>
      </c>
      <c r="Z48" s="19">
        <f t="shared" si="20"/>
        <v>0.33620667170913643</v>
      </c>
      <c r="AA48" s="19">
        <f t="shared" si="21"/>
        <v>0.30848608986491743</v>
      </c>
      <c r="AB48" s="19">
        <f t="shared" si="22"/>
        <v>0.231206007797577</v>
      </c>
      <c r="AC48" s="19">
        <f t="shared" si="23"/>
        <v>0.26848673946957879</v>
      </c>
      <c r="AD48" s="19">
        <f t="shared" si="24"/>
        <v>0.53059712164744732</v>
      </c>
      <c r="AE48" s="19">
        <f t="shared" si="25"/>
        <v>0.56599063962558505</v>
      </c>
      <c r="AF48" s="19">
        <f t="shared" si="26"/>
        <v>0.56538651679546226</v>
      </c>
      <c r="AG48" s="19">
        <f t="shared" si="27"/>
        <v>0.56360208062418726</v>
      </c>
      <c r="AH48" s="19">
        <f t="shared" si="28"/>
        <v>0.56066011910167757</v>
      </c>
      <c r="AJ48" s="5" t="s">
        <v>22</v>
      </c>
      <c r="AK48" s="19">
        <f t="shared" si="29"/>
        <v>0.13049204033413811</v>
      </c>
      <c r="AL48" s="19">
        <f t="shared" si="30"/>
        <v>0.13321466621625133</v>
      </c>
      <c r="AM48" s="19">
        <f t="shared" si="31"/>
        <v>0.13058289174867524</v>
      </c>
      <c r="AN48" s="19">
        <f t="shared" si="32"/>
        <v>0.12325729181526969</v>
      </c>
      <c r="AO48" s="19">
        <f t="shared" si="33"/>
        <v>0.12326230406092695</v>
      </c>
      <c r="AP48" s="19">
        <f t="shared" si="34"/>
        <v>0.1052529233322098</v>
      </c>
      <c r="AQ48" s="19">
        <f t="shared" si="35"/>
        <v>0.13944056310019101</v>
      </c>
      <c r="AR48" s="19">
        <f t="shared" si="36"/>
        <v>0.36010140405616226</v>
      </c>
      <c r="AS48" s="19">
        <f t="shared" si="37"/>
        <v>0.11739622199976599</v>
      </c>
      <c r="AT48" s="19">
        <f t="shared" si="38"/>
        <v>0.11397555902236089</v>
      </c>
      <c r="AU48" s="19">
        <f t="shared" si="39"/>
        <v>0.11145369864439414</v>
      </c>
      <c r="AV48" s="19">
        <f t="shared" si="40"/>
        <v>0.10975292587776334</v>
      </c>
      <c r="AW48" s="19">
        <f t="shared" si="41"/>
        <v>0.11269250230289192</v>
      </c>
    </row>
    <row r="49" spans="6:49">
      <c r="F49" s="5" t="s">
        <v>23</v>
      </c>
      <c r="G49" s="19">
        <f t="shared" si="3"/>
        <v>0.37718523521313352</v>
      </c>
      <c r="H49" s="19">
        <f t="shared" si="4"/>
        <v>0.62916682835965698</v>
      </c>
      <c r="I49" s="19">
        <f t="shared" si="5"/>
        <v>0.63852954138905449</v>
      </c>
      <c r="J49" s="19">
        <f t="shared" si="6"/>
        <v>0.64812184857526289</v>
      </c>
      <c r="K49" s="19">
        <f t="shared" si="7"/>
        <v>0.66251553438276722</v>
      </c>
      <c r="L49" s="19">
        <f t="shared" si="8"/>
        <v>0.6948662422034052</v>
      </c>
      <c r="M49" s="19">
        <f t="shared" si="9"/>
        <v>0.77016245062390454</v>
      </c>
      <c r="N49" s="19">
        <f t="shared" si="10"/>
        <v>0.73394291685716151</v>
      </c>
      <c r="O49" s="19">
        <f t="shared" si="11"/>
        <v>0.46655943547968659</v>
      </c>
      <c r="P49" s="19">
        <f t="shared" si="12"/>
        <v>0.43633570693987006</v>
      </c>
      <c r="Q49" s="19">
        <f t="shared" si="13"/>
        <v>0.43493115229319806</v>
      </c>
      <c r="R49" s="19">
        <f t="shared" si="14"/>
        <v>0.429752389907538</v>
      </c>
      <c r="S49" s="19">
        <f t="shared" si="15"/>
        <v>0.43876100423866971</v>
      </c>
      <c r="U49" s="5" t="s">
        <v>23</v>
      </c>
      <c r="V49" s="19">
        <f t="shared" si="16"/>
        <v>0.49367483180507571</v>
      </c>
      <c r="W49" s="19">
        <f t="shared" si="17"/>
        <v>0.24102603903915557</v>
      </c>
      <c r="X49" s="19">
        <f t="shared" si="18"/>
        <v>0.23688849713530188</v>
      </c>
      <c r="Y49" s="19">
        <f t="shared" si="19"/>
        <v>0.23009472189287436</v>
      </c>
      <c r="Z49" s="19">
        <f t="shared" si="20"/>
        <v>0.21972089892294946</v>
      </c>
      <c r="AA49" s="19">
        <f t="shared" si="21"/>
        <v>0.19941128415265116</v>
      </c>
      <c r="AB49" s="19">
        <f t="shared" si="22"/>
        <v>0.15317707379600806</v>
      </c>
      <c r="AC49" s="19">
        <f t="shared" si="23"/>
        <v>0.13698648030827509</v>
      </c>
      <c r="AD49" s="19">
        <f t="shared" si="24"/>
        <v>0.18267783946453589</v>
      </c>
      <c r="AE49" s="19">
        <f t="shared" si="25"/>
        <v>0.45396201361677752</v>
      </c>
      <c r="AF49" s="19">
        <f t="shared" si="26"/>
        <v>0.45313955896055491</v>
      </c>
      <c r="AG49" s="19">
        <f t="shared" si="27"/>
        <v>0.45813090947082485</v>
      </c>
      <c r="AH49" s="19">
        <f t="shared" si="28"/>
        <v>0.45004238669709812</v>
      </c>
      <c r="AJ49" s="5" t="s">
        <v>23</v>
      </c>
      <c r="AK49" s="19">
        <f t="shared" si="29"/>
        <v>0.1291399329817908</v>
      </c>
      <c r="AL49" s="19">
        <f t="shared" si="30"/>
        <v>0.12980713260118748</v>
      </c>
      <c r="AM49" s="19">
        <f t="shared" si="31"/>
        <v>0.12458196147564359</v>
      </c>
      <c r="AN49" s="19">
        <f t="shared" si="32"/>
        <v>0.12178342953186277</v>
      </c>
      <c r="AO49" s="19">
        <f t="shared" si="33"/>
        <v>0.11776356669428335</v>
      </c>
      <c r="AP49" s="19">
        <f t="shared" si="34"/>
        <v>0.10572247364394362</v>
      </c>
      <c r="AQ49" s="19">
        <f t="shared" si="35"/>
        <v>7.6660475580087373E-2</v>
      </c>
      <c r="AR49" s="19">
        <f t="shared" si="36"/>
        <v>0.1290706028345634</v>
      </c>
      <c r="AS49" s="19">
        <f t="shared" si="37"/>
        <v>0.35076272505577749</v>
      </c>
      <c r="AT49" s="19">
        <f t="shared" si="38"/>
        <v>0.10970227944335238</v>
      </c>
      <c r="AU49" s="19">
        <f t="shared" si="39"/>
        <v>0.11192928874624702</v>
      </c>
      <c r="AV49" s="19">
        <f t="shared" si="40"/>
        <v>0.11211670062163716</v>
      </c>
      <c r="AW49" s="19">
        <f t="shared" si="41"/>
        <v>0.11119660906423215</v>
      </c>
    </row>
    <row r="50" spans="6:49">
      <c r="F50" s="5" t="s">
        <v>24</v>
      </c>
      <c r="G50" s="19">
        <f t="shared" si="3"/>
        <v>0.50720509600321084</v>
      </c>
      <c r="H50" s="19">
        <f t="shared" si="4"/>
        <v>0.75846062083452193</v>
      </c>
      <c r="I50" s="19">
        <f t="shared" si="5"/>
        <v>0.76413503204546041</v>
      </c>
      <c r="J50" s="19">
        <f t="shared" si="6"/>
        <v>0.77308216306853905</v>
      </c>
      <c r="K50" s="19">
        <f t="shared" si="7"/>
        <v>0.7785413982063597</v>
      </c>
      <c r="L50" s="19">
        <f t="shared" si="8"/>
        <v>0.80014209132597047</v>
      </c>
      <c r="M50" s="19">
        <f t="shared" si="9"/>
        <v>0.84944569649440482</v>
      </c>
      <c r="N50" s="19">
        <f t="shared" si="10"/>
        <v>0.86117337364470392</v>
      </c>
      <c r="O50" s="19">
        <f t="shared" si="11"/>
        <v>0.81763665218409343</v>
      </c>
      <c r="P50" s="19">
        <f t="shared" si="12"/>
        <v>0.55052314748459219</v>
      </c>
      <c r="Q50" s="19">
        <f t="shared" si="13"/>
        <v>0.54825949367088611</v>
      </c>
      <c r="R50" s="19">
        <f t="shared" si="14"/>
        <v>0.54742734853131159</v>
      </c>
      <c r="S50" s="19">
        <f t="shared" si="15"/>
        <v>0.54977440099574737</v>
      </c>
      <c r="U50" s="5" t="s">
        <v>24</v>
      </c>
      <c r="V50" s="19">
        <f t="shared" si="16"/>
        <v>0.36105752424356202</v>
      </c>
      <c r="W50" s="19">
        <f t="shared" si="17"/>
        <v>0.11713907834340395</v>
      </c>
      <c r="X50" s="19">
        <f t="shared" si="18"/>
        <v>0.11487065050987312</v>
      </c>
      <c r="Y50" s="19">
        <f t="shared" si="19"/>
        <v>0.11001362397820164</v>
      </c>
      <c r="Z50" s="19">
        <f t="shared" si="20"/>
        <v>0.10789175680424851</v>
      </c>
      <c r="AA50" s="19">
        <f t="shared" si="21"/>
        <v>9.5614544984822067E-2</v>
      </c>
      <c r="AB50" s="19">
        <f t="shared" si="22"/>
        <v>7.1974779516173162E-2</v>
      </c>
      <c r="AC50" s="19">
        <f t="shared" si="23"/>
        <v>6.9015846538782316E-2</v>
      </c>
      <c r="AD50" s="19">
        <f t="shared" si="24"/>
        <v>6.1139006686265839E-2</v>
      </c>
      <c r="AE50" s="19">
        <f t="shared" si="25"/>
        <v>0.11208255697291099</v>
      </c>
      <c r="AF50" s="19">
        <f t="shared" si="26"/>
        <v>0.11125233450923427</v>
      </c>
      <c r="AG50" s="19">
        <f t="shared" si="27"/>
        <v>0.11388044315112289</v>
      </c>
      <c r="AH50" s="19">
        <f t="shared" si="28"/>
        <v>0.11207343636552225</v>
      </c>
      <c r="AJ50" s="5" t="s">
        <v>24</v>
      </c>
      <c r="AK50" s="19">
        <f t="shared" si="29"/>
        <v>0.13173737975322708</v>
      </c>
      <c r="AL50" s="19">
        <f t="shared" si="30"/>
        <v>0.12440030082207412</v>
      </c>
      <c r="AM50" s="19">
        <f t="shared" si="31"/>
        <v>0.12099431744466645</v>
      </c>
      <c r="AN50" s="19">
        <f t="shared" si="32"/>
        <v>0.11690421295325927</v>
      </c>
      <c r="AO50" s="19">
        <f t="shared" si="33"/>
        <v>0.11356684498939175</v>
      </c>
      <c r="AP50" s="19">
        <f t="shared" si="34"/>
        <v>0.10424336368920752</v>
      </c>
      <c r="AQ50" s="19">
        <f t="shared" si="35"/>
        <v>7.8579523989421987E-2</v>
      </c>
      <c r="AR50" s="19">
        <f t="shared" si="36"/>
        <v>6.9810779816513763E-2</v>
      </c>
      <c r="AS50" s="19">
        <f t="shared" si="37"/>
        <v>0.12122434112964071</v>
      </c>
      <c r="AT50" s="19">
        <f t="shared" si="38"/>
        <v>0.33739429554249678</v>
      </c>
      <c r="AU50" s="19">
        <f t="shared" si="39"/>
        <v>0.34048817181987967</v>
      </c>
      <c r="AV50" s="19">
        <f t="shared" si="40"/>
        <v>0.33869220831756552</v>
      </c>
      <c r="AW50" s="19">
        <f t="shared" si="41"/>
        <v>0.33815216263873044</v>
      </c>
    </row>
    <row r="51" spans="6:49">
      <c r="F51" s="5" t="s">
        <v>25</v>
      </c>
      <c r="G51" s="19">
        <f t="shared" si="3"/>
        <v>0.11608082645702034</v>
      </c>
      <c r="H51" s="19">
        <f t="shared" si="4"/>
        <v>0.36010740611646852</v>
      </c>
      <c r="I51" s="19">
        <f t="shared" si="5"/>
        <v>0.37889809520104772</v>
      </c>
      <c r="J51" s="19">
        <f t="shared" si="6"/>
        <v>0.39447350318636676</v>
      </c>
      <c r="K51" s="19">
        <f t="shared" si="7"/>
        <v>0.41763068114975882</v>
      </c>
      <c r="L51" s="19">
        <f t="shared" si="8"/>
        <v>0.42406622775568736</v>
      </c>
      <c r="M51" s="19">
        <f t="shared" si="9"/>
        <v>0.26345653305570016</v>
      </c>
      <c r="N51" s="19">
        <f t="shared" si="10"/>
        <v>0.24223797441866549</v>
      </c>
      <c r="O51" s="19">
        <f t="shared" si="11"/>
        <v>0.23053433130620093</v>
      </c>
      <c r="P51" s="19">
        <f t="shared" si="12"/>
        <v>0.21377681456584088</v>
      </c>
      <c r="Q51" s="19">
        <f t="shared" si="13"/>
        <v>0.21403622670908265</v>
      </c>
      <c r="R51" s="19">
        <f t="shared" si="14"/>
        <v>0.2128309173701447</v>
      </c>
      <c r="S51" s="19">
        <f t="shared" si="15"/>
        <v>0.21092020250411095</v>
      </c>
      <c r="U51" s="5" t="s">
        <v>25</v>
      </c>
      <c r="V51" s="19">
        <f t="shared" si="16"/>
        <v>0.88391917354297966</v>
      </c>
      <c r="W51" s="19">
        <f t="shared" si="17"/>
        <v>0.63989259388353148</v>
      </c>
      <c r="X51" s="19">
        <f t="shared" si="18"/>
        <v>0.62110190479895233</v>
      </c>
      <c r="Y51" s="19">
        <f t="shared" si="19"/>
        <v>0.60552649681363324</v>
      </c>
      <c r="Z51" s="19">
        <f t="shared" si="20"/>
        <v>0.58236931885024112</v>
      </c>
      <c r="AA51" s="19">
        <f t="shared" si="21"/>
        <v>0.57593377224431264</v>
      </c>
      <c r="AB51" s="19">
        <f t="shared" si="22"/>
        <v>0.73654346694429984</v>
      </c>
      <c r="AC51" s="19">
        <f t="shared" si="23"/>
        <v>0.75776202558133454</v>
      </c>
      <c r="AD51" s="19">
        <f t="shared" si="24"/>
        <v>0.76946566869379907</v>
      </c>
      <c r="AE51" s="19">
        <f t="shared" si="25"/>
        <v>0.78622318543415914</v>
      </c>
      <c r="AF51" s="19">
        <f t="shared" si="26"/>
        <v>0.78596377329091738</v>
      </c>
      <c r="AG51" s="19">
        <f t="shared" si="27"/>
        <v>0.7871690826298553</v>
      </c>
      <c r="AH51" s="19">
        <f t="shared" si="28"/>
        <v>0.78907979749588908</v>
      </c>
      <c r="AJ51" s="1" t="s">
        <v>25</v>
      </c>
      <c r="AK51" s="19">
        <f t="shared" si="29"/>
        <v>0</v>
      </c>
      <c r="AL51" s="19">
        <f t="shared" si="30"/>
        <v>0</v>
      </c>
      <c r="AM51" s="19">
        <f t="shared" si="31"/>
        <v>0</v>
      </c>
      <c r="AN51" s="19">
        <f t="shared" si="32"/>
        <v>0</v>
      </c>
      <c r="AO51" s="19">
        <f t="shared" si="33"/>
        <v>0</v>
      </c>
      <c r="AP51" s="19">
        <f t="shared" si="34"/>
        <v>0</v>
      </c>
      <c r="AQ51" s="19">
        <f t="shared" si="35"/>
        <v>0</v>
      </c>
      <c r="AR51" s="19">
        <f t="shared" si="36"/>
        <v>0</v>
      </c>
      <c r="AS51" s="19">
        <f t="shared" si="37"/>
        <v>0</v>
      </c>
      <c r="AT51" s="19">
        <f t="shared" si="38"/>
        <v>0</v>
      </c>
      <c r="AU51" s="19">
        <f t="shared" si="39"/>
        <v>0</v>
      </c>
      <c r="AV51" s="19">
        <f t="shared" si="40"/>
        <v>0</v>
      </c>
      <c r="AW51" s="19">
        <f t="shared" si="41"/>
        <v>0</v>
      </c>
    </row>
    <row r="52" spans="6:49">
      <c r="F52" s="5" t="s">
        <v>26</v>
      </c>
      <c r="G52" s="19">
        <f t="shared" si="3"/>
        <v>0.11582320355979918</v>
      </c>
      <c r="H52" s="19">
        <f t="shared" si="4"/>
        <v>0.3526422500064984</v>
      </c>
      <c r="I52" s="19">
        <f t="shared" si="5"/>
        <v>0.37173757248029188</v>
      </c>
      <c r="J52" s="19">
        <f t="shared" si="6"/>
        <v>0.39471535760104709</v>
      </c>
      <c r="K52" s="19">
        <f t="shared" si="7"/>
        <v>0.41965214226289516</v>
      </c>
      <c r="L52" s="19">
        <f t="shared" si="8"/>
        <v>0.42422042139384114</v>
      </c>
      <c r="M52" s="19">
        <f t="shared" si="9"/>
        <v>0.26222494684805719</v>
      </c>
      <c r="N52" s="19">
        <f t="shared" si="10"/>
        <v>0.2433545830237136</v>
      </c>
      <c r="O52" s="19">
        <f t="shared" si="11"/>
        <v>0.22695485508560181</v>
      </c>
      <c r="P52" s="19">
        <f t="shared" si="12"/>
        <v>0.21322890597647792</v>
      </c>
      <c r="Q52" s="19">
        <f t="shared" si="13"/>
        <v>0.21155753968253968</v>
      </c>
      <c r="R52" s="19">
        <f t="shared" si="14"/>
        <v>0.21511521937247755</v>
      </c>
      <c r="S52" s="19">
        <f t="shared" si="15"/>
        <v>0.20967469205655492</v>
      </c>
      <c r="U52" s="5" t="s">
        <v>26</v>
      </c>
      <c r="V52" s="19">
        <f t="shared" si="16"/>
        <v>0.88417679644020086</v>
      </c>
      <c r="W52" s="19">
        <f t="shared" si="17"/>
        <v>0.6473577499935016</v>
      </c>
      <c r="X52" s="19">
        <f t="shared" si="18"/>
        <v>0.62826242751970818</v>
      </c>
      <c r="Y52" s="19">
        <f t="shared" si="19"/>
        <v>0.60528464239895297</v>
      </c>
      <c r="Z52" s="19">
        <f t="shared" si="20"/>
        <v>0.58034785773710484</v>
      </c>
      <c r="AA52" s="19">
        <f t="shared" si="21"/>
        <v>0.5757795786061588</v>
      </c>
      <c r="AB52" s="19">
        <f t="shared" si="22"/>
        <v>0.73777505315194281</v>
      </c>
      <c r="AC52" s="19">
        <f t="shared" si="23"/>
        <v>0.7566454169762864</v>
      </c>
      <c r="AD52" s="19">
        <f t="shared" si="24"/>
        <v>0.77304514491439824</v>
      </c>
      <c r="AE52" s="19">
        <f t="shared" si="25"/>
        <v>0.78677109402352208</v>
      </c>
      <c r="AF52" s="19">
        <f t="shared" si="26"/>
        <v>0.78844246031746035</v>
      </c>
      <c r="AG52" s="19">
        <f t="shared" si="27"/>
        <v>0.78488478062752243</v>
      </c>
      <c r="AH52" s="19">
        <f t="shared" si="28"/>
        <v>0.79032530794344502</v>
      </c>
      <c r="AJ52" s="1" t="s">
        <v>26</v>
      </c>
      <c r="AK52" s="19">
        <f t="shared" si="29"/>
        <v>0</v>
      </c>
      <c r="AL52" s="19">
        <f t="shared" si="30"/>
        <v>0</v>
      </c>
      <c r="AM52" s="19">
        <f t="shared" si="31"/>
        <v>0</v>
      </c>
      <c r="AN52" s="19">
        <f t="shared" si="32"/>
        <v>0</v>
      </c>
      <c r="AO52" s="19">
        <f t="shared" si="33"/>
        <v>0</v>
      </c>
      <c r="AP52" s="19">
        <f t="shared" si="34"/>
        <v>0</v>
      </c>
      <c r="AQ52" s="19">
        <f t="shared" si="35"/>
        <v>0</v>
      </c>
      <c r="AR52" s="19">
        <f t="shared" si="36"/>
        <v>0</v>
      </c>
      <c r="AS52" s="19">
        <f t="shared" si="37"/>
        <v>0</v>
      </c>
      <c r="AT52" s="19">
        <f t="shared" si="38"/>
        <v>0</v>
      </c>
      <c r="AU52" s="19">
        <f t="shared" si="39"/>
        <v>0</v>
      </c>
      <c r="AV52" s="19">
        <f t="shared" si="40"/>
        <v>0</v>
      </c>
      <c r="AW52" s="19">
        <f t="shared" si="41"/>
        <v>0</v>
      </c>
    </row>
    <row r="53" spans="6:49">
      <c r="F53" s="5" t="s">
        <v>27</v>
      </c>
      <c r="G53" s="19">
        <f t="shared" si="3"/>
        <v>0.11390747367875111</v>
      </c>
      <c r="H53" s="19">
        <f t="shared" si="4"/>
        <v>0.3532670324943627</v>
      </c>
      <c r="I53" s="19">
        <f t="shared" si="5"/>
        <v>0.37174011812812358</v>
      </c>
      <c r="J53" s="19">
        <f t="shared" si="6"/>
        <v>0.39677595202865823</v>
      </c>
      <c r="K53" s="19">
        <f t="shared" si="7"/>
        <v>0.41658605790933129</v>
      </c>
      <c r="L53" s="19">
        <f t="shared" si="8"/>
        <v>0.42300958408445405</v>
      </c>
      <c r="M53" s="19">
        <f t="shared" si="9"/>
        <v>0.26065673812275214</v>
      </c>
      <c r="N53" s="19">
        <f t="shared" si="10"/>
        <v>0.24443922918459413</v>
      </c>
      <c r="O53" s="19">
        <f t="shared" si="11"/>
        <v>0.23010932677721399</v>
      </c>
      <c r="P53" s="19">
        <f t="shared" si="12"/>
        <v>0.21194888345218885</v>
      </c>
      <c r="Q53" s="19">
        <f t="shared" si="13"/>
        <v>0.21103550372698232</v>
      </c>
      <c r="R53" s="19">
        <f t="shared" si="14"/>
        <v>0.21323193717960423</v>
      </c>
      <c r="S53" s="19">
        <f t="shared" si="15"/>
        <v>0.21339397414512093</v>
      </c>
      <c r="U53" s="5" t="s">
        <v>27</v>
      </c>
      <c r="V53" s="19">
        <f t="shared" si="16"/>
        <v>0.88609252632124891</v>
      </c>
      <c r="W53" s="19">
        <f t="shared" si="17"/>
        <v>0.64673296750563736</v>
      </c>
      <c r="X53" s="19">
        <f t="shared" si="18"/>
        <v>0.62825988187187642</v>
      </c>
      <c r="Y53" s="19">
        <f t="shared" si="19"/>
        <v>0.60322404797134177</v>
      </c>
      <c r="Z53" s="19">
        <f t="shared" si="20"/>
        <v>0.58341394209066877</v>
      </c>
      <c r="AA53" s="19">
        <f t="shared" si="21"/>
        <v>0.5769904159155459</v>
      </c>
      <c r="AB53" s="19">
        <f t="shared" si="22"/>
        <v>0.73934326187724786</v>
      </c>
      <c r="AC53" s="19">
        <f t="shared" si="23"/>
        <v>0.75556077081540585</v>
      </c>
      <c r="AD53" s="19">
        <f t="shared" si="24"/>
        <v>0.76989067322278604</v>
      </c>
      <c r="AE53" s="19">
        <f t="shared" si="25"/>
        <v>0.78805111654781113</v>
      </c>
      <c r="AF53" s="19">
        <f t="shared" si="26"/>
        <v>0.78896449627301768</v>
      </c>
      <c r="AG53" s="19">
        <f t="shared" si="27"/>
        <v>0.7867680628203958</v>
      </c>
      <c r="AH53" s="19">
        <f t="shared" si="28"/>
        <v>0.78660602585487904</v>
      </c>
      <c r="AJ53" s="1" t="s">
        <v>27</v>
      </c>
      <c r="AK53" s="19">
        <f t="shared" si="29"/>
        <v>0</v>
      </c>
      <c r="AL53" s="19">
        <f t="shared" si="30"/>
        <v>0</v>
      </c>
      <c r="AM53" s="19">
        <f t="shared" si="31"/>
        <v>0</v>
      </c>
      <c r="AN53" s="19">
        <f t="shared" si="32"/>
        <v>0</v>
      </c>
      <c r="AO53" s="19">
        <f t="shared" si="33"/>
        <v>0</v>
      </c>
      <c r="AP53" s="19">
        <f t="shared" si="34"/>
        <v>0</v>
      </c>
      <c r="AQ53" s="19">
        <f t="shared" si="35"/>
        <v>0</v>
      </c>
      <c r="AR53" s="19">
        <f t="shared" si="36"/>
        <v>0</v>
      </c>
      <c r="AS53" s="19">
        <f t="shared" si="37"/>
        <v>0</v>
      </c>
      <c r="AT53" s="19">
        <f t="shared" si="38"/>
        <v>0</v>
      </c>
      <c r="AU53" s="19">
        <f t="shared" si="39"/>
        <v>0</v>
      </c>
      <c r="AV53" s="19">
        <f t="shared" si="40"/>
        <v>0</v>
      </c>
      <c r="AW53" s="19">
        <f t="shared" si="41"/>
        <v>0</v>
      </c>
    </row>
    <row r="54" spans="6:49">
      <c r="F54" s="5" t="s">
        <v>28</v>
      </c>
      <c r="G54" s="19">
        <f t="shared" si="3"/>
        <v>0.1152001463688757</v>
      </c>
      <c r="H54" s="19">
        <f t="shared" si="4"/>
        <v>0.35266785005742923</v>
      </c>
      <c r="I54" s="19">
        <f t="shared" si="5"/>
        <v>0.37320894753118233</v>
      </c>
      <c r="J54" s="19">
        <f t="shared" si="6"/>
        <v>0.39338761282938378</v>
      </c>
      <c r="K54" s="19">
        <f t="shared" si="7"/>
        <v>0.41981942131557037</v>
      </c>
      <c r="L54" s="19">
        <f t="shared" si="8"/>
        <v>0.42171977598788557</v>
      </c>
      <c r="M54" s="19">
        <f t="shared" si="9"/>
        <v>0.26018292998911746</v>
      </c>
      <c r="N54" s="19">
        <f t="shared" si="10"/>
        <v>0.24270548433510053</v>
      </c>
      <c r="O54" s="19">
        <f t="shared" si="11"/>
        <v>0.22908234314197587</v>
      </c>
      <c r="P54" s="19">
        <f t="shared" si="12"/>
        <v>0.21120226015059032</v>
      </c>
      <c r="Q54" s="19">
        <f t="shared" si="13"/>
        <v>0.21256733434443806</v>
      </c>
      <c r="R54" s="19">
        <f t="shared" si="14"/>
        <v>0.21068824654842547</v>
      </c>
      <c r="S54" s="19">
        <f t="shared" si="15"/>
        <v>0.21201892374460765</v>
      </c>
      <c r="U54" s="5" t="s">
        <v>28</v>
      </c>
      <c r="V54" s="19">
        <f t="shared" si="16"/>
        <v>0.88479985363112434</v>
      </c>
      <c r="W54" s="19">
        <f t="shared" si="17"/>
        <v>0.64733214994257071</v>
      </c>
      <c r="X54" s="19">
        <f t="shared" si="18"/>
        <v>0.62679105246881761</v>
      </c>
      <c r="Y54" s="19">
        <f t="shared" si="19"/>
        <v>0.60661238717061627</v>
      </c>
      <c r="Z54" s="19">
        <f t="shared" si="20"/>
        <v>0.58018057868442963</v>
      </c>
      <c r="AA54" s="19">
        <f t="shared" si="21"/>
        <v>0.57828022401211443</v>
      </c>
      <c r="AB54" s="19">
        <f t="shared" si="22"/>
        <v>0.73981707001088248</v>
      </c>
      <c r="AC54" s="19">
        <f t="shared" si="23"/>
        <v>0.75729451566489947</v>
      </c>
      <c r="AD54" s="19">
        <f t="shared" si="24"/>
        <v>0.77091765685802416</v>
      </c>
      <c r="AE54" s="19">
        <f t="shared" si="25"/>
        <v>0.78879773984940971</v>
      </c>
      <c r="AF54" s="19">
        <f t="shared" si="26"/>
        <v>0.78743266565556191</v>
      </c>
      <c r="AG54" s="19">
        <f t="shared" si="27"/>
        <v>0.78931175345157456</v>
      </c>
      <c r="AH54" s="19">
        <f t="shared" si="28"/>
        <v>0.78798107625539238</v>
      </c>
      <c r="AJ54" s="1" t="s">
        <v>28</v>
      </c>
      <c r="AK54" s="19">
        <f t="shared" si="29"/>
        <v>0</v>
      </c>
      <c r="AL54" s="19">
        <f t="shared" si="30"/>
        <v>0</v>
      </c>
      <c r="AM54" s="19">
        <f t="shared" si="31"/>
        <v>0</v>
      </c>
      <c r="AN54" s="19">
        <f t="shared" si="32"/>
        <v>0</v>
      </c>
      <c r="AO54" s="19">
        <f t="shared" si="33"/>
        <v>0</v>
      </c>
      <c r="AP54" s="19">
        <f t="shared" si="34"/>
        <v>0</v>
      </c>
      <c r="AQ54" s="19">
        <f t="shared" si="35"/>
        <v>0</v>
      </c>
      <c r="AR54" s="19">
        <f t="shared" si="36"/>
        <v>0</v>
      </c>
      <c r="AS54" s="19">
        <f t="shared" si="37"/>
        <v>0</v>
      </c>
      <c r="AT54" s="19">
        <f t="shared" si="38"/>
        <v>0</v>
      </c>
      <c r="AU54" s="19">
        <f t="shared" si="39"/>
        <v>0</v>
      </c>
      <c r="AV54" s="19">
        <f t="shared" si="40"/>
        <v>0</v>
      </c>
      <c r="AW54" s="19">
        <f t="shared" si="41"/>
        <v>0</v>
      </c>
    </row>
    <row r="55" spans="6:49">
      <c r="F55" s="5" t="s">
        <v>29</v>
      </c>
      <c r="G55" s="19">
        <f t="shared" si="3"/>
        <v>0.11647945437269781</v>
      </c>
      <c r="H55" s="19">
        <f t="shared" si="4"/>
        <v>0.35305274097168093</v>
      </c>
      <c r="I55" s="19">
        <f t="shared" si="5"/>
        <v>0.37826007896924357</v>
      </c>
      <c r="J55" s="19">
        <f t="shared" si="6"/>
        <v>0.39506814431784226</v>
      </c>
      <c r="K55" s="19">
        <f t="shared" si="7"/>
        <v>0.41947473067276581</v>
      </c>
      <c r="L55" s="19">
        <f t="shared" si="8"/>
        <v>0.42298009291702354</v>
      </c>
      <c r="M55" s="19">
        <f t="shared" si="9"/>
        <v>0.26196775580955856</v>
      </c>
      <c r="N55" s="19">
        <f t="shared" si="10"/>
        <v>0.24393192839220479</v>
      </c>
      <c r="O55" s="19">
        <f t="shared" si="11"/>
        <v>0.22951861943687557</v>
      </c>
      <c r="P55" s="19">
        <f t="shared" si="12"/>
        <v>0.2122125748890413</v>
      </c>
      <c r="Q55" s="19">
        <f t="shared" si="13"/>
        <v>0.21212160548315073</v>
      </c>
      <c r="R55" s="19">
        <f t="shared" si="14"/>
        <v>0.21298606303635104</v>
      </c>
      <c r="S55" s="19">
        <f t="shared" si="15"/>
        <v>0.21427918934085008</v>
      </c>
      <c r="U55" s="5" t="s">
        <v>29</v>
      </c>
      <c r="V55" s="19">
        <f t="shared" si="16"/>
        <v>0.8835205456273022</v>
      </c>
      <c r="W55" s="19">
        <f t="shared" si="17"/>
        <v>0.64694725902831907</v>
      </c>
      <c r="X55" s="19">
        <f t="shared" si="18"/>
        <v>0.62173992103075648</v>
      </c>
      <c r="Y55" s="19">
        <f t="shared" si="19"/>
        <v>0.60493185568215779</v>
      </c>
      <c r="Z55" s="19">
        <f t="shared" si="20"/>
        <v>0.58052526932723425</v>
      </c>
      <c r="AA55" s="19">
        <f t="shared" si="21"/>
        <v>0.57701990708297646</v>
      </c>
      <c r="AB55" s="19">
        <f t="shared" si="22"/>
        <v>0.73803224419044144</v>
      </c>
      <c r="AC55" s="19">
        <f t="shared" si="23"/>
        <v>0.75606807160779521</v>
      </c>
      <c r="AD55" s="19">
        <f t="shared" si="24"/>
        <v>0.77048138056312443</v>
      </c>
      <c r="AE55" s="19">
        <f t="shared" si="25"/>
        <v>0.78778742511095867</v>
      </c>
      <c r="AF55" s="19">
        <f t="shared" si="26"/>
        <v>0.78787839451684927</v>
      </c>
      <c r="AG55" s="19">
        <f t="shared" si="27"/>
        <v>0.78701393696364896</v>
      </c>
      <c r="AH55" s="19">
        <f t="shared" si="28"/>
        <v>0.78572081065914989</v>
      </c>
      <c r="AJ55" s="1" t="s">
        <v>29</v>
      </c>
      <c r="AK55" s="19">
        <f t="shared" si="29"/>
        <v>0</v>
      </c>
      <c r="AL55" s="19">
        <f t="shared" si="30"/>
        <v>0</v>
      </c>
      <c r="AM55" s="19">
        <f t="shared" si="31"/>
        <v>0</v>
      </c>
      <c r="AN55" s="19">
        <f t="shared" si="32"/>
        <v>0</v>
      </c>
      <c r="AO55" s="19">
        <f t="shared" si="33"/>
        <v>0</v>
      </c>
      <c r="AP55" s="19">
        <f t="shared" si="34"/>
        <v>0</v>
      </c>
      <c r="AQ55" s="19">
        <f t="shared" si="35"/>
        <v>0</v>
      </c>
      <c r="AR55" s="19">
        <f t="shared" si="36"/>
        <v>0</v>
      </c>
      <c r="AS55" s="19">
        <f t="shared" si="37"/>
        <v>0</v>
      </c>
      <c r="AT55" s="19">
        <f t="shared" si="38"/>
        <v>0</v>
      </c>
      <c r="AU55" s="19">
        <f t="shared" si="39"/>
        <v>0</v>
      </c>
      <c r="AV55" s="19">
        <f t="shared" si="40"/>
        <v>0</v>
      </c>
      <c r="AW55" s="19">
        <f t="shared" si="41"/>
        <v>0</v>
      </c>
    </row>
    <row r="56" spans="6:49">
      <c r="F56" s="5" t="s">
        <v>30</v>
      </c>
      <c r="G56" s="19">
        <f t="shared" si="3"/>
        <v>0.11398584967234943</v>
      </c>
      <c r="H56" s="19">
        <f t="shared" si="4"/>
        <v>0.35559058811267164</v>
      </c>
      <c r="I56" s="19">
        <f t="shared" si="5"/>
        <v>0.37169821131447589</v>
      </c>
      <c r="J56" s="19">
        <f t="shared" si="6"/>
        <v>0.39666358943686697</v>
      </c>
      <c r="K56" s="19">
        <f t="shared" si="7"/>
        <v>0.41751673055681893</v>
      </c>
      <c r="L56" s="19">
        <f t="shared" si="8"/>
        <v>0.4235606846473029</v>
      </c>
      <c r="M56" s="19">
        <f t="shared" si="9"/>
        <v>0.26075860818198304</v>
      </c>
      <c r="N56" s="19">
        <f t="shared" si="10"/>
        <v>0.24622998090636325</v>
      </c>
      <c r="O56" s="19">
        <f t="shared" si="11"/>
        <v>0.22874659932572278</v>
      </c>
      <c r="P56" s="19">
        <f t="shared" si="12"/>
        <v>0.2143089727392318</v>
      </c>
      <c r="Q56" s="19">
        <f t="shared" si="13"/>
        <v>0.21347863789912377</v>
      </c>
      <c r="R56" s="19">
        <f t="shared" si="14"/>
        <v>0.21301435905454355</v>
      </c>
      <c r="S56" s="19">
        <f t="shared" si="15"/>
        <v>0.21070760112301135</v>
      </c>
      <c r="U56" s="5" t="s">
        <v>30</v>
      </c>
      <c r="V56" s="19">
        <f t="shared" si="16"/>
        <v>0.7541445839751455</v>
      </c>
      <c r="W56" s="19">
        <f t="shared" si="17"/>
        <v>0.50462516611512098</v>
      </c>
      <c r="X56" s="19">
        <f t="shared" si="18"/>
        <v>0.49363040765391014</v>
      </c>
      <c r="Y56" s="19">
        <f t="shared" si="19"/>
        <v>0.47244145678659194</v>
      </c>
      <c r="Z56" s="19">
        <f t="shared" si="20"/>
        <v>0.46042492365668247</v>
      </c>
      <c r="AA56" s="19">
        <f t="shared" si="21"/>
        <v>0.41415975103734443</v>
      </c>
      <c r="AB56" s="19">
        <f t="shared" si="22"/>
        <v>0.3689924087364303</v>
      </c>
      <c r="AC56" s="19">
        <f t="shared" si="23"/>
        <v>0.62537505357908274</v>
      </c>
      <c r="AD56" s="19">
        <f t="shared" si="24"/>
        <v>0.651783970946201</v>
      </c>
      <c r="AE56" s="19">
        <f t="shared" si="25"/>
        <v>0.67331362256925897</v>
      </c>
      <c r="AF56" s="19">
        <f t="shared" si="26"/>
        <v>0.67463080646622575</v>
      </c>
      <c r="AG56" s="19">
        <f t="shared" si="27"/>
        <v>0.67569645323534777</v>
      </c>
      <c r="AH56" s="19">
        <f t="shared" si="28"/>
        <v>0.67605542268898822</v>
      </c>
      <c r="AJ56" s="5" t="s">
        <v>30</v>
      </c>
      <c r="AK56" s="19">
        <f t="shared" si="29"/>
        <v>0.13186956635250502</v>
      </c>
      <c r="AL56" s="19">
        <f t="shared" si="30"/>
        <v>0.1397842457722073</v>
      </c>
      <c r="AM56" s="19">
        <f t="shared" si="31"/>
        <v>0.13467138103161397</v>
      </c>
      <c r="AN56" s="19">
        <f t="shared" si="32"/>
        <v>0.13089495377654112</v>
      </c>
      <c r="AO56" s="19">
        <f t="shared" si="33"/>
        <v>0.1220583457864986</v>
      </c>
      <c r="AP56" s="19">
        <f t="shared" si="34"/>
        <v>0.1622795643153527</v>
      </c>
      <c r="AQ56" s="19">
        <f t="shared" si="35"/>
        <v>0.37024898308158666</v>
      </c>
      <c r="AR56" s="19">
        <f t="shared" si="36"/>
        <v>0.12839496551455404</v>
      </c>
      <c r="AS56" s="19">
        <f t="shared" si="37"/>
        <v>0.11946942972807623</v>
      </c>
      <c r="AT56" s="19">
        <f t="shared" si="38"/>
        <v>0.11237740469150917</v>
      </c>
      <c r="AU56" s="19">
        <f t="shared" si="39"/>
        <v>0.11189055563465047</v>
      </c>
      <c r="AV56" s="19">
        <f t="shared" si="40"/>
        <v>0.11128918771010866</v>
      </c>
      <c r="AW56" s="19">
        <f t="shared" si="41"/>
        <v>0.11323697618800041</v>
      </c>
    </row>
    <row r="57" spans="6:49">
      <c r="F57" s="5" t="s">
        <v>31</v>
      </c>
      <c r="G57" s="19">
        <f t="shared" si="3"/>
        <v>0.2452720131696631</v>
      </c>
      <c r="H57" s="19">
        <f t="shared" si="4"/>
        <v>0.49233551946699977</v>
      </c>
      <c r="I57" s="19">
        <f t="shared" si="5"/>
        <v>0.51195892369686724</v>
      </c>
      <c r="J57" s="19">
        <f t="shared" si="6"/>
        <v>0.52890628046957266</v>
      </c>
      <c r="K57" s="19">
        <f t="shared" si="7"/>
        <v>0.541974025974026</v>
      </c>
      <c r="L57" s="19">
        <f t="shared" si="8"/>
        <v>0.58947258947258951</v>
      </c>
      <c r="M57" s="19">
        <f t="shared" si="9"/>
        <v>0.63352117796764229</v>
      </c>
      <c r="N57" s="19">
        <f t="shared" si="10"/>
        <v>0.37025862068965515</v>
      </c>
      <c r="O57" s="19">
        <f t="shared" si="11"/>
        <v>0.34891070642178068</v>
      </c>
      <c r="P57" s="19">
        <f t="shared" si="12"/>
        <v>0.32716756982075867</v>
      </c>
      <c r="Q57" s="19">
        <f t="shared" si="13"/>
        <v>0.3229816888796605</v>
      </c>
      <c r="R57" s="19">
        <f t="shared" si="14"/>
        <v>0.32624463157348421</v>
      </c>
      <c r="S57" s="19">
        <f t="shared" si="15"/>
        <v>0.32645810201815689</v>
      </c>
      <c r="U57" s="5" t="s">
        <v>31</v>
      </c>
      <c r="V57" s="19">
        <f t="shared" si="16"/>
        <v>0.62519605428597358</v>
      </c>
      <c r="W57" s="19">
        <f t="shared" si="17"/>
        <v>0.37188996460545493</v>
      </c>
      <c r="X57" s="19">
        <f t="shared" si="18"/>
        <v>0.35868971792538673</v>
      </c>
      <c r="Y57" s="19">
        <f t="shared" si="19"/>
        <v>0.34853941056408522</v>
      </c>
      <c r="Z57" s="19">
        <f t="shared" si="20"/>
        <v>0.33461038961038964</v>
      </c>
      <c r="AA57" s="19">
        <f t="shared" si="21"/>
        <v>0.30508430508430506</v>
      </c>
      <c r="AB57" s="19">
        <f t="shared" si="22"/>
        <v>0.22907523307450595</v>
      </c>
      <c r="AC57" s="19">
        <f t="shared" si="23"/>
        <v>0.26782915360501569</v>
      </c>
      <c r="AD57" s="19">
        <f t="shared" si="24"/>
        <v>0.53359842499287624</v>
      </c>
      <c r="AE57" s="19">
        <f t="shared" si="25"/>
        <v>0.56184868695289703</v>
      </c>
      <c r="AF57" s="19">
        <f t="shared" si="26"/>
        <v>0.5633881412460906</v>
      </c>
      <c r="AG57" s="19">
        <f t="shared" si="27"/>
        <v>0.56350637723657404</v>
      </c>
      <c r="AH57" s="19">
        <f t="shared" si="28"/>
        <v>0.56402586375808239</v>
      </c>
      <c r="AJ57" s="5" t="s">
        <v>31</v>
      </c>
      <c r="AK57" s="19">
        <f t="shared" si="29"/>
        <v>0.12953193254436335</v>
      </c>
      <c r="AL57" s="19">
        <f t="shared" si="30"/>
        <v>0.13577451592754528</v>
      </c>
      <c r="AM57" s="19">
        <f t="shared" si="31"/>
        <v>0.129351358377746</v>
      </c>
      <c r="AN57" s="19">
        <f t="shared" si="32"/>
        <v>0.12255430896634209</v>
      </c>
      <c r="AO57" s="19">
        <f t="shared" si="33"/>
        <v>0.12341558441558441</v>
      </c>
      <c r="AP57" s="19">
        <f t="shared" si="34"/>
        <v>0.10544310544310544</v>
      </c>
      <c r="AQ57" s="19">
        <f t="shared" si="35"/>
        <v>0.13740358895785182</v>
      </c>
      <c r="AR57" s="19">
        <f t="shared" si="36"/>
        <v>0.36191222570532916</v>
      </c>
      <c r="AS57" s="19">
        <f t="shared" si="37"/>
        <v>0.11749086858534311</v>
      </c>
      <c r="AT57" s="19">
        <f t="shared" si="38"/>
        <v>0.11098374322634431</v>
      </c>
      <c r="AU57" s="19">
        <f t="shared" si="39"/>
        <v>0.11363016987424893</v>
      </c>
      <c r="AV57" s="19">
        <f t="shared" si="40"/>
        <v>0.11024899118994175</v>
      </c>
      <c r="AW57" s="19">
        <f t="shared" si="41"/>
        <v>0.10951603422376069</v>
      </c>
    </row>
    <row r="58" spans="6:49">
      <c r="F58" s="5" t="s">
        <v>32</v>
      </c>
      <c r="G58" s="19">
        <f t="shared" si="3"/>
        <v>0.37641333905825103</v>
      </c>
      <c r="H58" s="19">
        <f t="shared" si="4"/>
        <v>0.62776411177488844</v>
      </c>
      <c r="I58" s="19">
        <f t="shared" si="5"/>
        <v>0.63637666245489721</v>
      </c>
      <c r="J58" s="19">
        <f t="shared" si="6"/>
        <v>0.64892980676705414</v>
      </c>
      <c r="K58" s="19">
        <f t="shared" si="7"/>
        <v>0.66485624659736087</v>
      </c>
      <c r="L58" s="19">
        <f t="shared" si="8"/>
        <v>0.69428048827947642</v>
      </c>
      <c r="M58" s="19">
        <f t="shared" si="9"/>
        <v>0.76920876405955396</v>
      </c>
      <c r="N58" s="19">
        <f t="shared" si="10"/>
        <v>0.73197402597402594</v>
      </c>
      <c r="O58" s="19">
        <f t="shared" si="11"/>
        <v>0.46967451775594032</v>
      </c>
      <c r="P58" s="19">
        <f t="shared" si="12"/>
        <v>0.43691802081431441</v>
      </c>
      <c r="Q58" s="19">
        <f t="shared" si="13"/>
        <v>0.43689295073204437</v>
      </c>
      <c r="R58" s="19">
        <f t="shared" si="14"/>
        <v>0.43639814862967391</v>
      </c>
      <c r="S58" s="19">
        <f t="shared" si="15"/>
        <v>0.43626410601511545</v>
      </c>
      <c r="U58" s="5" t="s">
        <v>32</v>
      </c>
      <c r="V58" s="19">
        <f t="shared" si="16"/>
        <v>0.49372210729016225</v>
      </c>
      <c r="W58" s="19">
        <f t="shared" si="17"/>
        <v>0.24328088191271979</v>
      </c>
      <c r="X58" s="19">
        <f t="shared" si="18"/>
        <v>0.23733538277169169</v>
      </c>
      <c r="Y58" s="19">
        <f t="shared" si="19"/>
        <v>0.22791344828483004</v>
      </c>
      <c r="Z58" s="19">
        <f t="shared" si="20"/>
        <v>0.21938921006921941</v>
      </c>
      <c r="AA58" s="19">
        <f t="shared" si="21"/>
        <v>0.19916458027942455</v>
      </c>
      <c r="AB58" s="19">
        <f t="shared" si="22"/>
        <v>0.1535790910864053</v>
      </c>
      <c r="AC58" s="19">
        <f t="shared" si="23"/>
        <v>0.13745454545454547</v>
      </c>
      <c r="AD58" s="19">
        <f t="shared" si="24"/>
        <v>0.18004211511464671</v>
      </c>
      <c r="AE58" s="19">
        <f t="shared" si="25"/>
        <v>0.4517853882469548</v>
      </c>
      <c r="AF58" s="19">
        <f t="shared" si="26"/>
        <v>0.45076463762825442</v>
      </c>
      <c r="AG58" s="19">
        <f t="shared" si="27"/>
        <v>0.45261064017889646</v>
      </c>
      <c r="AH58" s="19">
        <f t="shared" si="28"/>
        <v>0.45147013148359044</v>
      </c>
      <c r="AJ58" s="5" t="s">
        <v>32</v>
      </c>
      <c r="AK58" s="19">
        <f t="shared" si="29"/>
        <v>0.12986455365158672</v>
      </c>
      <c r="AL58" s="19">
        <f t="shared" si="30"/>
        <v>0.12895500631239182</v>
      </c>
      <c r="AM58" s="19">
        <f t="shared" si="31"/>
        <v>0.12628795477341115</v>
      </c>
      <c r="AN58" s="19">
        <f t="shared" si="32"/>
        <v>0.12315674494811578</v>
      </c>
      <c r="AO58" s="19">
        <f t="shared" si="33"/>
        <v>0.11575454333341975</v>
      </c>
      <c r="AP58" s="19">
        <f t="shared" si="34"/>
        <v>0.10655493144109902</v>
      </c>
      <c r="AQ58" s="19">
        <f t="shared" si="35"/>
        <v>7.7212144854040696E-2</v>
      </c>
      <c r="AR58" s="19">
        <f t="shared" si="36"/>
        <v>0.13057142857142856</v>
      </c>
      <c r="AS58" s="19">
        <f t="shared" si="37"/>
        <v>0.35028336712941299</v>
      </c>
      <c r="AT58" s="19">
        <f t="shared" si="38"/>
        <v>0.1112965909387308</v>
      </c>
      <c r="AU58" s="19">
        <f t="shared" si="39"/>
        <v>0.11234241163970118</v>
      </c>
      <c r="AV58" s="19">
        <f t="shared" si="40"/>
        <v>0.11099121119142961</v>
      </c>
      <c r="AW58" s="19">
        <f t="shared" si="41"/>
        <v>0.11226576250129414</v>
      </c>
    </row>
    <row r="59" spans="6:49">
      <c r="F59" s="5" t="s">
        <v>33</v>
      </c>
      <c r="G59" s="19">
        <f t="shared" si="3"/>
        <v>0.50731897222943156</v>
      </c>
      <c r="H59" s="19">
        <f t="shared" si="4"/>
        <v>0.75787605575418415</v>
      </c>
      <c r="I59" s="19">
        <f t="shared" si="5"/>
        <v>0.76180369280450011</v>
      </c>
      <c r="J59" s="19">
        <f t="shared" si="6"/>
        <v>0.7711347167753162</v>
      </c>
      <c r="K59" s="19">
        <f t="shared" si="7"/>
        <v>0.77748133035142097</v>
      </c>
      <c r="L59" s="19">
        <f t="shared" si="8"/>
        <v>0.80043839620056623</v>
      </c>
      <c r="M59" s="19">
        <f t="shared" si="9"/>
        <v>0.84541516622305724</v>
      </c>
      <c r="N59" s="19">
        <f t="shared" si="10"/>
        <v>0.86147610642609662</v>
      </c>
      <c r="O59" s="19">
        <f t="shared" si="11"/>
        <v>0.82130083627046779</v>
      </c>
      <c r="P59" s="19">
        <f t="shared" si="12"/>
        <v>0.5500493994072071</v>
      </c>
      <c r="Q59" s="19">
        <f t="shared" si="13"/>
        <v>0.54558362268145033</v>
      </c>
      <c r="R59" s="19">
        <f t="shared" si="14"/>
        <v>0.54962533486909371</v>
      </c>
      <c r="S59" s="19">
        <f t="shared" si="15"/>
        <v>0.54876088759850683</v>
      </c>
      <c r="U59" s="5" t="s">
        <v>33</v>
      </c>
      <c r="V59" s="19">
        <f t="shared" si="16"/>
        <v>0.36197767973008044</v>
      </c>
      <c r="W59" s="19">
        <f t="shared" si="17"/>
        <v>0.11890512461785585</v>
      </c>
      <c r="X59" s="19">
        <f t="shared" si="18"/>
        <v>0.11594051928435636</v>
      </c>
      <c r="Y59" s="19">
        <f t="shared" si="19"/>
        <v>0.11192634340181284</v>
      </c>
      <c r="Z59" s="19">
        <f t="shared" si="20"/>
        <v>0.10950680739200376</v>
      </c>
      <c r="AA59" s="19">
        <f t="shared" si="21"/>
        <v>9.6616781702177634E-2</v>
      </c>
      <c r="AB59" s="19">
        <f t="shared" si="22"/>
        <v>7.461771306299253E-2</v>
      </c>
      <c r="AC59" s="19">
        <f t="shared" si="23"/>
        <v>6.9582271033535981E-2</v>
      </c>
      <c r="AD59" s="19">
        <f t="shared" si="24"/>
        <v>5.9605405194501165E-2</v>
      </c>
      <c r="AE59" s="19">
        <f t="shared" si="25"/>
        <v>0.10882169413967033</v>
      </c>
      <c r="AF59" s="19">
        <f t="shared" si="26"/>
        <v>0.11416880719734618</v>
      </c>
      <c r="AG59" s="19">
        <f t="shared" si="27"/>
        <v>0.11113124280112335</v>
      </c>
      <c r="AH59" s="19">
        <f t="shared" si="28"/>
        <v>0.11117015761094981</v>
      </c>
      <c r="AJ59" s="5" t="s">
        <v>33</v>
      </c>
      <c r="AK59" s="19">
        <f t="shared" si="29"/>
        <v>0.13070334804048794</v>
      </c>
      <c r="AL59" s="19">
        <f t="shared" si="30"/>
        <v>0.12321881962796</v>
      </c>
      <c r="AM59" s="19">
        <f t="shared" si="31"/>
        <v>0.12225578791114351</v>
      </c>
      <c r="AN59" s="19">
        <f t="shared" si="32"/>
        <v>0.11693893982287094</v>
      </c>
      <c r="AO59" s="19">
        <f t="shared" si="33"/>
        <v>0.11301186225657525</v>
      </c>
      <c r="AP59" s="19">
        <f t="shared" si="34"/>
        <v>0.10294482209725611</v>
      </c>
      <c r="AQ59" s="19">
        <f t="shared" si="35"/>
        <v>7.9967120713950207E-2</v>
      </c>
      <c r="AR59" s="19">
        <f t="shared" si="36"/>
        <v>6.8941622540367398E-2</v>
      </c>
      <c r="AS59" s="19">
        <f t="shared" si="37"/>
        <v>0.11909375853503101</v>
      </c>
      <c r="AT59" s="19">
        <f t="shared" si="38"/>
        <v>0.34112890645312255</v>
      </c>
      <c r="AU59" s="19">
        <f t="shared" si="39"/>
        <v>0.34024757012120349</v>
      </c>
      <c r="AV59" s="19">
        <f t="shared" si="40"/>
        <v>0.33924342232978294</v>
      </c>
      <c r="AW59" s="19">
        <f t="shared" si="41"/>
        <v>0.34006895479054333</v>
      </c>
    </row>
    <row r="60" spans="6:49">
      <c r="F60" s="5" t="s">
        <v>34</v>
      </c>
      <c r="G60" s="19">
        <f t="shared" si="3"/>
        <v>0.6893505686086574</v>
      </c>
      <c r="H60" s="19">
        <f t="shared" si="4"/>
        <v>1</v>
      </c>
      <c r="I60" s="19">
        <f t="shared" si="5"/>
        <v>1</v>
      </c>
      <c r="J60" s="19">
        <f t="shared" si="6"/>
        <v>1</v>
      </c>
      <c r="K60" s="19">
        <f t="shared" si="7"/>
        <v>1</v>
      </c>
      <c r="L60" s="19">
        <f t="shared" si="8"/>
        <v>1</v>
      </c>
      <c r="M60" s="19">
        <f t="shared" si="9"/>
        <v>1</v>
      </c>
      <c r="N60" s="19">
        <f t="shared" si="10"/>
        <v>1</v>
      </c>
      <c r="O60" s="19">
        <f t="shared" si="11"/>
        <v>1</v>
      </c>
      <c r="P60" s="19">
        <f t="shared" si="12"/>
        <v>0.92516043544908932</v>
      </c>
      <c r="Q60" s="19">
        <f t="shared" si="13"/>
        <v>0.92337154768108387</v>
      </c>
      <c r="R60" s="19">
        <f t="shared" si="14"/>
        <v>0.92370960430023963</v>
      </c>
      <c r="S60" s="19">
        <f t="shared" si="15"/>
        <v>0.92259940279742259</v>
      </c>
      <c r="U60" s="1" t="s">
        <v>34</v>
      </c>
      <c r="V60" s="19">
        <f t="shared" si="16"/>
        <v>0</v>
      </c>
      <c r="W60" s="19">
        <f t="shared" si="17"/>
        <v>0</v>
      </c>
      <c r="X60" s="19">
        <f t="shared" si="18"/>
        <v>0</v>
      </c>
      <c r="Y60" s="19">
        <f t="shared" si="19"/>
        <v>0</v>
      </c>
      <c r="Z60" s="19">
        <f t="shared" si="20"/>
        <v>0</v>
      </c>
      <c r="AA60" s="19">
        <f t="shared" si="21"/>
        <v>0</v>
      </c>
      <c r="AB60" s="19">
        <f t="shared" si="22"/>
        <v>0</v>
      </c>
      <c r="AC60" s="19">
        <f t="shared" si="23"/>
        <v>0</v>
      </c>
      <c r="AD60" s="19">
        <f t="shared" si="24"/>
        <v>0</v>
      </c>
      <c r="AE60" s="19">
        <f t="shared" si="25"/>
        <v>0</v>
      </c>
      <c r="AF60" s="19">
        <f t="shared" si="26"/>
        <v>0</v>
      </c>
      <c r="AG60" s="19">
        <f t="shared" si="27"/>
        <v>0</v>
      </c>
      <c r="AH60" s="19">
        <f t="shared" si="28"/>
        <v>0</v>
      </c>
      <c r="AJ60" s="5" t="s">
        <v>34</v>
      </c>
      <c r="AK60" s="19">
        <f t="shared" si="29"/>
        <v>0.31064943139134266</v>
      </c>
      <c r="AL60" s="19">
        <f t="shared" si="30"/>
        <v>0</v>
      </c>
      <c r="AM60" s="19">
        <f t="shared" si="31"/>
        <v>0</v>
      </c>
      <c r="AN60" s="19">
        <f t="shared" si="32"/>
        <v>0</v>
      </c>
      <c r="AO60" s="19">
        <f t="shared" si="33"/>
        <v>0</v>
      </c>
      <c r="AP60" s="19">
        <f t="shared" si="34"/>
        <v>0</v>
      </c>
      <c r="AQ60" s="19">
        <f t="shared" si="35"/>
        <v>0</v>
      </c>
      <c r="AR60" s="19">
        <f t="shared" si="36"/>
        <v>0</v>
      </c>
      <c r="AS60" s="19">
        <f t="shared" si="37"/>
        <v>0</v>
      </c>
      <c r="AT60" s="19">
        <f t="shared" si="38"/>
        <v>7.4839564550910648E-2</v>
      </c>
      <c r="AU60" s="19">
        <f t="shared" si="39"/>
        <v>7.6628452318916102E-2</v>
      </c>
      <c r="AV60" s="19">
        <f t="shared" si="40"/>
        <v>7.6290395699760372E-2</v>
      </c>
      <c r="AW60" s="19">
        <f t="shared" si="41"/>
        <v>7.7400597202577401E-2</v>
      </c>
    </row>
    <row r="62" spans="6:49">
      <c r="U62" s="16" t="s">
        <v>38</v>
      </c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 spans="6:49">
      <c r="U63" s="3"/>
      <c r="V63" s="4" t="s">
        <v>4</v>
      </c>
      <c r="W63" s="4">
        <v>2</v>
      </c>
      <c r="X63" s="4">
        <v>3</v>
      </c>
      <c r="Y63" s="4">
        <v>4</v>
      </c>
      <c r="Z63" s="4">
        <v>5</v>
      </c>
      <c r="AA63" s="4">
        <v>6</v>
      </c>
      <c r="AB63" s="4">
        <v>7</v>
      </c>
      <c r="AC63" s="4">
        <v>8</v>
      </c>
      <c r="AD63" s="4">
        <v>9</v>
      </c>
      <c r="AE63" s="4">
        <v>10</v>
      </c>
      <c r="AF63" s="4" t="s">
        <v>5</v>
      </c>
      <c r="AG63" s="4" t="s">
        <v>6</v>
      </c>
      <c r="AH63" s="4" t="s">
        <v>7</v>
      </c>
    </row>
    <row r="64" spans="6:49">
      <c r="U64" s="1" t="s">
        <v>8</v>
      </c>
      <c r="V64" s="19">
        <f>G34-V34</f>
        <v>-0.76973215327001077</v>
      </c>
      <c r="W64" s="19">
        <f t="shared" ref="W64:AH64" si="42">H34-W34</f>
        <v>-0.29232209250929508</v>
      </c>
      <c r="X64" s="19">
        <f t="shared" si="42"/>
        <v>-0.25101579545603014</v>
      </c>
      <c r="Y64" s="19">
        <f t="shared" si="42"/>
        <v>-0.20608658268085822</v>
      </c>
      <c r="Z64" s="19">
        <f t="shared" si="42"/>
        <v>-0.16558911761663392</v>
      </c>
      <c r="AA64" s="19">
        <f t="shared" si="42"/>
        <v>-0.15510056169595937</v>
      </c>
      <c r="AB64" s="19">
        <f t="shared" si="42"/>
        <v>-0.4812215084956486</v>
      </c>
      <c r="AC64" s="19">
        <f t="shared" si="42"/>
        <v>-0.50948392255561226</v>
      </c>
      <c r="AD64" s="19">
        <f t="shared" si="42"/>
        <v>-0.54126721906421937</v>
      </c>
      <c r="AE64" s="19">
        <f t="shared" si="42"/>
        <v>-0.57404003003547288</v>
      </c>
      <c r="AF64" s="19">
        <f t="shared" si="42"/>
        <v>-0.57242957242957249</v>
      </c>
      <c r="AG64" s="19">
        <f t="shared" si="42"/>
        <v>-0.57287206266318536</v>
      </c>
      <c r="AH64" s="19">
        <f t="shared" si="42"/>
        <v>-0.5739266198282591</v>
      </c>
    </row>
    <row r="65" spans="21:34">
      <c r="U65" s="1" t="s">
        <v>9</v>
      </c>
      <c r="V65" s="19">
        <f t="shared" ref="V65:V90" si="43">G35-V35</f>
        <v>-0.76836864980589903</v>
      </c>
      <c r="W65" s="19">
        <f t="shared" ref="W65:W90" si="44">H35-W35</f>
        <v>-0.29151895282247065</v>
      </c>
      <c r="X65" s="19">
        <f t="shared" ref="X65:X90" si="45">I35-X35</f>
        <v>-0.25103116257888236</v>
      </c>
      <c r="Y65" s="19">
        <f t="shared" ref="Y65:Y90" si="46">J35-Y35</f>
        <v>-0.21105566817402149</v>
      </c>
      <c r="Z65" s="19">
        <f t="shared" ref="Z65:Z90" si="47">K35-Z35</f>
        <v>-0.15336210931405692</v>
      </c>
      <c r="AA65" s="19">
        <f t="shared" ref="AA65:AA90" si="48">L35-AA35</f>
        <v>-0.15008497334042525</v>
      </c>
      <c r="AB65" s="19">
        <f t="shared" ref="AB65:AB90" si="49">M35-AB35</f>
        <v>-0.47562753879804182</v>
      </c>
      <c r="AC65" s="19">
        <f t="shared" ref="AC65:AC90" si="50">N35-AC35</f>
        <v>-0.51235144532669064</v>
      </c>
      <c r="AD65" s="19">
        <f t="shared" ref="AD65:AD90" si="51">O35-AD35</f>
        <v>-0.53910636408743118</v>
      </c>
      <c r="AE65" s="19">
        <f t="shared" ref="AE65:AE90" si="52">P35-AE35</f>
        <v>-0.57342930913074097</v>
      </c>
      <c r="AF65" s="19">
        <f t="shared" ref="AF65:AF90" si="53">Q35-AF35</f>
        <v>-0.57010731707317075</v>
      </c>
      <c r="AG65" s="19">
        <f t="shared" ref="AG65:AG90" si="54">R35-AG35</f>
        <v>-0.57720564416859954</v>
      </c>
      <c r="AH65" s="19">
        <f t="shared" ref="AH65:AH90" si="55">S35-AH35</f>
        <v>-0.57798477197205589</v>
      </c>
    </row>
    <row r="66" spans="21:34">
      <c r="U66" s="1" t="s">
        <v>10</v>
      </c>
      <c r="V66" s="19">
        <f t="shared" si="43"/>
        <v>-0.7683388639469062</v>
      </c>
      <c r="W66" s="19">
        <f t="shared" si="44"/>
        <v>-0.29207264790708548</v>
      </c>
      <c r="X66" s="19">
        <f t="shared" si="45"/>
        <v>-0.25561225152235162</v>
      </c>
      <c r="Y66" s="19">
        <f t="shared" si="46"/>
        <v>-0.20287571143902788</v>
      </c>
      <c r="Z66" s="19">
        <f t="shared" si="47"/>
        <v>-0.16743511371289438</v>
      </c>
      <c r="AA66" s="19">
        <f t="shared" si="48"/>
        <v>-0.1502335236118319</v>
      </c>
      <c r="AB66" s="19">
        <f t="shared" si="49"/>
        <v>-0.46925126704634512</v>
      </c>
      <c r="AC66" s="19">
        <f t="shared" si="50"/>
        <v>-0.51808946249935217</v>
      </c>
      <c r="AD66" s="19">
        <f t="shared" si="51"/>
        <v>-0.54348619072433557</v>
      </c>
      <c r="AE66" s="19">
        <f t="shared" si="52"/>
        <v>-0.57656921140395267</v>
      </c>
      <c r="AF66" s="19">
        <f t="shared" si="53"/>
        <v>-0.56961298572509711</v>
      </c>
      <c r="AG66" s="19">
        <f t="shared" si="54"/>
        <v>-0.57355616780163232</v>
      </c>
      <c r="AH66" s="19">
        <f t="shared" si="55"/>
        <v>-0.57501884242534507</v>
      </c>
    </row>
    <row r="67" spans="21:34">
      <c r="U67" s="1" t="s">
        <v>11</v>
      </c>
      <c r="V67" s="19">
        <f t="shared" si="43"/>
        <v>-0.76891933976954219</v>
      </c>
      <c r="W67" s="19">
        <f t="shared" si="44"/>
        <v>-0.29984138128299143</v>
      </c>
      <c r="X67" s="19">
        <f t="shared" si="45"/>
        <v>-0.25472999349381914</v>
      </c>
      <c r="Y67" s="19">
        <f t="shared" si="46"/>
        <v>-0.20985644325567576</v>
      </c>
      <c r="Z67" s="19">
        <f t="shared" si="47"/>
        <v>-0.16678807430147247</v>
      </c>
      <c r="AA67" s="19">
        <f t="shared" si="48"/>
        <v>-0.15746633313027364</v>
      </c>
      <c r="AB67" s="19">
        <f t="shared" si="49"/>
        <v>-0.47821926841567647</v>
      </c>
      <c r="AC67" s="19">
        <f t="shared" si="50"/>
        <v>-0.5135389440669107</v>
      </c>
      <c r="AD67" s="19">
        <f t="shared" si="51"/>
        <v>-0.5379654752074241</v>
      </c>
      <c r="AE67" s="19">
        <f t="shared" si="52"/>
        <v>-0.58007792207792197</v>
      </c>
      <c r="AF67" s="19">
        <f t="shared" si="53"/>
        <v>-0.57249746694032377</v>
      </c>
      <c r="AG67" s="19">
        <f t="shared" si="54"/>
        <v>-0.57293083603641315</v>
      </c>
      <c r="AH67" s="19">
        <f t="shared" si="55"/>
        <v>-0.57108421243617324</v>
      </c>
    </row>
    <row r="68" spans="21:34">
      <c r="U68" s="1" t="s">
        <v>12</v>
      </c>
      <c r="V68" s="19">
        <f t="shared" si="43"/>
        <v>-0.77204524769210758</v>
      </c>
      <c r="W68" s="19">
        <f t="shared" si="44"/>
        <v>-0.29193336882149024</v>
      </c>
      <c r="X68" s="19">
        <f t="shared" si="45"/>
        <v>-0.25089037356695348</v>
      </c>
      <c r="Y68" s="19">
        <f t="shared" si="46"/>
        <v>-0.20237535891412167</v>
      </c>
      <c r="Z68" s="19">
        <f t="shared" si="47"/>
        <v>-0.16178692367804115</v>
      </c>
      <c r="AA68" s="19">
        <f t="shared" si="48"/>
        <v>-0.14981219864055206</v>
      </c>
      <c r="AB68" s="19">
        <f t="shared" si="49"/>
        <v>-0.47643366730341902</v>
      </c>
      <c r="AC68" s="19">
        <f t="shared" si="50"/>
        <v>-0.50991871179518999</v>
      </c>
      <c r="AD68" s="19">
        <f t="shared" si="51"/>
        <v>-0.53381891148839689</v>
      </c>
      <c r="AE68" s="19">
        <f t="shared" si="52"/>
        <v>-0.57368017567339291</v>
      </c>
      <c r="AF68" s="19">
        <f t="shared" si="53"/>
        <v>-0.57587037157545384</v>
      </c>
      <c r="AG68" s="19">
        <f t="shared" si="54"/>
        <v>-0.57915592908664748</v>
      </c>
      <c r="AH68" s="19">
        <f t="shared" si="55"/>
        <v>-0.57444977573797851</v>
      </c>
    </row>
    <row r="69" spans="21:34">
      <c r="U69" s="5" t="s">
        <v>13</v>
      </c>
      <c r="V69" s="19">
        <f t="shared" si="43"/>
        <v>-0.76645776143367694</v>
      </c>
      <c r="W69" s="19">
        <f t="shared" si="44"/>
        <v>-0.2985680812288467</v>
      </c>
      <c r="X69" s="19">
        <f t="shared" si="45"/>
        <v>-0.25516110988253349</v>
      </c>
      <c r="Y69" s="19">
        <f t="shared" si="46"/>
        <v>-0.20412028748605376</v>
      </c>
      <c r="Z69" s="19">
        <f t="shared" si="47"/>
        <v>-0.15904518373333681</v>
      </c>
      <c r="AA69" s="19">
        <f t="shared" si="48"/>
        <v>-0.15543813298106562</v>
      </c>
      <c r="AB69" s="19">
        <f t="shared" si="49"/>
        <v>-0.48366597932796429</v>
      </c>
      <c r="AC69" s="19">
        <f t="shared" si="50"/>
        <v>-0.51237762511243501</v>
      </c>
      <c r="AD69" s="19">
        <f t="shared" si="51"/>
        <v>-0.54177070328755716</v>
      </c>
      <c r="AE69" s="19">
        <f t="shared" si="52"/>
        <v>-0.573896303233695</v>
      </c>
      <c r="AF69" s="19">
        <f t="shared" si="53"/>
        <v>-0.577699966029946</v>
      </c>
      <c r="AG69" s="19">
        <f t="shared" si="54"/>
        <v>-0.57297107206585296</v>
      </c>
      <c r="AH69" s="19">
        <f t="shared" si="55"/>
        <v>-0.57187666757773359</v>
      </c>
    </row>
    <row r="70" spans="21:34">
      <c r="U70" s="5" t="s">
        <v>14</v>
      </c>
      <c r="V70" s="19">
        <f t="shared" si="43"/>
        <v>-0.76671515403397583</v>
      </c>
      <c r="W70" s="19">
        <f t="shared" si="44"/>
        <v>-0.28859182822597457</v>
      </c>
      <c r="X70" s="19">
        <f t="shared" si="45"/>
        <v>-0.25908090614886731</v>
      </c>
      <c r="Y70" s="19">
        <f t="shared" si="46"/>
        <v>-0.21269964939618236</v>
      </c>
      <c r="Z70" s="19">
        <f t="shared" si="47"/>
        <v>-0.16267431252443632</v>
      </c>
      <c r="AA70" s="19">
        <f t="shared" si="48"/>
        <v>-0.15388226702485586</v>
      </c>
      <c r="AB70" s="19">
        <f t="shared" si="49"/>
        <v>-0.47619047619047622</v>
      </c>
      <c r="AC70" s="19">
        <f t="shared" si="50"/>
        <v>-0.51289510929391424</v>
      </c>
      <c r="AD70" s="19">
        <f t="shared" si="51"/>
        <v>-0.54250035476089109</v>
      </c>
      <c r="AE70" s="19">
        <f t="shared" si="52"/>
        <v>-0.5778352458057725</v>
      </c>
      <c r="AF70" s="19">
        <f t="shared" si="53"/>
        <v>-0.57257020285912352</v>
      </c>
      <c r="AG70" s="19">
        <f t="shared" si="54"/>
        <v>-0.57380188386295417</v>
      </c>
      <c r="AH70" s="19">
        <f t="shared" si="55"/>
        <v>-0.57659167998752392</v>
      </c>
    </row>
    <row r="71" spans="21:34">
      <c r="U71" s="5" t="s">
        <v>15</v>
      </c>
      <c r="V71" s="19">
        <f t="shared" si="43"/>
        <v>-0.76734922349939461</v>
      </c>
      <c r="W71" s="19">
        <f t="shared" si="44"/>
        <v>-0.29809165260288201</v>
      </c>
      <c r="X71" s="19">
        <f t="shared" si="45"/>
        <v>-0.24826101141924961</v>
      </c>
      <c r="Y71" s="19">
        <f t="shared" si="46"/>
        <v>-0.20556148618741377</v>
      </c>
      <c r="Z71" s="19">
        <f t="shared" si="47"/>
        <v>-0.16312001251760289</v>
      </c>
      <c r="AA71" s="19">
        <f t="shared" si="48"/>
        <v>-0.15171833538282309</v>
      </c>
      <c r="AB71" s="19">
        <f t="shared" si="49"/>
        <v>-0.47455762235770776</v>
      </c>
      <c r="AC71" s="19">
        <f t="shared" si="50"/>
        <v>-0.50643363200666802</v>
      </c>
      <c r="AD71" s="19">
        <f t="shared" si="51"/>
        <v>-0.54149919089627807</v>
      </c>
      <c r="AE71" s="19">
        <f t="shared" si="52"/>
        <v>-0.57604453925802601</v>
      </c>
      <c r="AF71" s="19">
        <f t="shared" si="53"/>
        <v>-0.57148233217840416</v>
      </c>
      <c r="AG71" s="19">
        <f t="shared" si="54"/>
        <v>-0.57884355860064352</v>
      </c>
      <c r="AH71" s="19">
        <f t="shared" si="55"/>
        <v>-0.57740048509059783</v>
      </c>
    </row>
    <row r="72" spans="21:34">
      <c r="U72" s="5" t="s">
        <v>16</v>
      </c>
      <c r="V72" s="19">
        <f t="shared" si="43"/>
        <v>-0.76800261523373647</v>
      </c>
      <c r="W72" s="19">
        <f t="shared" si="44"/>
        <v>-0.29351283282919421</v>
      </c>
      <c r="X72" s="19">
        <f t="shared" si="45"/>
        <v>-0.25491980138820286</v>
      </c>
      <c r="Y72" s="19">
        <f t="shared" si="46"/>
        <v>-0.21129546489687034</v>
      </c>
      <c r="Z72" s="19">
        <f t="shared" si="47"/>
        <v>-0.16599753339106244</v>
      </c>
      <c r="AA72" s="19">
        <f t="shared" si="48"/>
        <v>-0.15621070099697926</v>
      </c>
      <c r="AB72" s="19">
        <f t="shared" si="49"/>
        <v>-0.4778940830928875</v>
      </c>
      <c r="AC72" s="19">
        <f t="shared" si="50"/>
        <v>-0.50714202160152855</v>
      </c>
      <c r="AD72" s="19">
        <f t="shared" si="51"/>
        <v>-0.54542258564341606</v>
      </c>
      <c r="AE72" s="19">
        <f t="shared" si="52"/>
        <v>-0.57696912905408926</v>
      </c>
      <c r="AF72" s="19">
        <f t="shared" si="53"/>
        <v>-0.57064382598734742</v>
      </c>
      <c r="AG72" s="19">
        <f t="shared" si="54"/>
        <v>-0.57605220058751661</v>
      </c>
      <c r="AH72" s="19">
        <f t="shared" si="55"/>
        <v>-0.57356553950634748</v>
      </c>
    </row>
    <row r="73" spans="21:34">
      <c r="U73" s="5" t="s">
        <v>17</v>
      </c>
      <c r="V73" s="19">
        <f t="shared" si="43"/>
        <v>-0.7653385672227675</v>
      </c>
      <c r="W73" s="19">
        <f t="shared" si="44"/>
        <v>-0.29517203756380783</v>
      </c>
      <c r="X73" s="19">
        <f t="shared" si="45"/>
        <v>-0.25114947739253196</v>
      </c>
      <c r="Y73" s="19">
        <f t="shared" si="46"/>
        <v>-0.20816389960889947</v>
      </c>
      <c r="Z73" s="19">
        <f t="shared" si="47"/>
        <v>-0.16664505252237061</v>
      </c>
      <c r="AA73" s="19">
        <f t="shared" si="48"/>
        <v>-0.14804682942007757</v>
      </c>
      <c r="AB73" s="19">
        <f t="shared" si="49"/>
        <v>-0.47513029464134854</v>
      </c>
      <c r="AC73" s="19">
        <f t="shared" si="50"/>
        <v>-0.51322958212768177</v>
      </c>
      <c r="AD73" s="19">
        <f t="shared" si="51"/>
        <v>-0.53618113912231569</v>
      </c>
      <c r="AE73" s="19">
        <f t="shared" si="52"/>
        <v>-0.57333923134969167</v>
      </c>
      <c r="AF73" s="19">
        <f t="shared" si="53"/>
        <v>-0.57949730980167913</v>
      </c>
      <c r="AG73" s="19">
        <f t="shared" si="54"/>
        <v>-0.57854495806514539</v>
      </c>
      <c r="AH73" s="19">
        <f t="shared" si="55"/>
        <v>-0.57527149025251867</v>
      </c>
    </row>
    <row r="74" spans="21:34">
      <c r="U74" s="5" t="s">
        <v>18</v>
      </c>
      <c r="V74" s="19">
        <f t="shared" si="43"/>
        <v>-0.77044796656152248</v>
      </c>
      <c r="W74" s="19">
        <f t="shared" si="44"/>
        <v>-0.29467909896123773</v>
      </c>
      <c r="X74" s="19">
        <f t="shared" si="45"/>
        <v>-0.25612258148292427</v>
      </c>
      <c r="Y74" s="19">
        <f t="shared" si="46"/>
        <v>-0.20608996900315174</v>
      </c>
      <c r="Z74" s="19">
        <f t="shared" si="47"/>
        <v>-0.15729115431411639</v>
      </c>
      <c r="AA74" s="19">
        <f t="shared" si="48"/>
        <v>-0.15113612674588284</v>
      </c>
      <c r="AB74" s="19">
        <f t="shared" si="49"/>
        <v>-0.47228040958118117</v>
      </c>
      <c r="AC74" s="19">
        <f t="shared" si="50"/>
        <v>-0.50923984528631139</v>
      </c>
      <c r="AD74" s="19">
        <f t="shared" si="51"/>
        <v>-0.54357643394757327</v>
      </c>
      <c r="AE74" s="19">
        <f t="shared" si="52"/>
        <v>-0.57521363067944975</v>
      </c>
      <c r="AF74" s="19">
        <f t="shared" si="53"/>
        <v>-0.57783627407542548</v>
      </c>
      <c r="AG74" s="19">
        <f t="shared" si="54"/>
        <v>-0.58162827300042919</v>
      </c>
      <c r="AH74" s="19">
        <f t="shared" si="55"/>
        <v>-0.58185527358723466</v>
      </c>
    </row>
    <row r="75" spans="21:34">
      <c r="U75" s="5" t="s">
        <v>19</v>
      </c>
      <c r="V75" s="19">
        <f t="shared" si="43"/>
        <v>-0.77093276613405282</v>
      </c>
      <c r="W75" s="19">
        <f t="shared" si="44"/>
        <v>-0.29598816306929532</v>
      </c>
      <c r="X75" s="19">
        <f t="shared" si="45"/>
        <v>-0.25609724355136776</v>
      </c>
      <c r="Y75" s="19">
        <f t="shared" si="46"/>
        <v>-0.20572655690765923</v>
      </c>
      <c r="Z75" s="19">
        <f t="shared" si="47"/>
        <v>-0.16149835524177297</v>
      </c>
      <c r="AA75" s="19">
        <f t="shared" si="48"/>
        <v>-0.15915868984827769</v>
      </c>
      <c r="AB75" s="19">
        <f t="shared" si="49"/>
        <v>-0.48095505105167757</v>
      </c>
      <c r="AC75" s="19">
        <f t="shared" si="50"/>
        <v>-0.51499317605771111</v>
      </c>
      <c r="AD75" s="19">
        <f t="shared" si="51"/>
        <v>-0.54341220164662496</v>
      </c>
      <c r="AE75" s="19">
        <f t="shared" si="52"/>
        <v>-0.57732119231068557</v>
      </c>
      <c r="AF75" s="19">
        <f t="shared" si="53"/>
        <v>-0.57338861177689959</v>
      </c>
      <c r="AG75" s="19">
        <f t="shared" si="54"/>
        <v>-0.57371665385166737</v>
      </c>
      <c r="AH75" s="19">
        <f t="shared" si="55"/>
        <v>-0.57865694950546587</v>
      </c>
    </row>
    <row r="76" spans="21:34">
      <c r="U76" s="5" t="s">
        <v>20</v>
      </c>
      <c r="V76" s="19">
        <f t="shared" si="43"/>
        <v>-0.76903304933262007</v>
      </c>
      <c r="W76" s="19">
        <f t="shared" si="44"/>
        <v>-0.29269837986009645</v>
      </c>
      <c r="X76" s="19">
        <f t="shared" si="45"/>
        <v>-0.24863536411848397</v>
      </c>
      <c r="Y76" s="19">
        <f t="shared" si="46"/>
        <v>-0.20640703681053441</v>
      </c>
      <c r="Z76" s="19">
        <f t="shared" si="47"/>
        <v>-0.16869947989676537</v>
      </c>
      <c r="AA76" s="19">
        <f t="shared" si="48"/>
        <v>-0.1598501404932875</v>
      </c>
      <c r="AB76" s="19">
        <f t="shared" si="49"/>
        <v>-0.47454937966551358</v>
      </c>
      <c r="AC76" s="19">
        <f t="shared" si="50"/>
        <v>-0.51558653572076385</v>
      </c>
      <c r="AD76" s="19">
        <f t="shared" si="51"/>
        <v>-0.54181855921539124</v>
      </c>
      <c r="AE76" s="19">
        <f t="shared" si="52"/>
        <v>-0.57314430432625785</v>
      </c>
      <c r="AF76" s="19">
        <f t="shared" si="53"/>
        <v>-0.57321282054621459</v>
      </c>
      <c r="AG76" s="19">
        <f t="shared" si="54"/>
        <v>-0.57221486616299289</v>
      </c>
      <c r="AH76" s="19">
        <f t="shared" si="55"/>
        <v>-0.57479824584165873</v>
      </c>
    </row>
    <row r="77" spans="21:34">
      <c r="U77" s="5" t="s">
        <v>21</v>
      </c>
      <c r="V77" s="19">
        <f t="shared" si="43"/>
        <v>-0.6418892354467538</v>
      </c>
      <c r="W77" s="19">
        <f t="shared" si="44"/>
        <v>-0.15858385511868184</v>
      </c>
      <c r="X77" s="19">
        <f t="shared" si="45"/>
        <v>-0.11868014901543378</v>
      </c>
      <c r="Y77" s="19">
        <f t="shared" si="46"/>
        <v>-8.2507311265819505E-2</v>
      </c>
      <c r="Z77" s="19">
        <f t="shared" si="47"/>
        <v>-4.2443521163334164E-2</v>
      </c>
      <c r="AA77" s="19">
        <f t="shared" si="48"/>
        <v>1.3193771402726651E-2</v>
      </c>
      <c r="AB77" s="19">
        <f t="shared" si="49"/>
        <v>-9.9758343674482441E-2</v>
      </c>
      <c r="AC77" s="19">
        <f t="shared" si="50"/>
        <v>-0.37619127886622666</v>
      </c>
      <c r="AD77" s="19">
        <f t="shared" si="51"/>
        <v>-0.41681576559056133</v>
      </c>
      <c r="AE77" s="19">
        <f t="shared" si="52"/>
        <v>-0.45691510873961194</v>
      </c>
      <c r="AF77" s="19">
        <f t="shared" si="53"/>
        <v>-0.45968882602545968</v>
      </c>
      <c r="AG77" s="19">
        <f t="shared" si="54"/>
        <v>-0.46259397029368154</v>
      </c>
      <c r="AH77" s="19">
        <f t="shared" si="55"/>
        <v>-0.46511175646942904</v>
      </c>
    </row>
    <row r="78" spans="21:34">
      <c r="U78" s="5" t="s">
        <v>22</v>
      </c>
      <c r="V78" s="19">
        <f t="shared" si="43"/>
        <v>-0.37566007772455556</v>
      </c>
      <c r="W78" s="19">
        <f t="shared" si="44"/>
        <v>0.12105345217368713</v>
      </c>
      <c r="X78" s="19">
        <f t="shared" si="45"/>
        <v>0.15598162311728314</v>
      </c>
      <c r="Y78" s="19">
        <f t="shared" si="46"/>
        <v>0.18113789928281476</v>
      </c>
      <c r="Z78" s="19">
        <f t="shared" si="47"/>
        <v>0.20432435252080017</v>
      </c>
      <c r="AA78" s="19">
        <f t="shared" si="48"/>
        <v>0.27777489693795532</v>
      </c>
      <c r="AB78" s="19">
        <f t="shared" si="49"/>
        <v>0.39814742130465502</v>
      </c>
      <c r="AC78" s="19">
        <f t="shared" si="50"/>
        <v>0.10292511700468016</v>
      </c>
      <c r="AD78" s="19">
        <f t="shared" si="51"/>
        <v>-0.17859046529466061</v>
      </c>
      <c r="AE78" s="19">
        <f t="shared" si="52"/>
        <v>-0.24595683827353099</v>
      </c>
      <c r="AF78" s="19">
        <f t="shared" si="53"/>
        <v>-0.24222673223531865</v>
      </c>
      <c r="AG78" s="19">
        <f t="shared" si="54"/>
        <v>-0.23695708712613783</v>
      </c>
      <c r="AH78" s="19">
        <f t="shared" si="55"/>
        <v>-0.23401274050624704</v>
      </c>
    </row>
    <row r="79" spans="21:34">
      <c r="U79" s="5" t="s">
        <v>23</v>
      </c>
      <c r="V79" s="19">
        <f t="shared" si="43"/>
        <v>-0.11648959659194219</v>
      </c>
      <c r="W79" s="19">
        <f t="shared" si="44"/>
        <v>0.38814078932050144</v>
      </c>
      <c r="X79" s="19">
        <f t="shared" si="45"/>
        <v>0.40164104425375258</v>
      </c>
      <c r="Y79" s="19">
        <f t="shared" si="46"/>
        <v>0.41802712668238851</v>
      </c>
      <c r="Z79" s="19">
        <f t="shared" si="47"/>
        <v>0.44279463545981779</v>
      </c>
      <c r="AA79" s="19">
        <f t="shared" si="48"/>
        <v>0.49545495805075401</v>
      </c>
      <c r="AB79" s="19">
        <f t="shared" si="49"/>
        <v>0.61698537682789645</v>
      </c>
      <c r="AC79" s="19">
        <f t="shared" si="50"/>
        <v>0.59695643654888642</v>
      </c>
      <c r="AD79" s="19">
        <f t="shared" si="51"/>
        <v>0.28388159601515073</v>
      </c>
      <c r="AE79" s="19">
        <f t="shared" si="52"/>
        <v>-1.7626306676907455E-2</v>
      </c>
      <c r="AF79" s="19">
        <f t="shared" si="53"/>
        <v>-1.8208406667356847E-2</v>
      </c>
      <c r="AG79" s="19">
        <f t="shared" si="54"/>
        <v>-2.8378519563286853E-2</v>
      </c>
      <c r="AH79" s="19">
        <f t="shared" si="55"/>
        <v>-1.1281382458428413E-2</v>
      </c>
    </row>
    <row r="80" spans="21:34">
      <c r="U80" s="5" t="s">
        <v>24</v>
      </c>
      <c r="V80" s="19">
        <f t="shared" si="43"/>
        <v>0.14614757175964882</v>
      </c>
      <c r="W80" s="19">
        <f t="shared" si="44"/>
        <v>0.64132154249111795</v>
      </c>
      <c r="X80" s="19">
        <f t="shared" si="45"/>
        <v>0.6492643815355873</v>
      </c>
      <c r="Y80" s="19">
        <f t="shared" si="46"/>
        <v>0.66306853909033747</v>
      </c>
      <c r="Z80" s="19">
        <f t="shared" si="47"/>
        <v>0.67064964140211125</v>
      </c>
      <c r="AA80" s="19">
        <f t="shared" si="48"/>
        <v>0.70452754634114845</v>
      </c>
      <c r="AB80" s="19">
        <f t="shared" si="49"/>
        <v>0.77747091697823167</v>
      </c>
      <c r="AC80" s="19">
        <f t="shared" si="50"/>
        <v>0.79215752710592158</v>
      </c>
      <c r="AD80" s="19">
        <f t="shared" si="51"/>
        <v>0.75649764549782761</v>
      </c>
      <c r="AE80" s="19">
        <f t="shared" si="52"/>
        <v>0.43844059051168122</v>
      </c>
      <c r="AF80" s="19">
        <f t="shared" si="53"/>
        <v>0.43700715916165184</v>
      </c>
      <c r="AG80" s="19">
        <f t="shared" si="54"/>
        <v>0.4335469053801887</v>
      </c>
      <c r="AH80" s="19">
        <f t="shared" si="55"/>
        <v>0.43770096463022512</v>
      </c>
    </row>
    <row r="81" spans="21:34">
      <c r="U81" s="5" t="s">
        <v>25</v>
      </c>
      <c r="V81" s="19">
        <f t="shared" si="43"/>
        <v>-0.76783834708595933</v>
      </c>
      <c r="W81" s="19">
        <f t="shared" si="44"/>
        <v>-0.27978518776706296</v>
      </c>
      <c r="X81" s="19">
        <f t="shared" si="45"/>
        <v>-0.24220380959790461</v>
      </c>
      <c r="Y81" s="19">
        <f t="shared" si="46"/>
        <v>-0.21105299362726648</v>
      </c>
      <c r="Z81" s="19">
        <f t="shared" si="47"/>
        <v>-0.1647386377004823</v>
      </c>
      <c r="AA81" s="19">
        <f t="shared" si="48"/>
        <v>-0.15186754448862527</v>
      </c>
      <c r="AB81" s="19">
        <f t="shared" si="49"/>
        <v>-0.47308693388859968</v>
      </c>
      <c r="AC81" s="19">
        <f t="shared" si="50"/>
        <v>-0.51552405116266908</v>
      </c>
      <c r="AD81" s="19">
        <f t="shared" si="51"/>
        <v>-0.53893133738759813</v>
      </c>
      <c r="AE81" s="19">
        <f t="shared" si="52"/>
        <v>-0.57244637086831829</v>
      </c>
      <c r="AF81" s="19">
        <f t="shared" si="53"/>
        <v>-0.57192754658183476</v>
      </c>
      <c r="AG81" s="19">
        <f t="shared" si="54"/>
        <v>-0.5743381652597106</v>
      </c>
      <c r="AH81" s="19">
        <f t="shared" si="55"/>
        <v>-0.57815959499177816</v>
      </c>
    </row>
    <row r="82" spans="21:34">
      <c r="U82" s="5" t="s">
        <v>26</v>
      </c>
      <c r="V82" s="19">
        <f t="shared" si="43"/>
        <v>-0.76835359288040173</v>
      </c>
      <c r="W82" s="19">
        <f t="shared" si="44"/>
        <v>-0.29471549998700319</v>
      </c>
      <c r="X82" s="19">
        <f t="shared" si="45"/>
        <v>-0.2565248550394163</v>
      </c>
      <c r="Y82" s="19">
        <f t="shared" si="46"/>
        <v>-0.21056928479790588</v>
      </c>
      <c r="Z82" s="19">
        <f t="shared" si="47"/>
        <v>-0.16069571547420969</v>
      </c>
      <c r="AA82" s="19">
        <f t="shared" si="48"/>
        <v>-0.15155915721231766</v>
      </c>
      <c r="AB82" s="19">
        <f t="shared" si="49"/>
        <v>-0.47555010630388561</v>
      </c>
      <c r="AC82" s="19">
        <f t="shared" si="50"/>
        <v>-0.5132908339525728</v>
      </c>
      <c r="AD82" s="19">
        <f t="shared" si="51"/>
        <v>-0.54609028982879648</v>
      </c>
      <c r="AE82" s="19">
        <f t="shared" si="52"/>
        <v>-0.57354218804704415</v>
      </c>
      <c r="AF82" s="19">
        <f t="shared" si="53"/>
        <v>-0.57688492063492069</v>
      </c>
      <c r="AG82" s="19">
        <f t="shared" si="54"/>
        <v>-0.56976956125504485</v>
      </c>
      <c r="AH82" s="19">
        <f t="shared" si="55"/>
        <v>-0.58065061588689004</v>
      </c>
    </row>
    <row r="83" spans="21:34">
      <c r="U83" s="5" t="s">
        <v>27</v>
      </c>
      <c r="V83" s="19">
        <f t="shared" si="43"/>
        <v>-0.77218505264249782</v>
      </c>
      <c r="W83" s="19">
        <f t="shared" si="44"/>
        <v>-0.29346593501127466</v>
      </c>
      <c r="X83" s="19">
        <f t="shared" si="45"/>
        <v>-0.25651976374375285</v>
      </c>
      <c r="Y83" s="19">
        <f t="shared" si="46"/>
        <v>-0.20644809594268354</v>
      </c>
      <c r="Z83" s="19">
        <f t="shared" si="47"/>
        <v>-0.16682788418133748</v>
      </c>
      <c r="AA83" s="19">
        <f t="shared" si="48"/>
        <v>-0.15398083183109185</v>
      </c>
      <c r="AB83" s="19">
        <f t="shared" si="49"/>
        <v>-0.47868652375449572</v>
      </c>
      <c r="AC83" s="19">
        <f t="shared" si="50"/>
        <v>-0.51112154163081169</v>
      </c>
      <c r="AD83" s="19">
        <f t="shared" si="51"/>
        <v>-0.53978134644557207</v>
      </c>
      <c r="AE83" s="19">
        <f t="shared" si="52"/>
        <v>-0.57610223309562225</v>
      </c>
      <c r="AF83" s="19">
        <f t="shared" si="53"/>
        <v>-0.57792899254603536</v>
      </c>
      <c r="AG83" s="19">
        <f t="shared" si="54"/>
        <v>-0.57353612564079159</v>
      </c>
      <c r="AH83" s="19">
        <f t="shared" si="55"/>
        <v>-0.57321205170975809</v>
      </c>
    </row>
    <row r="84" spans="21:34">
      <c r="U84" s="5" t="s">
        <v>28</v>
      </c>
      <c r="V84" s="19">
        <f t="shared" si="43"/>
        <v>-0.76959970726224869</v>
      </c>
      <c r="W84" s="19">
        <f t="shared" si="44"/>
        <v>-0.29466429988514148</v>
      </c>
      <c r="X84" s="19">
        <f t="shared" si="45"/>
        <v>-0.25358210493763528</v>
      </c>
      <c r="Y84" s="19">
        <f t="shared" si="46"/>
        <v>-0.21322477434123249</v>
      </c>
      <c r="Z84" s="19">
        <f t="shared" si="47"/>
        <v>-0.16036115736885925</v>
      </c>
      <c r="AA84" s="19">
        <f t="shared" si="48"/>
        <v>-0.15656044802422886</v>
      </c>
      <c r="AB84" s="19">
        <f t="shared" si="49"/>
        <v>-0.47963414002176502</v>
      </c>
      <c r="AC84" s="19">
        <f t="shared" si="50"/>
        <v>-0.51458903132979894</v>
      </c>
      <c r="AD84" s="19">
        <f t="shared" si="51"/>
        <v>-0.54183531371604832</v>
      </c>
      <c r="AE84" s="19">
        <f t="shared" si="52"/>
        <v>-0.57759547969881941</v>
      </c>
      <c r="AF84" s="19">
        <f t="shared" si="53"/>
        <v>-0.57486533131112383</v>
      </c>
      <c r="AG84" s="19">
        <f t="shared" si="54"/>
        <v>-0.57862350690314912</v>
      </c>
      <c r="AH84" s="19">
        <f t="shared" si="55"/>
        <v>-0.57596215251078475</v>
      </c>
    </row>
    <row r="85" spans="21:34">
      <c r="U85" s="5" t="s">
        <v>29</v>
      </c>
      <c r="V85" s="19">
        <f t="shared" si="43"/>
        <v>-0.7670410912546044</v>
      </c>
      <c r="W85" s="19">
        <f t="shared" si="44"/>
        <v>-0.29389451805663813</v>
      </c>
      <c r="X85" s="19">
        <f t="shared" si="45"/>
        <v>-0.24347984206151291</v>
      </c>
      <c r="Y85" s="19">
        <f t="shared" si="46"/>
        <v>-0.20986371136431553</v>
      </c>
      <c r="Z85" s="19">
        <f t="shared" si="47"/>
        <v>-0.16105053865446844</v>
      </c>
      <c r="AA85" s="19">
        <f t="shared" si="48"/>
        <v>-0.15403981416595292</v>
      </c>
      <c r="AB85" s="19">
        <f t="shared" si="49"/>
        <v>-0.47606448838088289</v>
      </c>
      <c r="AC85" s="19">
        <f t="shared" si="50"/>
        <v>-0.51213614321559042</v>
      </c>
      <c r="AD85" s="19">
        <f t="shared" si="51"/>
        <v>-0.54096276112624886</v>
      </c>
      <c r="AE85" s="19">
        <f t="shared" si="52"/>
        <v>-0.57557485022191734</v>
      </c>
      <c r="AF85" s="19">
        <f t="shared" si="53"/>
        <v>-0.57575678903369854</v>
      </c>
      <c r="AG85" s="19">
        <f t="shared" si="54"/>
        <v>-0.57402787392729793</v>
      </c>
      <c r="AH85" s="19">
        <f t="shared" si="55"/>
        <v>-0.57144162131829979</v>
      </c>
    </row>
    <row r="86" spans="21:34">
      <c r="U86" s="5" t="s">
        <v>30</v>
      </c>
      <c r="V86" s="19">
        <f t="shared" si="43"/>
        <v>-0.64015873430279613</v>
      </c>
      <c r="W86" s="19">
        <f t="shared" si="44"/>
        <v>-0.14903457800244935</v>
      </c>
      <c r="X86" s="19">
        <f t="shared" si="45"/>
        <v>-0.12193219633943425</v>
      </c>
      <c r="Y86" s="19">
        <f t="shared" si="46"/>
        <v>-7.577786734972497E-2</v>
      </c>
      <c r="Z86" s="19">
        <f t="shared" si="47"/>
        <v>-4.2908193099863545E-2</v>
      </c>
      <c r="AA86" s="19">
        <f t="shared" si="48"/>
        <v>9.4009336099584728E-3</v>
      </c>
      <c r="AB86" s="19">
        <f t="shared" si="49"/>
        <v>-0.10823380055444726</v>
      </c>
      <c r="AC86" s="19">
        <f t="shared" si="50"/>
        <v>-0.37914507267271946</v>
      </c>
      <c r="AD86" s="19">
        <f t="shared" si="51"/>
        <v>-0.42303737162047822</v>
      </c>
      <c r="AE86" s="19">
        <f t="shared" si="52"/>
        <v>-0.4590046498300272</v>
      </c>
      <c r="AF86" s="19">
        <f t="shared" si="53"/>
        <v>-0.46115216856710195</v>
      </c>
      <c r="AG86" s="19">
        <f t="shared" si="54"/>
        <v>-0.46268209418080419</v>
      </c>
      <c r="AH86" s="19">
        <f t="shared" si="55"/>
        <v>-0.46534782156597687</v>
      </c>
    </row>
    <row r="87" spans="21:34">
      <c r="U87" s="5" t="s">
        <v>31</v>
      </c>
      <c r="V87" s="19">
        <f t="shared" si="43"/>
        <v>-0.37992404111631051</v>
      </c>
      <c r="W87" s="19">
        <f t="shared" si="44"/>
        <v>0.12044555486154485</v>
      </c>
      <c r="X87" s="19">
        <f t="shared" si="45"/>
        <v>0.15326920577148051</v>
      </c>
      <c r="Y87" s="19">
        <f t="shared" si="46"/>
        <v>0.18036686990548745</v>
      </c>
      <c r="Z87" s="19">
        <f t="shared" si="47"/>
        <v>0.20736363636363636</v>
      </c>
      <c r="AA87" s="19">
        <f t="shared" si="48"/>
        <v>0.28438828438828445</v>
      </c>
      <c r="AB87" s="19">
        <f t="shared" si="49"/>
        <v>0.40444594489313634</v>
      </c>
      <c r="AC87" s="19">
        <f t="shared" si="50"/>
        <v>0.10242946708463946</v>
      </c>
      <c r="AD87" s="19">
        <f t="shared" si="51"/>
        <v>-0.18468771857109556</v>
      </c>
      <c r="AE87" s="19">
        <f t="shared" si="52"/>
        <v>-0.23468111713213835</v>
      </c>
      <c r="AF87" s="19">
        <f t="shared" si="53"/>
        <v>-0.2404064523664301</v>
      </c>
      <c r="AG87" s="19">
        <f t="shared" si="54"/>
        <v>-0.23726174566308983</v>
      </c>
      <c r="AH87" s="19">
        <f t="shared" si="55"/>
        <v>-0.2375677617399255</v>
      </c>
    </row>
    <row r="88" spans="21:34">
      <c r="U88" s="5" t="s">
        <v>32</v>
      </c>
      <c r="V88" s="19">
        <f t="shared" si="43"/>
        <v>-0.11730876823191122</v>
      </c>
      <c r="W88" s="19">
        <f t="shared" si="44"/>
        <v>0.38448322986216865</v>
      </c>
      <c r="X88" s="19">
        <f t="shared" si="45"/>
        <v>0.39904127968320552</v>
      </c>
      <c r="Y88" s="19">
        <f t="shared" si="46"/>
        <v>0.42101635848222407</v>
      </c>
      <c r="Z88" s="19">
        <f t="shared" si="47"/>
        <v>0.44546703652814146</v>
      </c>
      <c r="AA88" s="19">
        <f t="shared" si="48"/>
        <v>0.4951159080000519</v>
      </c>
      <c r="AB88" s="19">
        <f t="shared" si="49"/>
        <v>0.61562967297314863</v>
      </c>
      <c r="AC88" s="19">
        <f t="shared" si="50"/>
        <v>0.59451948051948045</v>
      </c>
      <c r="AD88" s="19">
        <f t="shared" si="51"/>
        <v>0.28963240264129364</v>
      </c>
      <c r="AE88" s="19">
        <f t="shared" si="52"/>
        <v>-1.4867367432640388E-2</v>
      </c>
      <c r="AF88" s="19">
        <f t="shared" si="53"/>
        <v>-1.3871686896210045E-2</v>
      </c>
      <c r="AG88" s="19">
        <f t="shared" si="54"/>
        <v>-1.6212491549222552E-2</v>
      </c>
      <c r="AH88" s="19">
        <f t="shared" si="55"/>
        <v>-1.5206025468474993E-2</v>
      </c>
    </row>
    <row r="89" spans="21:34">
      <c r="U89" s="5" t="s">
        <v>33</v>
      </c>
      <c r="V89" s="19">
        <f t="shared" si="43"/>
        <v>0.14534129249935113</v>
      </c>
      <c r="W89" s="19">
        <f t="shared" si="44"/>
        <v>0.6389709311363283</v>
      </c>
      <c r="X89" s="19">
        <f t="shared" si="45"/>
        <v>0.64586317352014377</v>
      </c>
      <c r="Y89" s="19">
        <f t="shared" si="46"/>
        <v>0.65920837337350335</v>
      </c>
      <c r="Z89" s="19">
        <f t="shared" si="47"/>
        <v>0.66797452295941717</v>
      </c>
      <c r="AA89" s="19">
        <f t="shared" si="48"/>
        <v>0.70382161449838865</v>
      </c>
      <c r="AB89" s="19">
        <f t="shared" si="49"/>
        <v>0.77079745316006476</v>
      </c>
      <c r="AC89" s="19">
        <f t="shared" si="50"/>
        <v>0.79189383539256064</v>
      </c>
      <c r="AD89" s="19">
        <f t="shared" si="51"/>
        <v>0.7616954310759666</v>
      </c>
      <c r="AE89" s="19">
        <f t="shared" si="52"/>
        <v>0.44122770526753674</v>
      </c>
      <c r="AF89" s="19">
        <f t="shared" si="53"/>
        <v>0.43141481548410415</v>
      </c>
      <c r="AG89" s="19">
        <f t="shared" si="54"/>
        <v>0.43849409206797035</v>
      </c>
      <c r="AH89" s="19">
        <f t="shared" si="55"/>
        <v>0.43759072998755699</v>
      </c>
    </row>
    <row r="90" spans="21:34">
      <c r="U90" s="5" t="s">
        <v>34</v>
      </c>
      <c r="V90" s="19">
        <f t="shared" si="43"/>
        <v>0.6893505686086574</v>
      </c>
      <c r="W90" s="19">
        <f t="shared" si="44"/>
        <v>1</v>
      </c>
      <c r="X90" s="19">
        <f t="shared" si="45"/>
        <v>1</v>
      </c>
      <c r="Y90" s="19">
        <f t="shared" si="46"/>
        <v>1</v>
      </c>
      <c r="Z90" s="19">
        <f t="shared" si="47"/>
        <v>1</v>
      </c>
      <c r="AA90" s="19">
        <f t="shared" si="48"/>
        <v>1</v>
      </c>
      <c r="AB90" s="19">
        <f t="shared" si="49"/>
        <v>1</v>
      </c>
      <c r="AC90" s="19">
        <f t="shared" si="50"/>
        <v>1</v>
      </c>
      <c r="AD90" s="19">
        <f t="shared" si="51"/>
        <v>1</v>
      </c>
      <c r="AE90" s="19">
        <f t="shared" si="52"/>
        <v>0.92516043544908932</v>
      </c>
      <c r="AF90" s="19">
        <f t="shared" si="53"/>
        <v>0.92337154768108387</v>
      </c>
      <c r="AG90" s="19">
        <f t="shared" si="54"/>
        <v>0.92370960430023963</v>
      </c>
      <c r="AH90" s="19">
        <f t="shared" si="55"/>
        <v>0.92259940279742259</v>
      </c>
    </row>
  </sheetData>
  <mergeCells count="35">
    <mergeCell ref="F32:S32"/>
    <mergeCell ref="U32:AH32"/>
    <mergeCell ref="AJ32:AW32"/>
    <mergeCell ref="U62:AH62"/>
    <mergeCell ref="AJ2:AW2"/>
    <mergeCell ref="C26:D26"/>
    <mergeCell ref="C27:D27"/>
    <mergeCell ref="C28:D28"/>
    <mergeCell ref="C29:D29"/>
    <mergeCell ref="C10:D10"/>
    <mergeCell ref="C11:D11"/>
    <mergeCell ref="C12:D12"/>
    <mergeCell ref="C13:D13"/>
    <mergeCell ref="F2:S2"/>
    <mergeCell ref="U2:AH2"/>
    <mergeCell ref="C4:D4"/>
    <mergeCell ref="C5:D5"/>
    <mergeCell ref="C6:D6"/>
    <mergeCell ref="C7:D7"/>
    <mergeCell ref="C30:D30"/>
    <mergeCell ref="B3:D3"/>
    <mergeCell ref="C20:D20"/>
    <mergeCell ref="C21:D21"/>
    <mergeCell ref="C22:D22"/>
    <mergeCell ref="C23:D23"/>
    <mergeCell ref="C24:D24"/>
    <mergeCell ref="C25:D25"/>
    <mergeCell ref="C14:D14"/>
    <mergeCell ref="C15:D15"/>
    <mergeCell ref="C16:D16"/>
    <mergeCell ref="C17:D17"/>
    <mergeCell ref="C18:D18"/>
    <mergeCell ref="C19:D19"/>
    <mergeCell ref="C8:D8"/>
    <mergeCell ref="C9:D9"/>
  </mergeCells>
  <conditionalFormatting sqref="G4:S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AH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:AW30">
    <cfRule type="colorScale" priority="5">
      <colorScale>
        <cfvo type="min"/>
        <cfvo type="max"/>
        <color rgb="FFFCFCFF"/>
        <color rgb="FF63BE7B"/>
      </colorScale>
    </cfRule>
  </conditionalFormatting>
  <conditionalFormatting sqref="G34:S6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4:AH6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4:AW60">
    <cfRule type="colorScale" priority="2">
      <colorScale>
        <cfvo type="min"/>
        <cfvo type="max"/>
        <color rgb="FFFCFCFF"/>
        <color rgb="FF63BE7B"/>
      </colorScale>
    </cfRule>
  </conditionalFormatting>
  <conditionalFormatting sqref="V64:AH9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Jonas Travassos</cp:lastModifiedBy>
  <cp:revision/>
  <dcterms:created xsi:type="dcterms:W3CDTF">2025-12-26T15:58:33Z</dcterms:created>
  <dcterms:modified xsi:type="dcterms:W3CDTF">2025-12-26T17:47:32Z</dcterms:modified>
  <cp:category/>
  <cp:contentStatus/>
</cp:coreProperties>
</file>