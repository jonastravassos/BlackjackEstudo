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A8\EXCELCNV\f54846ab-07a2-4bac-8529-deed3aca8b60\"/>
    </mc:Choice>
  </mc:AlternateContent>
  <xr:revisionPtr revIDLastSave="102" documentId="8_{537A032F-1AF9-4FCA-BF67-BA7E5C966E6D}" xr6:coauthVersionLast="47" xr6:coauthVersionMax="47" xr10:uidLastSave="{DA3CE7A8-CA13-45A8-969B-DD46B0987EB6}"/>
  <bookViews>
    <workbookView xWindow="-60" yWindow="-60" windowWidth="15480" windowHeight="11640" xr2:uid="{D26CA817-647D-4472-909A-C816FEA377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5" i="1" l="1"/>
  <c r="AT35" i="1"/>
  <c r="AU35" i="1"/>
  <c r="AV35" i="1"/>
  <c r="AW35" i="1"/>
  <c r="AK36" i="1"/>
  <c r="AT36" i="1"/>
  <c r="AU36" i="1"/>
  <c r="AV36" i="1"/>
  <c r="AW36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T34" i="1"/>
  <c r="AU34" i="1"/>
  <c r="AV34" i="1"/>
  <c r="AW34" i="1"/>
  <c r="AK34" i="1"/>
  <c r="W37" i="1"/>
  <c r="X37" i="1"/>
  <c r="Y37" i="1"/>
  <c r="Z37" i="1"/>
  <c r="AA37" i="1"/>
  <c r="AB37" i="1"/>
  <c r="AC37" i="1"/>
  <c r="AD37" i="1"/>
  <c r="V35" i="1"/>
  <c r="AE35" i="1"/>
  <c r="AF35" i="1"/>
  <c r="AG35" i="1"/>
  <c r="AH35" i="1"/>
  <c r="V36" i="1"/>
  <c r="AE36" i="1"/>
  <c r="AF36" i="1"/>
  <c r="AG36" i="1"/>
  <c r="AH36" i="1"/>
  <c r="V37" i="1"/>
  <c r="AE37" i="1"/>
  <c r="AF37" i="1"/>
  <c r="AG37" i="1"/>
  <c r="AH37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E34" i="1"/>
  <c r="AF34" i="1"/>
  <c r="AG34" i="1"/>
  <c r="AH34" i="1"/>
  <c r="V34" i="1"/>
  <c r="G35" i="1"/>
  <c r="P35" i="1"/>
  <c r="Q35" i="1"/>
  <c r="R35" i="1"/>
  <c r="S35" i="1"/>
  <c r="G36" i="1"/>
  <c r="P36" i="1"/>
  <c r="Q36" i="1"/>
  <c r="R36" i="1"/>
  <c r="S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P34" i="1"/>
  <c r="Q34" i="1"/>
  <c r="R34" i="1"/>
  <c r="S34" i="1"/>
  <c r="G34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<sst xmlns="http://schemas.openxmlformats.org/spreadsheetml/2006/main" count="201" uniqueCount="45">
  <si>
    <t>RESULTADOS PRINCIPAIS</t>
  </si>
  <si>
    <t>RESULTADOS NUMÉRICOS DE VITÓRIAS</t>
  </si>
  <si>
    <t>RESULTADOS NUMÉRICOS DE DERROTAS</t>
  </si>
  <si>
    <t>RESULTADOS NUMÉRICOS DE EMPATES</t>
  </si>
  <si>
    <t>Vitórias</t>
  </si>
  <si>
    <t>A</t>
  </si>
  <si>
    <t>J</t>
  </si>
  <si>
    <t>Q</t>
  </si>
  <si>
    <t>K</t>
  </si>
  <si>
    <t>Derrotas</t>
  </si>
  <si>
    <t>4H</t>
  </si>
  <si>
    <t>Empates</t>
  </si>
  <si>
    <t>5H</t>
  </si>
  <si>
    <t>Busts do jogador</t>
  </si>
  <si>
    <t>6H</t>
  </si>
  <si>
    <t>Blackjacks do jogador</t>
  </si>
  <si>
    <t>7H</t>
  </si>
  <si>
    <t>Busts do dealer</t>
  </si>
  <si>
    <t>8H</t>
  </si>
  <si>
    <t>Blackjacks do dealer</t>
  </si>
  <si>
    <t>9H</t>
  </si>
  <si>
    <t>Saldo final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</si>
  <si>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</si>
  <si>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</si>
  <si>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</si>
  <si>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</si>
  <si>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</si>
  <si>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</si>
  <si>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</si>
  <si>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</si>
  <si>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</si>
  <si>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</si>
  <si>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</si>
  <si>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</si>
  <si>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</si>
  <si>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</si>
  <si>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</si>
  <si>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</si>
  <si>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</si>
  <si>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</si>
  <si>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</si>
  <si>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</si>
  <si>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</si>
  <si>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</si>
  <si>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PERCENTUAIS DE DERROTAS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</si>
</sst>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0" fillId="0" borderId="10" xfId="0" applyBorder="1"/>
    <xf numFmtId="164" fontId="0" fillId="0" borderId="0" xfId="0" applyNumberFormat="1" applyAlignment="1">
      <alignment horizontal="center"/>
    </xf>
    <xf numFmtId="10" fontId="0" fillId="0" borderId="0" xfId="0" applyNumberFormat="1"/>
    <xf numFmtId="0" fontId="18" fillId="0" borderId="10" xfId="0" applyFont="1" applyBorder="1" applyAlignment="1"/>
    <xf numFmtId="0" fontId="19" fillId="33" borderId="10" xfId="0" applyFont="1" applyFill="1" applyBorder="1" applyAlignment="1"/>
    <xf numFmtId="0" fontId="19" fillId="33" borderId="10" xfId="0" applyFont="1" applyFill="1" applyBorder="1" applyAlignment="1">
      <alignment horizontal="center"/>
    </xf>
    <xf numFmtId="10" fontId="0" fillId="0" borderId="10" xfId="0" applyNumberFormat="1" applyBorder="1"/>
    <xf numFmtId="0" fontId="19" fillId="33" borderId="11" xfId="0" applyFont="1" applyFill="1" applyBorder="1" applyAlignment="1">
      <alignment horizontal="center"/>
    </xf>
    <xf numFmtId="10" fontId="18" fillId="0" borderId="10" xfId="0" applyNumberFormat="1" applyFont="1" applyBorder="1" applyAlignment="1"/>
    <xf numFmtId="0" fontId="16" fillId="0" borderId="0" xfId="0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26EC-C963-4BB8-97E0-28EF7CD84A07}">
  <dimension ref="A2:AW60"/>
  <sheetViews>
    <sheetView tabSelected="1" workbookViewId="0">
      <selection activeCell="AX29" sqref="AX29"/>
    </sheetView>
  </sheetViews>
  <sheetFormatPr defaultRowHeight="15"/>
  <sheetData>
    <row r="2" spans="1:49">
      <c r="A2" s="1" t="s">
        <v>0</v>
      </c>
      <c r="B2" s="1"/>
      <c r="C2" s="1"/>
      <c r="D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U2" s="2" t="s">
        <v>2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J2" s="2" t="s">
        <v>3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>
      <c r="A3" s="14" t="s">
        <v>4</v>
      </c>
      <c r="B3" s="14"/>
      <c r="C3">
        <v>380969</v>
      </c>
      <c r="D3" s="7">
        <f>C3/1000000</f>
        <v>0.380969</v>
      </c>
      <c r="F3" s="3"/>
      <c r="G3" s="3" t="s">
        <v>5</v>
      </c>
      <c r="H3" s="3">
        <v>2</v>
      </c>
      <c r="I3" s="3">
        <v>3</v>
      </c>
      <c r="J3" s="3">
        <v>4</v>
      </c>
      <c r="K3" s="3">
        <v>5</v>
      </c>
      <c r="L3" s="3">
        <v>6</v>
      </c>
      <c r="M3" s="3">
        <v>7</v>
      </c>
      <c r="N3" s="3">
        <v>8</v>
      </c>
      <c r="O3" s="3">
        <v>9</v>
      </c>
      <c r="P3" s="3">
        <v>10</v>
      </c>
      <c r="Q3" s="3" t="s">
        <v>6</v>
      </c>
      <c r="R3" s="3" t="s">
        <v>7</v>
      </c>
      <c r="S3" s="3" t="s">
        <v>8</v>
      </c>
      <c r="U3" s="12"/>
      <c r="V3" s="12" t="s">
        <v>5</v>
      </c>
      <c r="W3" s="12">
        <v>2</v>
      </c>
      <c r="X3" s="12">
        <v>3</v>
      </c>
      <c r="Y3" s="12">
        <v>4</v>
      </c>
      <c r="Z3" s="12">
        <v>5</v>
      </c>
      <c r="AA3" s="12">
        <v>6</v>
      </c>
      <c r="AB3" s="12">
        <v>7</v>
      </c>
      <c r="AC3" s="12">
        <v>8</v>
      </c>
      <c r="AD3" s="12">
        <v>9</v>
      </c>
      <c r="AE3" s="12">
        <v>10</v>
      </c>
      <c r="AF3" s="12" t="s">
        <v>6</v>
      </c>
      <c r="AG3" s="12" t="s">
        <v>7</v>
      </c>
      <c r="AH3" s="12" t="s">
        <v>8</v>
      </c>
      <c r="AJ3" s="10"/>
      <c r="AK3" s="10" t="s">
        <v>5</v>
      </c>
      <c r="AL3" s="10">
        <v>2</v>
      </c>
      <c r="AM3" s="10">
        <v>3</v>
      </c>
      <c r="AN3" s="10">
        <v>4</v>
      </c>
      <c r="AO3" s="10">
        <v>5</v>
      </c>
      <c r="AP3" s="10">
        <v>6</v>
      </c>
      <c r="AQ3" s="10">
        <v>7</v>
      </c>
      <c r="AR3" s="10">
        <v>8</v>
      </c>
      <c r="AS3" s="10">
        <v>9</v>
      </c>
      <c r="AT3" s="10">
        <v>10</v>
      </c>
      <c r="AU3" s="10" t="s">
        <v>6</v>
      </c>
      <c r="AV3" s="10" t="s">
        <v>7</v>
      </c>
      <c r="AW3" s="10" t="s">
        <v>8</v>
      </c>
    </row>
    <row r="4" spans="1:49">
      <c r="A4" s="14" t="s">
        <v>9</v>
      </c>
      <c r="B4" s="14"/>
      <c r="C4">
        <v>547345</v>
      </c>
      <c r="D4" s="7">
        <f t="shared" ref="D4:D9" si="0">C4/1000000</f>
        <v>0.54734499999999997</v>
      </c>
      <c r="F4" s="4" t="s">
        <v>10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U4" s="9" t="s">
        <v>10</v>
      </c>
      <c r="V4" s="8">
        <v>156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39</v>
      </c>
      <c r="AF4" s="8">
        <v>42</v>
      </c>
      <c r="AG4" s="8">
        <v>29</v>
      </c>
      <c r="AH4" s="8">
        <v>26</v>
      </c>
      <c r="AJ4" s="9" t="s">
        <v>10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</row>
    <row r="5" spans="1:49">
      <c r="A5" s="14" t="s">
        <v>11</v>
      </c>
      <c r="B5" s="14"/>
      <c r="C5">
        <v>71686</v>
      </c>
      <c r="D5" s="7">
        <f t="shared" si="0"/>
        <v>7.1686E-2</v>
      </c>
      <c r="F5" s="4" t="s">
        <v>12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U5" s="9" t="s">
        <v>12</v>
      </c>
      <c r="V5" s="8">
        <v>305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87</v>
      </c>
      <c r="AF5" s="8">
        <v>76</v>
      </c>
      <c r="AG5" s="8">
        <v>54</v>
      </c>
      <c r="AH5" s="8">
        <v>89</v>
      </c>
      <c r="AJ5" s="9" t="s">
        <v>12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</row>
    <row r="6" spans="1:49">
      <c r="A6" s="14" t="s">
        <v>13</v>
      </c>
      <c r="B6" s="14"/>
      <c r="C6">
        <v>402497</v>
      </c>
      <c r="D6" s="7">
        <f t="shared" si="0"/>
        <v>0.40249699999999999</v>
      </c>
      <c r="F6" s="4" t="s">
        <v>14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U6" s="9" t="s">
        <v>14</v>
      </c>
      <c r="V6" s="8">
        <v>410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109</v>
      </c>
      <c r="AF6" s="8">
        <v>107</v>
      </c>
      <c r="AG6" s="8">
        <v>98</v>
      </c>
      <c r="AH6" s="8">
        <v>106</v>
      </c>
      <c r="AJ6" s="9" t="s">
        <v>14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</row>
    <row r="7" spans="1:49">
      <c r="A7" s="14" t="s">
        <v>15</v>
      </c>
      <c r="B7" s="14"/>
      <c r="C7">
        <v>47783</v>
      </c>
      <c r="D7" s="7">
        <f t="shared" si="0"/>
        <v>4.7782999999999999E-2</v>
      </c>
      <c r="F7" s="4" t="s">
        <v>16</v>
      </c>
      <c r="G7" s="5">
        <v>40</v>
      </c>
      <c r="H7" s="5">
        <v>87</v>
      </c>
      <c r="I7" s="5">
        <v>65</v>
      </c>
      <c r="J7" s="5">
        <v>64</v>
      </c>
      <c r="K7" s="5">
        <v>69</v>
      </c>
      <c r="L7" s="5">
        <v>87</v>
      </c>
      <c r="M7" s="5">
        <v>100</v>
      </c>
      <c r="N7" s="5">
        <v>54</v>
      </c>
      <c r="O7" s="5">
        <v>41</v>
      </c>
      <c r="P7" s="5">
        <v>49</v>
      </c>
      <c r="Q7" s="5">
        <v>58</v>
      </c>
      <c r="R7" s="5">
        <v>52</v>
      </c>
      <c r="S7" s="5">
        <v>43</v>
      </c>
      <c r="U7" s="9" t="s">
        <v>16</v>
      </c>
      <c r="V7" s="8">
        <v>626</v>
      </c>
      <c r="W7" s="8">
        <v>56</v>
      </c>
      <c r="X7" s="8">
        <v>48</v>
      </c>
      <c r="Y7" s="8">
        <v>49</v>
      </c>
      <c r="Z7" s="8">
        <v>52</v>
      </c>
      <c r="AA7" s="8">
        <v>41</v>
      </c>
      <c r="AB7" s="8">
        <v>38</v>
      </c>
      <c r="AC7" s="8">
        <v>58</v>
      </c>
      <c r="AD7" s="8">
        <v>82</v>
      </c>
      <c r="AE7" s="8">
        <v>230</v>
      </c>
      <c r="AF7" s="8">
        <v>203</v>
      </c>
      <c r="AG7" s="8">
        <v>182</v>
      </c>
      <c r="AH7" s="8">
        <v>220</v>
      </c>
      <c r="AJ7" s="9" t="s">
        <v>16</v>
      </c>
      <c r="AK7" s="8">
        <v>16</v>
      </c>
      <c r="AL7" s="8">
        <v>23</v>
      </c>
      <c r="AM7" s="8">
        <v>15</v>
      </c>
      <c r="AN7" s="8">
        <v>18</v>
      </c>
      <c r="AO7" s="8">
        <v>20</v>
      </c>
      <c r="AP7" s="8">
        <v>11</v>
      </c>
      <c r="AQ7" s="8">
        <v>18</v>
      </c>
      <c r="AR7" s="8">
        <v>54</v>
      </c>
      <c r="AS7" s="8">
        <v>16</v>
      </c>
      <c r="AT7" s="8">
        <v>24</v>
      </c>
      <c r="AU7" s="8">
        <v>11</v>
      </c>
      <c r="AV7" s="8">
        <v>10</v>
      </c>
      <c r="AW7" s="8">
        <v>14</v>
      </c>
    </row>
    <row r="8" spans="1:49">
      <c r="A8" s="14" t="s">
        <v>17</v>
      </c>
      <c r="B8" s="14"/>
      <c r="C8">
        <v>127969</v>
      </c>
      <c r="D8" s="7">
        <f t="shared" si="0"/>
        <v>0.127969</v>
      </c>
      <c r="F8" s="4" t="s">
        <v>18</v>
      </c>
      <c r="G8" s="5">
        <v>221</v>
      </c>
      <c r="H8" s="5">
        <v>472</v>
      </c>
      <c r="I8" s="5">
        <v>496</v>
      </c>
      <c r="J8" s="5">
        <v>544</v>
      </c>
      <c r="K8" s="5">
        <v>540</v>
      </c>
      <c r="L8" s="5">
        <v>588</v>
      </c>
      <c r="M8" s="5">
        <v>603</v>
      </c>
      <c r="N8" s="5">
        <v>441</v>
      </c>
      <c r="O8" s="5">
        <v>352</v>
      </c>
      <c r="P8" s="5">
        <v>291</v>
      </c>
      <c r="Q8" s="5">
        <v>308</v>
      </c>
      <c r="R8" s="5">
        <v>326</v>
      </c>
      <c r="S8" s="5">
        <v>339</v>
      </c>
      <c r="U8" s="9" t="s">
        <v>18</v>
      </c>
      <c r="V8" s="8">
        <v>946</v>
      </c>
      <c r="W8" s="8">
        <v>323</v>
      </c>
      <c r="X8" s="8">
        <v>297</v>
      </c>
      <c r="Y8" s="8">
        <v>294</v>
      </c>
      <c r="Z8" s="8">
        <v>292</v>
      </c>
      <c r="AA8" s="8">
        <v>262</v>
      </c>
      <c r="AB8" s="8">
        <v>193</v>
      </c>
      <c r="AC8" s="8">
        <v>268</v>
      </c>
      <c r="AD8" s="8">
        <v>439</v>
      </c>
      <c r="AE8" s="8">
        <v>603</v>
      </c>
      <c r="AF8" s="8">
        <v>637</v>
      </c>
      <c r="AG8" s="8">
        <v>602</v>
      </c>
      <c r="AH8" s="8">
        <v>647</v>
      </c>
      <c r="AJ8" s="9" t="s">
        <v>18</v>
      </c>
      <c r="AK8" s="8">
        <v>120</v>
      </c>
      <c r="AL8" s="8">
        <v>122</v>
      </c>
      <c r="AM8" s="8">
        <v>115</v>
      </c>
      <c r="AN8" s="8">
        <v>107</v>
      </c>
      <c r="AO8" s="8">
        <v>117</v>
      </c>
      <c r="AP8" s="8">
        <v>96</v>
      </c>
      <c r="AQ8" s="8">
        <v>120</v>
      </c>
      <c r="AR8" s="8">
        <v>321</v>
      </c>
      <c r="AS8" s="8">
        <v>149</v>
      </c>
      <c r="AT8" s="8">
        <v>92</v>
      </c>
      <c r="AU8" s="8">
        <v>105</v>
      </c>
      <c r="AV8" s="8">
        <v>113</v>
      </c>
      <c r="AW8" s="8">
        <v>112</v>
      </c>
    </row>
    <row r="9" spans="1:49">
      <c r="A9" s="14" t="s">
        <v>19</v>
      </c>
      <c r="B9" s="14"/>
      <c r="C9">
        <v>47343</v>
      </c>
      <c r="D9" s="7">
        <f t="shared" si="0"/>
        <v>4.7343000000000003E-2</v>
      </c>
      <c r="F9" s="4" t="s">
        <v>20</v>
      </c>
      <c r="G9" s="5">
        <v>525</v>
      </c>
      <c r="H9" s="5">
        <v>842</v>
      </c>
      <c r="I9" s="5">
        <v>945</v>
      </c>
      <c r="J9" s="5">
        <v>902</v>
      </c>
      <c r="K9" s="5">
        <v>934</v>
      </c>
      <c r="L9" s="5">
        <v>946</v>
      </c>
      <c r="M9" s="5">
        <v>1056</v>
      </c>
      <c r="N9" s="5">
        <v>989</v>
      </c>
      <c r="O9" s="5">
        <v>728</v>
      </c>
      <c r="P9" s="5">
        <v>678</v>
      </c>
      <c r="Q9" s="5">
        <v>647</v>
      </c>
      <c r="R9" s="5">
        <v>608</v>
      </c>
      <c r="S9" s="5">
        <v>641</v>
      </c>
      <c r="U9" s="9" t="s">
        <v>20</v>
      </c>
      <c r="V9" s="8">
        <v>1075</v>
      </c>
      <c r="W9" s="8">
        <v>357</v>
      </c>
      <c r="X9" s="8">
        <v>343</v>
      </c>
      <c r="Y9" s="8">
        <v>339</v>
      </c>
      <c r="Z9" s="8">
        <v>328</v>
      </c>
      <c r="AA9" s="8">
        <v>278</v>
      </c>
      <c r="AB9" s="8">
        <v>199</v>
      </c>
      <c r="AC9" s="8">
        <v>226</v>
      </c>
      <c r="AD9" s="8">
        <v>316</v>
      </c>
      <c r="AE9" s="8">
        <v>755</v>
      </c>
      <c r="AF9" s="8">
        <v>712</v>
      </c>
      <c r="AG9" s="8">
        <v>658</v>
      </c>
      <c r="AH9" s="8">
        <v>691</v>
      </c>
      <c r="AJ9" s="9" t="s">
        <v>20</v>
      </c>
      <c r="AK9" s="8">
        <v>182</v>
      </c>
      <c r="AL9" s="8">
        <v>182</v>
      </c>
      <c r="AM9" s="8">
        <v>200</v>
      </c>
      <c r="AN9" s="8">
        <v>147</v>
      </c>
      <c r="AO9" s="8">
        <v>159</v>
      </c>
      <c r="AP9" s="8">
        <v>156</v>
      </c>
      <c r="AQ9" s="8">
        <v>122</v>
      </c>
      <c r="AR9" s="8">
        <v>263</v>
      </c>
      <c r="AS9" s="8">
        <v>425</v>
      </c>
      <c r="AT9" s="8">
        <v>227</v>
      </c>
      <c r="AU9" s="8">
        <v>226</v>
      </c>
      <c r="AV9" s="8">
        <v>220</v>
      </c>
      <c r="AW9" s="8">
        <v>220</v>
      </c>
    </row>
    <row r="10" spans="1:49">
      <c r="A10" s="14" t="s">
        <v>21</v>
      </c>
      <c r="B10" s="14"/>
      <c r="C10" s="6">
        <v>-189122</v>
      </c>
      <c r="D10" s="6"/>
      <c r="F10" s="4" t="s">
        <v>22</v>
      </c>
      <c r="G10" s="5">
        <v>1006</v>
      </c>
      <c r="H10" s="5">
        <v>1542</v>
      </c>
      <c r="I10" s="5">
        <v>1522</v>
      </c>
      <c r="J10" s="5">
        <v>1540</v>
      </c>
      <c r="K10" s="5">
        <v>1528</v>
      </c>
      <c r="L10" s="5">
        <v>1616</v>
      </c>
      <c r="M10" s="5">
        <v>1709</v>
      </c>
      <c r="N10" s="5">
        <v>1559</v>
      </c>
      <c r="O10" s="5">
        <v>1434</v>
      </c>
      <c r="P10" s="5">
        <v>1094</v>
      </c>
      <c r="Q10" s="5">
        <v>1109</v>
      </c>
      <c r="R10" s="5">
        <v>1094</v>
      </c>
      <c r="S10" s="5">
        <v>1138</v>
      </c>
      <c r="U10" s="9" t="s">
        <v>22</v>
      </c>
      <c r="V10" s="8">
        <v>1141</v>
      </c>
      <c r="W10" s="8">
        <v>321</v>
      </c>
      <c r="X10" s="8">
        <v>285</v>
      </c>
      <c r="Y10" s="8">
        <v>305</v>
      </c>
      <c r="Z10" s="8">
        <v>285</v>
      </c>
      <c r="AA10" s="8">
        <v>267</v>
      </c>
      <c r="AB10" s="8">
        <v>189</v>
      </c>
      <c r="AC10" s="8">
        <v>187</v>
      </c>
      <c r="AD10" s="8">
        <v>293</v>
      </c>
      <c r="AE10" s="8">
        <v>499</v>
      </c>
      <c r="AF10" s="8">
        <v>523</v>
      </c>
      <c r="AG10" s="8">
        <v>529</v>
      </c>
      <c r="AH10" s="8">
        <v>545</v>
      </c>
      <c r="AJ10" s="9" t="s">
        <v>22</v>
      </c>
      <c r="AK10" s="8">
        <v>252</v>
      </c>
      <c r="AL10" s="8">
        <v>203</v>
      </c>
      <c r="AM10" s="8">
        <v>198</v>
      </c>
      <c r="AN10" s="8">
        <v>249</v>
      </c>
      <c r="AO10" s="8">
        <v>196</v>
      </c>
      <c r="AP10" s="8">
        <v>156</v>
      </c>
      <c r="AQ10" s="8">
        <v>171</v>
      </c>
      <c r="AR10" s="8">
        <v>214</v>
      </c>
      <c r="AS10" s="8">
        <v>310</v>
      </c>
      <c r="AT10" s="8">
        <v>445</v>
      </c>
      <c r="AU10" s="8">
        <v>457</v>
      </c>
      <c r="AV10" s="8">
        <v>473</v>
      </c>
      <c r="AW10" s="8">
        <v>451</v>
      </c>
    </row>
    <row r="11" spans="1:49">
      <c r="F11" s="4" t="s">
        <v>23</v>
      </c>
      <c r="G11" s="5">
        <v>1310</v>
      </c>
      <c r="H11" s="5">
        <v>2026</v>
      </c>
      <c r="I11" s="5">
        <v>1953</v>
      </c>
      <c r="J11" s="5">
        <v>2068</v>
      </c>
      <c r="K11" s="5">
        <v>1960</v>
      </c>
      <c r="L11" s="5">
        <v>2118</v>
      </c>
      <c r="M11" s="5">
        <v>2110</v>
      </c>
      <c r="N11" s="5">
        <v>2073</v>
      </c>
      <c r="O11" s="5">
        <v>1974</v>
      </c>
      <c r="P11" s="5">
        <v>1687</v>
      </c>
      <c r="Q11" s="5">
        <v>1735</v>
      </c>
      <c r="R11" s="5">
        <v>1722</v>
      </c>
      <c r="S11" s="5">
        <v>1756</v>
      </c>
      <c r="U11" s="9" t="s">
        <v>23</v>
      </c>
      <c r="V11" s="8">
        <v>1510</v>
      </c>
      <c r="W11" s="8">
        <v>589</v>
      </c>
      <c r="X11" s="8">
        <v>576</v>
      </c>
      <c r="Y11" s="8">
        <v>532</v>
      </c>
      <c r="Z11" s="8">
        <v>578</v>
      </c>
      <c r="AA11" s="8">
        <v>556</v>
      </c>
      <c r="AB11" s="8">
        <v>483</v>
      </c>
      <c r="AC11" s="8">
        <v>473</v>
      </c>
      <c r="AD11" s="8">
        <v>593</v>
      </c>
      <c r="AE11" s="8">
        <v>941</v>
      </c>
      <c r="AF11" s="8">
        <v>871</v>
      </c>
      <c r="AG11" s="8">
        <v>919</v>
      </c>
      <c r="AH11" s="8">
        <v>896</v>
      </c>
      <c r="AJ11" s="9" t="s">
        <v>23</v>
      </c>
      <c r="AK11" s="8">
        <v>133</v>
      </c>
      <c r="AL11" s="8">
        <v>154</v>
      </c>
      <c r="AM11" s="8">
        <v>136</v>
      </c>
      <c r="AN11" s="8">
        <v>122</v>
      </c>
      <c r="AO11" s="8">
        <v>110</v>
      </c>
      <c r="AP11" s="8">
        <v>111</v>
      </c>
      <c r="AQ11" s="8">
        <v>96</v>
      </c>
      <c r="AR11" s="8">
        <v>206</v>
      </c>
      <c r="AS11" s="8">
        <v>205</v>
      </c>
      <c r="AT11" s="8">
        <v>211</v>
      </c>
      <c r="AU11" s="8">
        <v>198</v>
      </c>
      <c r="AV11" s="8">
        <v>208</v>
      </c>
      <c r="AW11" s="8">
        <v>186</v>
      </c>
    </row>
    <row r="12" spans="1:49">
      <c r="F12" s="4" t="s">
        <v>24</v>
      </c>
      <c r="G12" s="5">
        <v>1064</v>
      </c>
      <c r="H12" s="5">
        <v>1694</v>
      </c>
      <c r="I12" s="5">
        <v>1751</v>
      </c>
      <c r="J12" s="5">
        <v>1819</v>
      </c>
      <c r="K12" s="5">
        <v>1790</v>
      </c>
      <c r="L12" s="5">
        <v>1872</v>
      </c>
      <c r="M12" s="5">
        <v>1959</v>
      </c>
      <c r="N12" s="5">
        <v>1772</v>
      </c>
      <c r="O12" s="5">
        <v>1546</v>
      </c>
      <c r="P12" s="5">
        <v>1380</v>
      </c>
      <c r="Q12" s="5">
        <v>1339</v>
      </c>
      <c r="R12" s="5">
        <v>1391</v>
      </c>
      <c r="S12" s="5">
        <v>1401</v>
      </c>
      <c r="U12" s="9" t="s">
        <v>24</v>
      </c>
      <c r="V12" s="8">
        <v>4516</v>
      </c>
      <c r="W12" s="8">
        <v>3438</v>
      </c>
      <c r="X12" s="8">
        <v>3410</v>
      </c>
      <c r="Y12" s="8">
        <v>3426</v>
      </c>
      <c r="Z12" s="8">
        <v>3521</v>
      </c>
      <c r="AA12" s="8">
        <v>3534</v>
      </c>
      <c r="AB12" s="8">
        <v>3498</v>
      </c>
      <c r="AC12" s="8">
        <v>3333</v>
      </c>
      <c r="AD12" s="8">
        <v>3543</v>
      </c>
      <c r="AE12" s="8">
        <v>3917</v>
      </c>
      <c r="AF12" s="8">
        <v>3869</v>
      </c>
      <c r="AG12" s="8">
        <v>3836</v>
      </c>
      <c r="AH12" s="8">
        <v>3886</v>
      </c>
      <c r="AJ12" s="9" t="s">
        <v>24</v>
      </c>
      <c r="AK12" s="8">
        <v>225</v>
      </c>
      <c r="AL12" s="8">
        <v>233</v>
      </c>
      <c r="AM12" s="8">
        <v>208</v>
      </c>
      <c r="AN12" s="8">
        <v>192</v>
      </c>
      <c r="AO12" s="8">
        <v>214</v>
      </c>
      <c r="AP12" s="8">
        <v>193</v>
      </c>
      <c r="AQ12" s="8">
        <v>195</v>
      </c>
      <c r="AR12" s="8">
        <v>344</v>
      </c>
      <c r="AS12" s="8">
        <v>380</v>
      </c>
      <c r="AT12" s="8">
        <v>383</v>
      </c>
      <c r="AU12" s="8">
        <v>360</v>
      </c>
      <c r="AV12" s="8">
        <v>340</v>
      </c>
      <c r="AW12" s="8">
        <v>349</v>
      </c>
    </row>
    <row r="13" spans="1:49">
      <c r="F13" s="4" t="s">
        <v>25</v>
      </c>
      <c r="G13" s="5">
        <v>1047</v>
      </c>
      <c r="H13" s="5">
        <v>1705</v>
      </c>
      <c r="I13" s="5">
        <v>1711</v>
      </c>
      <c r="J13" s="5">
        <v>1825</v>
      </c>
      <c r="K13" s="5">
        <v>1807</v>
      </c>
      <c r="L13" s="5">
        <v>1914</v>
      </c>
      <c r="M13" s="5">
        <v>1923</v>
      </c>
      <c r="N13" s="5">
        <v>1667</v>
      </c>
      <c r="O13" s="5">
        <v>1598</v>
      </c>
      <c r="P13" s="5">
        <v>1366</v>
      </c>
      <c r="Q13" s="5">
        <v>1367</v>
      </c>
      <c r="R13" s="5">
        <v>1317</v>
      </c>
      <c r="S13" s="5">
        <v>1317</v>
      </c>
      <c r="U13" s="9" t="s">
        <v>25</v>
      </c>
      <c r="V13" s="8">
        <v>4862</v>
      </c>
      <c r="W13" s="8">
        <v>4019</v>
      </c>
      <c r="X13" s="8">
        <v>3934</v>
      </c>
      <c r="Y13" s="8">
        <v>4002</v>
      </c>
      <c r="Z13" s="8">
        <v>3991</v>
      </c>
      <c r="AA13" s="8">
        <v>3971</v>
      </c>
      <c r="AB13" s="8">
        <v>3984</v>
      </c>
      <c r="AC13" s="8">
        <v>3905</v>
      </c>
      <c r="AD13" s="8">
        <v>4045</v>
      </c>
      <c r="AE13" s="8">
        <v>4441</v>
      </c>
      <c r="AF13" s="8">
        <v>4333</v>
      </c>
      <c r="AG13" s="8">
        <v>4415</v>
      </c>
      <c r="AH13" s="8">
        <v>4293</v>
      </c>
      <c r="AJ13" s="9" t="s">
        <v>25</v>
      </c>
      <c r="AK13" s="8">
        <v>255</v>
      </c>
      <c r="AL13" s="8">
        <v>258</v>
      </c>
      <c r="AM13" s="8">
        <v>216</v>
      </c>
      <c r="AN13" s="8">
        <v>234</v>
      </c>
      <c r="AO13" s="8">
        <v>203</v>
      </c>
      <c r="AP13" s="8">
        <v>168</v>
      </c>
      <c r="AQ13" s="8">
        <v>173</v>
      </c>
      <c r="AR13" s="8">
        <v>342</v>
      </c>
      <c r="AS13" s="8">
        <v>351</v>
      </c>
      <c r="AT13" s="8">
        <v>304</v>
      </c>
      <c r="AU13" s="8">
        <v>323</v>
      </c>
      <c r="AV13" s="8">
        <v>340</v>
      </c>
      <c r="AW13" s="8">
        <v>349</v>
      </c>
    </row>
    <row r="14" spans="1:49">
      <c r="F14" s="4" t="s">
        <v>26</v>
      </c>
      <c r="G14" s="5">
        <v>1117</v>
      </c>
      <c r="H14" s="5">
        <v>1756</v>
      </c>
      <c r="I14" s="5">
        <v>1776</v>
      </c>
      <c r="J14" s="5">
        <v>1763</v>
      </c>
      <c r="K14" s="5">
        <v>1794</v>
      </c>
      <c r="L14" s="5">
        <v>1832</v>
      </c>
      <c r="M14" s="5">
        <v>1975</v>
      </c>
      <c r="N14" s="5">
        <v>1880</v>
      </c>
      <c r="O14" s="5">
        <v>1657</v>
      </c>
      <c r="P14" s="5">
        <v>1369</v>
      </c>
      <c r="Q14" s="5">
        <v>1439</v>
      </c>
      <c r="R14" s="5">
        <v>1405</v>
      </c>
      <c r="S14" s="5">
        <v>1402</v>
      </c>
      <c r="U14" s="9" t="s">
        <v>26</v>
      </c>
      <c r="V14" s="8">
        <v>5169</v>
      </c>
      <c r="W14" s="8">
        <v>4789</v>
      </c>
      <c r="X14" s="8">
        <v>4750</v>
      </c>
      <c r="Y14" s="8">
        <v>4794</v>
      </c>
      <c r="Z14" s="8">
        <v>4821</v>
      </c>
      <c r="AA14" s="8">
        <v>4707</v>
      </c>
      <c r="AB14" s="8">
        <v>4633</v>
      </c>
      <c r="AC14" s="8">
        <v>4700</v>
      </c>
      <c r="AD14" s="8">
        <v>4676</v>
      </c>
      <c r="AE14" s="8">
        <v>4980</v>
      </c>
      <c r="AF14" s="8">
        <v>4945</v>
      </c>
      <c r="AG14" s="8">
        <v>4992</v>
      </c>
      <c r="AH14" s="8">
        <v>5045</v>
      </c>
      <c r="AJ14" s="9" t="s">
        <v>26</v>
      </c>
      <c r="AK14" s="8">
        <v>225</v>
      </c>
      <c r="AL14" s="8">
        <v>245</v>
      </c>
      <c r="AM14" s="8">
        <v>215</v>
      </c>
      <c r="AN14" s="8">
        <v>209</v>
      </c>
      <c r="AO14" s="8">
        <v>209</v>
      </c>
      <c r="AP14" s="8">
        <v>196</v>
      </c>
      <c r="AQ14" s="8">
        <v>192</v>
      </c>
      <c r="AR14" s="8">
        <v>332</v>
      </c>
      <c r="AS14" s="8">
        <v>363</v>
      </c>
      <c r="AT14" s="8">
        <v>327</v>
      </c>
      <c r="AU14" s="8">
        <v>330</v>
      </c>
      <c r="AV14" s="8">
        <v>314</v>
      </c>
      <c r="AW14" s="8">
        <v>332</v>
      </c>
    </row>
    <row r="15" spans="1:49">
      <c r="F15" s="4" t="s">
        <v>27</v>
      </c>
      <c r="G15" s="5">
        <v>1249</v>
      </c>
      <c r="H15" s="5">
        <v>1891</v>
      </c>
      <c r="I15" s="5">
        <v>1750</v>
      </c>
      <c r="J15" s="5">
        <v>1896</v>
      </c>
      <c r="K15" s="5">
        <v>1850</v>
      </c>
      <c r="L15" s="5">
        <v>1944</v>
      </c>
      <c r="M15" s="5">
        <v>2056</v>
      </c>
      <c r="N15" s="5">
        <v>1936</v>
      </c>
      <c r="O15" s="5">
        <v>1623</v>
      </c>
      <c r="P15" s="5">
        <v>1316</v>
      </c>
      <c r="Q15" s="5">
        <v>1411</v>
      </c>
      <c r="R15" s="5">
        <v>1475</v>
      </c>
      <c r="S15" s="5">
        <v>1485</v>
      </c>
      <c r="U15" s="9" t="s">
        <v>27</v>
      </c>
      <c r="V15" s="8">
        <v>5664</v>
      </c>
      <c r="W15" s="8">
        <v>5457</v>
      </c>
      <c r="X15" s="8">
        <v>5494</v>
      </c>
      <c r="Y15" s="8">
        <v>5605</v>
      </c>
      <c r="Z15" s="8">
        <v>5549</v>
      </c>
      <c r="AA15" s="8">
        <v>5524</v>
      </c>
      <c r="AB15" s="8">
        <v>5470</v>
      </c>
      <c r="AC15" s="8">
        <v>5463</v>
      </c>
      <c r="AD15" s="8">
        <v>5501</v>
      </c>
      <c r="AE15" s="8">
        <v>5700</v>
      </c>
      <c r="AF15" s="8">
        <v>5695</v>
      </c>
      <c r="AG15" s="8">
        <v>5727</v>
      </c>
      <c r="AH15" s="8">
        <v>5673</v>
      </c>
      <c r="AJ15" s="9" t="s">
        <v>27</v>
      </c>
      <c r="AK15" s="8">
        <v>261</v>
      </c>
      <c r="AL15" s="8">
        <v>237</v>
      </c>
      <c r="AM15" s="8">
        <v>246</v>
      </c>
      <c r="AN15" s="8">
        <v>231</v>
      </c>
      <c r="AO15" s="8">
        <v>216</v>
      </c>
      <c r="AP15" s="8">
        <v>207</v>
      </c>
      <c r="AQ15" s="8">
        <v>193</v>
      </c>
      <c r="AR15" s="8">
        <v>341</v>
      </c>
      <c r="AS15" s="8">
        <v>367</v>
      </c>
      <c r="AT15" s="8">
        <v>355</v>
      </c>
      <c r="AU15" s="8">
        <v>386</v>
      </c>
      <c r="AV15" s="8">
        <v>342</v>
      </c>
      <c r="AW15" s="8">
        <v>356</v>
      </c>
    </row>
    <row r="16" spans="1:49">
      <c r="F16" s="4" t="s">
        <v>28</v>
      </c>
      <c r="G16" s="5">
        <v>1250</v>
      </c>
      <c r="H16" s="5">
        <v>1907</v>
      </c>
      <c r="I16" s="5">
        <v>1862</v>
      </c>
      <c r="J16" s="5">
        <v>1901</v>
      </c>
      <c r="K16" s="5">
        <v>1932</v>
      </c>
      <c r="L16" s="5">
        <v>1929</v>
      </c>
      <c r="M16" s="5">
        <v>2116</v>
      </c>
      <c r="N16" s="5">
        <v>1879</v>
      </c>
      <c r="O16" s="5">
        <v>1701</v>
      </c>
      <c r="P16" s="5">
        <v>1440</v>
      </c>
      <c r="Q16" s="5">
        <v>1518</v>
      </c>
      <c r="R16" s="5">
        <v>1395</v>
      </c>
      <c r="S16" s="5">
        <v>1459</v>
      </c>
      <c r="U16" s="9" t="s">
        <v>28</v>
      </c>
      <c r="V16" s="8">
        <v>5918</v>
      </c>
      <c r="W16" s="8">
        <v>6317</v>
      </c>
      <c r="X16" s="8">
        <v>6244</v>
      </c>
      <c r="Y16" s="8">
        <v>6357</v>
      </c>
      <c r="Z16" s="8">
        <v>6199</v>
      </c>
      <c r="AA16" s="8">
        <v>6076</v>
      </c>
      <c r="AB16" s="8">
        <v>6102</v>
      </c>
      <c r="AC16" s="8">
        <v>6207</v>
      </c>
      <c r="AD16" s="8">
        <v>6463</v>
      </c>
      <c r="AE16" s="8">
        <v>6305</v>
      </c>
      <c r="AF16" s="8">
        <v>6407</v>
      </c>
      <c r="AG16" s="8">
        <v>6289</v>
      </c>
      <c r="AH16" s="8">
        <v>6287</v>
      </c>
      <c r="AJ16" s="9" t="s">
        <v>28</v>
      </c>
      <c r="AK16" s="8">
        <v>257</v>
      </c>
      <c r="AL16" s="8">
        <v>262</v>
      </c>
      <c r="AM16" s="8">
        <v>236</v>
      </c>
      <c r="AN16" s="8">
        <v>209</v>
      </c>
      <c r="AO16" s="8">
        <v>246</v>
      </c>
      <c r="AP16" s="8">
        <v>190</v>
      </c>
      <c r="AQ16" s="8">
        <v>173</v>
      </c>
      <c r="AR16" s="8">
        <v>395</v>
      </c>
      <c r="AS16" s="8">
        <v>389</v>
      </c>
      <c r="AT16" s="8">
        <v>365</v>
      </c>
      <c r="AU16" s="8">
        <v>363</v>
      </c>
      <c r="AV16" s="8">
        <v>396</v>
      </c>
      <c r="AW16" s="8">
        <v>349</v>
      </c>
    </row>
    <row r="17" spans="6:49">
      <c r="F17" s="4" t="s">
        <v>29</v>
      </c>
      <c r="G17" s="5">
        <v>1020</v>
      </c>
      <c r="H17" s="5">
        <v>1654</v>
      </c>
      <c r="I17" s="5">
        <v>1624</v>
      </c>
      <c r="J17" s="5">
        <v>1614</v>
      </c>
      <c r="K17" s="5">
        <v>1709</v>
      </c>
      <c r="L17" s="5">
        <v>1768</v>
      </c>
      <c r="M17" s="5">
        <v>1699</v>
      </c>
      <c r="N17" s="5">
        <v>1712</v>
      </c>
      <c r="O17" s="5">
        <v>1506</v>
      </c>
      <c r="P17" s="5">
        <v>1275</v>
      </c>
      <c r="Q17" s="5">
        <v>1312</v>
      </c>
      <c r="R17" s="5">
        <v>1259</v>
      </c>
      <c r="S17" s="5">
        <v>1218</v>
      </c>
      <c r="U17" s="9" t="s">
        <v>29</v>
      </c>
      <c r="V17" s="8">
        <v>6251</v>
      </c>
      <c r="W17" s="8">
        <v>6953</v>
      </c>
      <c r="X17" s="8">
        <v>6864</v>
      </c>
      <c r="Y17" s="8">
        <v>6857</v>
      </c>
      <c r="Z17" s="8">
        <v>6894</v>
      </c>
      <c r="AA17" s="8">
        <v>6921</v>
      </c>
      <c r="AB17" s="8">
        <v>6897</v>
      </c>
      <c r="AC17" s="8">
        <v>6814</v>
      </c>
      <c r="AD17" s="8">
        <v>6788</v>
      </c>
      <c r="AE17" s="8">
        <v>6896</v>
      </c>
      <c r="AF17" s="8">
        <v>6911</v>
      </c>
      <c r="AG17" s="8">
        <v>6826</v>
      </c>
      <c r="AH17" s="8">
        <v>6680</v>
      </c>
      <c r="AJ17" s="9" t="s">
        <v>29</v>
      </c>
      <c r="AK17" s="8">
        <v>169</v>
      </c>
      <c r="AL17" s="8">
        <v>139</v>
      </c>
      <c r="AM17" s="8">
        <v>144</v>
      </c>
      <c r="AN17" s="8">
        <v>151</v>
      </c>
      <c r="AO17" s="8">
        <v>150</v>
      </c>
      <c r="AP17" s="8">
        <v>149</v>
      </c>
      <c r="AQ17" s="8">
        <v>110</v>
      </c>
      <c r="AR17" s="8">
        <v>117</v>
      </c>
      <c r="AS17" s="8">
        <v>323</v>
      </c>
      <c r="AT17" s="8">
        <v>321</v>
      </c>
      <c r="AU17" s="8">
        <v>315</v>
      </c>
      <c r="AV17" s="8">
        <v>303</v>
      </c>
      <c r="AW17" s="8">
        <v>299</v>
      </c>
    </row>
    <row r="18" spans="6:49">
      <c r="F18" s="4" t="s">
        <v>30</v>
      </c>
      <c r="G18" s="5">
        <v>1022</v>
      </c>
      <c r="H18" s="5">
        <v>2063</v>
      </c>
      <c r="I18" s="5">
        <v>2101</v>
      </c>
      <c r="J18" s="5">
        <v>2153</v>
      </c>
      <c r="K18" s="5">
        <v>2270</v>
      </c>
      <c r="L18" s="5">
        <v>2410</v>
      </c>
      <c r="M18" s="5">
        <v>2637</v>
      </c>
      <c r="N18" s="5">
        <v>1519</v>
      </c>
      <c r="O18" s="5">
        <v>1382</v>
      </c>
      <c r="P18" s="5">
        <v>1310</v>
      </c>
      <c r="Q18" s="5">
        <v>1282</v>
      </c>
      <c r="R18" s="5">
        <v>1381</v>
      </c>
      <c r="S18" s="5">
        <v>1339</v>
      </c>
      <c r="U18" s="9" t="s">
        <v>30</v>
      </c>
      <c r="V18" s="8">
        <v>2530</v>
      </c>
      <c r="W18" s="8">
        <v>1638</v>
      </c>
      <c r="X18" s="8">
        <v>1484</v>
      </c>
      <c r="Y18" s="8">
        <v>1448</v>
      </c>
      <c r="Z18" s="8">
        <v>1446</v>
      </c>
      <c r="AA18" s="8">
        <v>1270</v>
      </c>
      <c r="AB18" s="8">
        <v>965</v>
      </c>
      <c r="AC18" s="8">
        <v>1099</v>
      </c>
      <c r="AD18" s="8">
        <v>2181</v>
      </c>
      <c r="AE18" s="8">
        <v>2323</v>
      </c>
      <c r="AF18" s="8">
        <v>2415</v>
      </c>
      <c r="AG18" s="8">
        <v>2293</v>
      </c>
      <c r="AH18" s="8">
        <v>2290</v>
      </c>
      <c r="AJ18" s="9" t="s">
        <v>30</v>
      </c>
      <c r="AK18" s="8">
        <v>582</v>
      </c>
      <c r="AL18" s="8">
        <v>594</v>
      </c>
      <c r="AM18" s="8">
        <v>510</v>
      </c>
      <c r="AN18" s="8">
        <v>539</v>
      </c>
      <c r="AO18" s="8">
        <v>470</v>
      </c>
      <c r="AP18" s="8">
        <v>435</v>
      </c>
      <c r="AQ18" s="8">
        <v>545</v>
      </c>
      <c r="AR18" s="8">
        <v>1315</v>
      </c>
      <c r="AS18" s="8">
        <v>450</v>
      </c>
      <c r="AT18" s="8">
        <v>426</v>
      </c>
      <c r="AU18" s="8">
        <v>434</v>
      </c>
      <c r="AV18" s="8">
        <v>430</v>
      </c>
      <c r="AW18" s="8">
        <v>430</v>
      </c>
    </row>
    <row r="19" spans="6:49">
      <c r="F19" s="4" t="s">
        <v>31</v>
      </c>
      <c r="G19" s="5">
        <v>1405</v>
      </c>
      <c r="H19" s="5">
        <v>2332</v>
      </c>
      <c r="I19" s="5">
        <v>2333</v>
      </c>
      <c r="J19" s="5">
        <v>2384</v>
      </c>
      <c r="K19" s="5">
        <v>2387</v>
      </c>
      <c r="L19" s="5">
        <v>2548</v>
      </c>
      <c r="M19" s="5">
        <v>2855</v>
      </c>
      <c r="N19" s="5">
        <v>2747</v>
      </c>
      <c r="O19" s="5">
        <v>1581</v>
      </c>
      <c r="P19" s="5">
        <v>1599</v>
      </c>
      <c r="Q19" s="5">
        <v>1574</v>
      </c>
      <c r="R19" s="5">
        <v>1528</v>
      </c>
      <c r="S19" s="5">
        <v>1576</v>
      </c>
      <c r="U19" s="9" t="s">
        <v>31</v>
      </c>
      <c r="V19" s="8">
        <v>1794</v>
      </c>
      <c r="W19" s="8">
        <v>872</v>
      </c>
      <c r="X19" s="8">
        <v>853</v>
      </c>
      <c r="Y19" s="8">
        <v>826</v>
      </c>
      <c r="Z19" s="8">
        <v>796</v>
      </c>
      <c r="AA19" s="8">
        <v>697</v>
      </c>
      <c r="AB19" s="8">
        <v>544</v>
      </c>
      <c r="AC19" s="8">
        <v>518</v>
      </c>
      <c r="AD19" s="8">
        <v>659</v>
      </c>
      <c r="AE19" s="8">
        <v>1640</v>
      </c>
      <c r="AF19" s="8">
        <v>1688</v>
      </c>
      <c r="AG19" s="8">
        <v>1715</v>
      </c>
      <c r="AH19" s="8">
        <v>1606</v>
      </c>
      <c r="AJ19" s="9" t="s">
        <v>31</v>
      </c>
      <c r="AK19" s="8">
        <v>496</v>
      </c>
      <c r="AL19" s="8">
        <v>469</v>
      </c>
      <c r="AM19" s="8">
        <v>427</v>
      </c>
      <c r="AN19" s="8">
        <v>429</v>
      </c>
      <c r="AO19" s="8">
        <v>436</v>
      </c>
      <c r="AP19" s="8">
        <v>401</v>
      </c>
      <c r="AQ19" s="8">
        <v>249</v>
      </c>
      <c r="AR19" s="8">
        <v>466</v>
      </c>
      <c r="AS19" s="8">
        <v>1256</v>
      </c>
      <c r="AT19" s="8">
        <v>363</v>
      </c>
      <c r="AU19" s="8">
        <v>400</v>
      </c>
      <c r="AV19" s="8">
        <v>412</v>
      </c>
      <c r="AW19" s="8">
        <v>378</v>
      </c>
    </row>
    <row r="20" spans="6:49">
      <c r="F20" s="4" t="s">
        <v>32</v>
      </c>
      <c r="G20" s="5">
        <v>3691</v>
      </c>
      <c r="H20" s="5">
        <v>5498</v>
      </c>
      <c r="I20" s="5">
        <v>5599</v>
      </c>
      <c r="J20" s="5">
        <v>5591</v>
      </c>
      <c r="K20" s="5">
        <v>5619</v>
      </c>
      <c r="L20" s="5">
        <v>5686</v>
      </c>
      <c r="M20" s="5">
        <v>6070</v>
      </c>
      <c r="N20" s="5">
        <v>6200</v>
      </c>
      <c r="O20" s="5">
        <v>5964</v>
      </c>
      <c r="P20" s="5">
        <v>3920</v>
      </c>
      <c r="Q20" s="5">
        <v>3998</v>
      </c>
      <c r="R20" s="5">
        <v>3921</v>
      </c>
      <c r="S20" s="5">
        <v>3842</v>
      </c>
      <c r="U20" s="9" t="s">
        <v>32</v>
      </c>
      <c r="V20" s="8">
        <v>2500</v>
      </c>
      <c r="W20" s="8">
        <v>844</v>
      </c>
      <c r="X20" s="8">
        <v>857</v>
      </c>
      <c r="Y20" s="8">
        <v>816</v>
      </c>
      <c r="Z20" s="8">
        <v>781</v>
      </c>
      <c r="AA20" s="8">
        <v>717</v>
      </c>
      <c r="AB20" s="8">
        <v>526</v>
      </c>
      <c r="AC20" s="8">
        <v>520</v>
      </c>
      <c r="AD20" s="8">
        <v>439</v>
      </c>
      <c r="AE20" s="8">
        <v>800</v>
      </c>
      <c r="AF20" s="8">
        <v>771</v>
      </c>
      <c r="AG20" s="8">
        <v>821</v>
      </c>
      <c r="AH20" s="8">
        <v>833</v>
      </c>
      <c r="AJ20" s="9" t="s">
        <v>32</v>
      </c>
      <c r="AK20" s="8">
        <v>1007</v>
      </c>
      <c r="AL20" s="8">
        <v>928</v>
      </c>
      <c r="AM20" s="8">
        <v>839</v>
      </c>
      <c r="AN20" s="8">
        <v>823</v>
      </c>
      <c r="AO20" s="8">
        <v>843</v>
      </c>
      <c r="AP20" s="8">
        <v>772</v>
      </c>
      <c r="AQ20" s="8">
        <v>553</v>
      </c>
      <c r="AR20" s="8">
        <v>515</v>
      </c>
      <c r="AS20" s="8">
        <v>901</v>
      </c>
      <c r="AT20" s="8">
        <v>2480</v>
      </c>
      <c r="AU20" s="8">
        <v>2386</v>
      </c>
      <c r="AV20" s="8">
        <v>2377</v>
      </c>
      <c r="AW20" s="8">
        <v>2375</v>
      </c>
    </row>
    <row r="21" spans="6:49">
      <c r="F21" s="4" t="s">
        <v>33</v>
      </c>
      <c r="G21" s="5">
        <v>44</v>
      </c>
      <c r="H21" s="5">
        <v>123</v>
      </c>
      <c r="I21" s="5">
        <v>104</v>
      </c>
      <c r="J21" s="5">
        <v>94</v>
      </c>
      <c r="K21" s="5">
        <v>102</v>
      </c>
      <c r="L21" s="5">
        <v>114</v>
      </c>
      <c r="M21" s="5">
        <v>110</v>
      </c>
      <c r="N21" s="5">
        <v>100</v>
      </c>
      <c r="O21" s="5">
        <v>99</v>
      </c>
      <c r="P21" s="5">
        <v>79</v>
      </c>
      <c r="Q21" s="5">
        <v>73</v>
      </c>
      <c r="R21" s="5">
        <v>73</v>
      </c>
      <c r="S21" s="5">
        <v>95</v>
      </c>
      <c r="U21" s="9" t="s">
        <v>33</v>
      </c>
      <c r="V21" s="8">
        <v>239</v>
      </c>
      <c r="W21" s="8">
        <v>189</v>
      </c>
      <c r="X21" s="8">
        <v>199</v>
      </c>
      <c r="Y21" s="8">
        <v>203</v>
      </c>
      <c r="Z21" s="8">
        <v>175</v>
      </c>
      <c r="AA21" s="8">
        <v>202</v>
      </c>
      <c r="AB21" s="8">
        <v>190</v>
      </c>
      <c r="AC21" s="8">
        <v>201</v>
      </c>
      <c r="AD21" s="8">
        <v>207</v>
      </c>
      <c r="AE21" s="8">
        <v>205</v>
      </c>
      <c r="AF21" s="8">
        <v>227</v>
      </c>
      <c r="AG21" s="8">
        <v>226</v>
      </c>
      <c r="AH21" s="8">
        <v>217</v>
      </c>
      <c r="AJ21" s="9" t="s">
        <v>33</v>
      </c>
      <c r="AK21" s="8">
        <v>13</v>
      </c>
      <c r="AL21" s="8">
        <v>17</v>
      </c>
      <c r="AM21" s="8">
        <v>14</v>
      </c>
      <c r="AN21" s="8">
        <v>10</v>
      </c>
      <c r="AO21" s="8">
        <v>13</v>
      </c>
      <c r="AP21" s="8">
        <v>16</v>
      </c>
      <c r="AQ21" s="8">
        <v>9</v>
      </c>
      <c r="AR21" s="8">
        <v>14</v>
      </c>
      <c r="AS21" s="8">
        <v>17</v>
      </c>
      <c r="AT21" s="8">
        <v>20</v>
      </c>
      <c r="AU21" s="8">
        <v>23</v>
      </c>
      <c r="AV21" s="8">
        <v>16</v>
      </c>
      <c r="AW21" s="8">
        <v>19</v>
      </c>
    </row>
    <row r="22" spans="6:49">
      <c r="F22" s="4" t="s">
        <v>34</v>
      </c>
      <c r="G22" s="5">
        <v>116</v>
      </c>
      <c r="H22" s="5">
        <v>209</v>
      </c>
      <c r="I22" s="5">
        <v>208</v>
      </c>
      <c r="J22" s="5">
        <v>224</v>
      </c>
      <c r="K22" s="5">
        <v>203</v>
      </c>
      <c r="L22" s="5">
        <v>207</v>
      </c>
      <c r="M22" s="5">
        <v>246</v>
      </c>
      <c r="N22" s="5">
        <v>209</v>
      </c>
      <c r="O22" s="5">
        <v>194</v>
      </c>
      <c r="P22" s="5">
        <v>144</v>
      </c>
      <c r="Q22" s="5">
        <v>165</v>
      </c>
      <c r="R22" s="5">
        <v>160</v>
      </c>
      <c r="S22" s="5">
        <v>158</v>
      </c>
      <c r="U22" s="9" t="s">
        <v>34</v>
      </c>
      <c r="V22" s="8">
        <v>575</v>
      </c>
      <c r="W22" s="8">
        <v>438</v>
      </c>
      <c r="X22" s="8">
        <v>490</v>
      </c>
      <c r="Y22" s="8">
        <v>483</v>
      </c>
      <c r="Z22" s="8">
        <v>484</v>
      </c>
      <c r="AA22" s="8">
        <v>449</v>
      </c>
      <c r="AB22" s="8">
        <v>451</v>
      </c>
      <c r="AC22" s="8">
        <v>428</v>
      </c>
      <c r="AD22" s="8">
        <v>476</v>
      </c>
      <c r="AE22" s="8">
        <v>552</v>
      </c>
      <c r="AF22" s="8">
        <v>538</v>
      </c>
      <c r="AG22" s="8">
        <v>547</v>
      </c>
      <c r="AH22" s="8">
        <v>482</v>
      </c>
      <c r="AJ22" s="9" t="s">
        <v>34</v>
      </c>
      <c r="AK22" s="8">
        <v>18</v>
      </c>
      <c r="AL22" s="8">
        <v>35</v>
      </c>
      <c r="AM22" s="8">
        <v>28</v>
      </c>
      <c r="AN22" s="8">
        <v>22</v>
      </c>
      <c r="AO22" s="8">
        <v>23</v>
      </c>
      <c r="AP22" s="8">
        <v>24</v>
      </c>
      <c r="AQ22" s="8">
        <v>23</v>
      </c>
      <c r="AR22" s="8">
        <v>49</v>
      </c>
      <c r="AS22" s="8">
        <v>41</v>
      </c>
      <c r="AT22" s="8">
        <v>39</v>
      </c>
      <c r="AU22" s="8">
        <v>53</v>
      </c>
      <c r="AV22" s="8">
        <v>39</v>
      </c>
      <c r="AW22" s="8">
        <v>46</v>
      </c>
    </row>
    <row r="23" spans="6:49">
      <c r="F23" s="4" t="s">
        <v>35</v>
      </c>
      <c r="G23" s="5">
        <v>138</v>
      </c>
      <c r="H23" s="5">
        <v>212</v>
      </c>
      <c r="I23" s="5">
        <v>210</v>
      </c>
      <c r="J23" s="5">
        <v>222</v>
      </c>
      <c r="K23" s="5">
        <v>211</v>
      </c>
      <c r="L23" s="5">
        <v>235</v>
      </c>
      <c r="M23" s="5">
        <v>245</v>
      </c>
      <c r="N23" s="5">
        <v>223</v>
      </c>
      <c r="O23" s="5">
        <v>209</v>
      </c>
      <c r="P23" s="5">
        <v>157</v>
      </c>
      <c r="Q23" s="5">
        <v>146</v>
      </c>
      <c r="R23" s="5">
        <v>155</v>
      </c>
      <c r="S23" s="5">
        <v>173</v>
      </c>
      <c r="U23" s="9" t="s">
        <v>35</v>
      </c>
      <c r="V23" s="8">
        <v>648</v>
      </c>
      <c r="W23" s="8">
        <v>574</v>
      </c>
      <c r="X23" s="8">
        <v>511</v>
      </c>
      <c r="Y23" s="8">
        <v>531</v>
      </c>
      <c r="Z23" s="8">
        <v>529</v>
      </c>
      <c r="AA23" s="8">
        <v>552</v>
      </c>
      <c r="AB23" s="8">
        <v>534</v>
      </c>
      <c r="AC23" s="8">
        <v>509</v>
      </c>
      <c r="AD23" s="8">
        <v>592</v>
      </c>
      <c r="AE23" s="8">
        <v>617</v>
      </c>
      <c r="AF23" s="8">
        <v>598</v>
      </c>
      <c r="AG23" s="8">
        <v>604</v>
      </c>
      <c r="AH23" s="8">
        <v>610</v>
      </c>
      <c r="AJ23" s="9" t="s">
        <v>35</v>
      </c>
      <c r="AK23" s="8">
        <v>28</v>
      </c>
      <c r="AL23" s="8">
        <v>34</v>
      </c>
      <c r="AM23" s="8">
        <v>24</v>
      </c>
      <c r="AN23" s="8">
        <v>22</v>
      </c>
      <c r="AO23" s="8">
        <v>21</v>
      </c>
      <c r="AP23" s="8">
        <v>26</v>
      </c>
      <c r="AQ23" s="8">
        <v>23</v>
      </c>
      <c r="AR23" s="8">
        <v>41</v>
      </c>
      <c r="AS23" s="8">
        <v>40</v>
      </c>
      <c r="AT23" s="8">
        <v>40</v>
      </c>
      <c r="AU23" s="8">
        <v>43</v>
      </c>
      <c r="AV23" s="8">
        <v>43</v>
      </c>
      <c r="AW23" s="8">
        <v>29</v>
      </c>
    </row>
    <row r="24" spans="6:49">
      <c r="F24" s="4" t="s">
        <v>36</v>
      </c>
      <c r="G24" s="5">
        <v>139</v>
      </c>
      <c r="H24" s="5">
        <v>236</v>
      </c>
      <c r="I24" s="5">
        <v>258</v>
      </c>
      <c r="J24" s="5">
        <v>235</v>
      </c>
      <c r="K24" s="5">
        <v>249</v>
      </c>
      <c r="L24" s="5">
        <v>226</v>
      </c>
      <c r="M24" s="5">
        <v>279</v>
      </c>
      <c r="N24" s="5">
        <v>262</v>
      </c>
      <c r="O24" s="5">
        <v>211</v>
      </c>
      <c r="P24" s="5">
        <v>192</v>
      </c>
      <c r="Q24" s="5">
        <v>183</v>
      </c>
      <c r="R24" s="5">
        <v>201</v>
      </c>
      <c r="S24" s="5">
        <v>185</v>
      </c>
      <c r="U24" s="9" t="s">
        <v>36</v>
      </c>
      <c r="V24" s="8">
        <v>740</v>
      </c>
      <c r="W24" s="8">
        <v>710</v>
      </c>
      <c r="X24" s="8">
        <v>729</v>
      </c>
      <c r="Y24" s="8">
        <v>692</v>
      </c>
      <c r="Z24" s="8">
        <v>688</v>
      </c>
      <c r="AA24" s="8">
        <v>714</v>
      </c>
      <c r="AB24" s="8">
        <v>620</v>
      </c>
      <c r="AC24" s="8">
        <v>684</v>
      </c>
      <c r="AD24" s="8">
        <v>683</v>
      </c>
      <c r="AE24" s="8">
        <v>756</v>
      </c>
      <c r="AF24" s="8">
        <v>729</v>
      </c>
      <c r="AG24" s="8">
        <v>767</v>
      </c>
      <c r="AH24" s="8">
        <v>736</v>
      </c>
      <c r="AJ24" s="9" t="s">
        <v>36</v>
      </c>
      <c r="AK24" s="8">
        <v>39</v>
      </c>
      <c r="AL24" s="8">
        <v>39</v>
      </c>
      <c r="AM24" s="8">
        <v>31</v>
      </c>
      <c r="AN24" s="8">
        <v>28</v>
      </c>
      <c r="AO24" s="8">
        <v>37</v>
      </c>
      <c r="AP24" s="8">
        <v>23</v>
      </c>
      <c r="AQ24" s="8">
        <v>20</v>
      </c>
      <c r="AR24" s="8">
        <v>30</v>
      </c>
      <c r="AS24" s="8">
        <v>47</v>
      </c>
      <c r="AT24" s="8">
        <v>47</v>
      </c>
      <c r="AU24" s="8">
        <v>51</v>
      </c>
      <c r="AV24" s="8">
        <v>54</v>
      </c>
      <c r="AW24" s="8">
        <v>54</v>
      </c>
    </row>
    <row r="25" spans="6:49">
      <c r="F25" s="4" t="s">
        <v>37</v>
      </c>
      <c r="G25" s="5">
        <v>152</v>
      </c>
      <c r="H25" s="5">
        <v>256</v>
      </c>
      <c r="I25" s="5">
        <v>264</v>
      </c>
      <c r="J25" s="5">
        <v>255</v>
      </c>
      <c r="K25" s="5">
        <v>264</v>
      </c>
      <c r="L25" s="5">
        <v>265</v>
      </c>
      <c r="M25" s="5">
        <v>279</v>
      </c>
      <c r="N25" s="5">
        <v>248</v>
      </c>
      <c r="O25" s="5">
        <v>232</v>
      </c>
      <c r="P25" s="5">
        <v>192</v>
      </c>
      <c r="Q25" s="5">
        <v>204</v>
      </c>
      <c r="R25" s="5">
        <v>206</v>
      </c>
      <c r="S25" s="5">
        <v>169</v>
      </c>
      <c r="U25" s="9" t="s">
        <v>37</v>
      </c>
      <c r="V25" s="8">
        <v>807</v>
      </c>
      <c r="W25" s="8">
        <v>875</v>
      </c>
      <c r="X25" s="8">
        <v>916</v>
      </c>
      <c r="Y25" s="8">
        <v>893</v>
      </c>
      <c r="Z25" s="8">
        <v>823</v>
      </c>
      <c r="AA25" s="8">
        <v>883</v>
      </c>
      <c r="AB25" s="8">
        <v>903</v>
      </c>
      <c r="AC25" s="8">
        <v>924</v>
      </c>
      <c r="AD25" s="8">
        <v>860</v>
      </c>
      <c r="AE25" s="8">
        <v>838</v>
      </c>
      <c r="AF25" s="8">
        <v>895</v>
      </c>
      <c r="AG25" s="8">
        <v>943</v>
      </c>
      <c r="AH25" s="8">
        <v>903</v>
      </c>
      <c r="AJ25" s="9" t="s">
        <v>37</v>
      </c>
      <c r="AK25" s="8">
        <v>32</v>
      </c>
      <c r="AL25" s="8">
        <v>35</v>
      </c>
      <c r="AM25" s="8">
        <v>37</v>
      </c>
      <c r="AN25" s="8">
        <v>31</v>
      </c>
      <c r="AO25" s="8">
        <v>30</v>
      </c>
      <c r="AP25" s="8">
        <v>30</v>
      </c>
      <c r="AQ25" s="8">
        <v>26</v>
      </c>
      <c r="AR25" s="8">
        <v>61</v>
      </c>
      <c r="AS25" s="8">
        <v>52</v>
      </c>
      <c r="AT25" s="8">
        <v>46</v>
      </c>
      <c r="AU25" s="8">
        <v>40</v>
      </c>
      <c r="AV25" s="8">
        <v>44</v>
      </c>
      <c r="AW25" s="8">
        <v>59</v>
      </c>
    </row>
    <row r="26" spans="6:49">
      <c r="F26" s="4" t="s">
        <v>38</v>
      </c>
      <c r="G26" s="5">
        <v>143</v>
      </c>
      <c r="H26" s="5">
        <v>235</v>
      </c>
      <c r="I26" s="5">
        <v>244</v>
      </c>
      <c r="J26" s="5">
        <v>249</v>
      </c>
      <c r="K26" s="5">
        <v>271</v>
      </c>
      <c r="L26" s="5">
        <v>241</v>
      </c>
      <c r="M26" s="5">
        <v>223</v>
      </c>
      <c r="N26" s="5">
        <v>265</v>
      </c>
      <c r="O26" s="5">
        <v>219</v>
      </c>
      <c r="P26" s="5">
        <v>172</v>
      </c>
      <c r="Q26" s="5">
        <v>201</v>
      </c>
      <c r="R26" s="5">
        <v>186</v>
      </c>
      <c r="S26" s="5">
        <v>179</v>
      </c>
      <c r="U26" s="9" t="s">
        <v>38</v>
      </c>
      <c r="V26" s="8">
        <v>872</v>
      </c>
      <c r="W26" s="8">
        <v>1027</v>
      </c>
      <c r="X26" s="8">
        <v>993</v>
      </c>
      <c r="Y26" s="8">
        <v>985</v>
      </c>
      <c r="Z26" s="8">
        <v>1033</v>
      </c>
      <c r="AA26" s="8">
        <v>1051</v>
      </c>
      <c r="AB26" s="8">
        <v>1048</v>
      </c>
      <c r="AC26" s="8">
        <v>1048</v>
      </c>
      <c r="AD26" s="8">
        <v>1009</v>
      </c>
      <c r="AE26" s="8">
        <v>964</v>
      </c>
      <c r="AF26" s="8">
        <v>1010</v>
      </c>
      <c r="AG26" s="8">
        <v>1046</v>
      </c>
      <c r="AH26" s="8">
        <v>1078</v>
      </c>
      <c r="AJ26" s="9" t="s">
        <v>38</v>
      </c>
      <c r="AK26" s="8">
        <v>23</v>
      </c>
      <c r="AL26" s="8">
        <v>28</v>
      </c>
      <c r="AM26" s="8">
        <v>27</v>
      </c>
      <c r="AN26" s="8">
        <v>22</v>
      </c>
      <c r="AO26" s="8">
        <v>21</v>
      </c>
      <c r="AP26" s="8">
        <v>22</v>
      </c>
      <c r="AQ26" s="8">
        <v>16</v>
      </c>
      <c r="AR26" s="8">
        <v>26</v>
      </c>
      <c r="AS26" s="8">
        <v>44</v>
      </c>
      <c r="AT26" s="8">
        <v>46</v>
      </c>
      <c r="AU26" s="8">
        <v>46</v>
      </c>
      <c r="AV26" s="8">
        <v>50</v>
      </c>
      <c r="AW26" s="8">
        <v>54</v>
      </c>
    </row>
    <row r="27" spans="6:49">
      <c r="F27" s="4" t="s">
        <v>39</v>
      </c>
      <c r="G27" s="5">
        <v>227</v>
      </c>
      <c r="H27" s="5">
        <v>467</v>
      </c>
      <c r="I27" s="5">
        <v>463</v>
      </c>
      <c r="J27" s="5">
        <v>481</v>
      </c>
      <c r="K27" s="5">
        <v>492</v>
      </c>
      <c r="L27" s="5">
        <v>544</v>
      </c>
      <c r="M27" s="5">
        <v>594</v>
      </c>
      <c r="N27" s="5">
        <v>362</v>
      </c>
      <c r="O27" s="5">
        <v>331</v>
      </c>
      <c r="P27" s="5">
        <v>316</v>
      </c>
      <c r="Q27" s="5">
        <v>263</v>
      </c>
      <c r="R27" s="5">
        <v>286</v>
      </c>
      <c r="S27" s="5">
        <v>308</v>
      </c>
      <c r="U27" s="9" t="s">
        <v>39</v>
      </c>
      <c r="V27" s="8">
        <v>579</v>
      </c>
      <c r="W27" s="8">
        <v>323</v>
      </c>
      <c r="X27" s="8">
        <v>361</v>
      </c>
      <c r="Y27" s="8">
        <v>321</v>
      </c>
      <c r="Z27" s="8">
        <v>322</v>
      </c>
      <c r="AA27" s="8">
        <v>304</v>
      </c>
      <c r="AB27" s="8">
        <v>197</v>
      </c>
      <c r="AC27" s="8">
        <v>226</v>
      </c>
      <c r="AD27" s="8">
        <v>484</v>
      </c>
      <c r="AE27" s="8">
        <v>544</v>
      </c>
      <c r="AF27" s="8">
        <v>511</v>
      </c>
      <c r="AG27" s="8">
        <v>533</v>
      </c>
      <c r="AH27" s="8">
        <v>578</v>
      </c>
      <c r="AJ27" s="9" t="s">
        <v>39</v>
      </c>
      <c r="AK27" s="8">
        <v>94</v>
      </c>
      <c r="AL27" s="8">
        <v>140</v>
      </c>
      <c r="AM27" s="8">
        <v>116</v>
      </c>
      <c r="AN27" s="8">
        <v>112</v>
      </c>
      <c r="AO27" s="8">
        <v>111</v>
      </c>
      <c r="AP27" s="8">
        <v>98</v>
      </c>
      <c r="AQ27" s="8">
        <v>105</v>
      </c>
      <c r="AR27" s="8">
        <v>320</v>
      </c>
      <c r="AS27" s="8">
        <v>121</v>
      </c>
      <c r="AT27" s="8">
        <v>102</v>
      </c>
      <c r="AU27" s="8">
        <v>99</v>
      </c>
      <c r="AV27" s="8">
        <v>121</v>
      </c>
      <c r="AW27" s="8">
        <v>117</v>
      </c>
    </row>
    <row r="28" spans="6:49">
      <c r="F28" s="4" t="s">
        <v>40</v>
      </c>
      <c r="G28" s="5">
        <v>324</v>
      </c>
      <c r="H28" s="5">
        <v>576</v>
      </c>
      <c r="I28" s="5">
        <v>549</v>
      </c>
      <c r="J28" s="5">
        <v>585</v>
      </c>
      <c r="K28" s="5">
        <v>580</v>
      </c>
      <c r="L28" s="5">
        <v>650</v>
      </c>
      <c r="M28" s="5">
        <v>708</v>
      </c>
      <c r="N28" s="5">
        <v>622</v>
      </c>
      <c r="O28" s="5">
        <v>455</v>
      </c>
      <c r="P28" s="5">
        <v>377</v>
      </c>
      <c r="Q28" s="5">
        <v>439</v>
      </c>
      <c r="R28" s="5">
        <v>401</v>
      </c>
      <c r="S28" s="5">
        <v>381</v>
      </c>
      <c r="U28" s="9" t="s">
        <v>40</v>
      </c>
      <c r="V28" s="8">
        <v>466</v>
      </c>
      <c r="W28" s="8">
        <v>229</v>
      </c>
      <c r="X28" s="8">
        <v>244</v>
      </c>
      <c r="Y28" s="8">
        <v>218</v>
      </c>
      <c r="Z28" s="8">
        <v>217</v>
      </c>
      <c r="AA28" s="8">
        <v>188</v>
      </c>
      <c r="AB28" s="8">
        <v>152</v>
      </c>
      <c r="AC28" s="8">
        <v>118</v>
      </c>
      <c r="AD28" s="8">
        <v>158</v>
      </c>
      <c r="AE28" s="8">
        <v>447</v>
      </c>
      <c r="AF28" s="8">
        <v>428</v>
      </c>
      <c r="AG28" s="8">
        <v>418</v>
      </c>
      <c r="AH28" s="8">
        <v>446</v>
      </c>
      <c r="AJ28" s="9" t="s">
        <v>40</v>
      </c>
      <c r="AK28" s="8">
        <v>110</v>
      </c>
      <c r="AL28" s="8">
        <v>130</v>
      </c>
      <c r="AM28" s="8">
        <v>128</v>
      </c>
      <c r="AN28" s="8">
        <v>126</v>
      </c>
      <c r="AO28" s="8">
        <v>115</v>
      </c>
      <c r="AP28" s="8">
        <v>101</v>
      </c>
      <c r="AQ28" s="8">
        <v>67</v>
      </c>
      <c r="AR28" s="8">
        <v>123</v>
      </c>
      <c r="AS28" s="8">
        <v>338</v>
      </c>
      <c r="AT28" s="8">
        <v>91</v>
      </c>
      <c r="AU28" s="8">
        <v>92</v>
      </c>
      <c r="AV28" s="8">
        <v>110</v>
      </c>
      <c r="AW28" s="8">
        <v>103</v>
      </c>
    </row>
    <row r="29" spans="6:49">
      <c r="F29" s="4" t="s">
        <v>41</v>
      </c>
      <c r="G29" s="5">
        <v>441</v>
      </c>
      <c r="H29" s="5">
        <v>738</v>
      </c>
      <c r="I29" s="5">
        <v>701</v>
      </c>
      <c r="J29" s="5">
        <v>720</v>
      </c>
      <c r="K29" s="5">
        <v>733</v>
      </c>
      <c r="L29" s="5">
        <v>776</v>
      </c>
      <c r="M29" s="5">
        <v>779</v>
      </c>
      <c r="N29" s="5">
        <v>804</v>
      </c>
      <c r="O29" s="5">
        <v>711</v>
      </c>
      <c r="P29" s="5">
        <v>480</v>
      </c>
      <c r="Q29" s="5">
        <v>476</v>
      </c>
      <c r="R29" s="5">
        <v>481</v>
      </c>
      <c r="S29" s="5">
        <v>478</v>
      </c>
      <c r="U29" s="9" t="s">
        <v>41</v>
      </c>
      <c r="V29" s="8">
        <v>325</v>
      </c>
      <c r="W29" s="8">
        <v>95</v>
      </c>
      <c r="X29" s="8">
        <v>97</v>
      </c>
      <c r="Y29" s="8">
        <v>97</v>
      </c>
      <c r="Z29" s="8">
        <v>106</v>
      </c>
      <c r="AA29" s="8">
        <v>93</v>
      </c>
      <c r="AB29" s="8">
        <v>65</v>
      </c>
      <c r="AC29" s="8">
        <v>72</v>
      </c>
      <c r="AD29" s="8">
        <v>56</v>
      </c>
      <c r="AE29" s="8">
        <v>101</v>
      </c>
      <c r="AF29" s="8">
        <v>110</v>
      </c>
      <c r="AG29" s="8">
        <v>90</v>
      </c>
      <c r="AH29" s="8">
        <v>102</v>
      </c>
      <c r="AJ29" s="9" t="s">
        <v>41</v>
      </c>
      <c r="AK29" s="8">
        <v>92</v>
      </c>
      <c r="AL29" s="8">
        <v>107</v>
      </c>
      <c r="AM29" s="8">
        <v>120</v>
      </c>
      <c r="AN29" s="8">
        <v>97</v>
      </c>
      <c r="AO29" s="8">
        <v>129</v>
      </c>
      <c r="AP29" s="8">
        <v>79</v>
      </c>
      <c r="AQ29" s="8">
        <v>63</v>
      </c>
      <c r="AR29" s="8">
        <v>53</v>
      </c>
      <c r="AS29" s="8">
        <v>98</v>
      </c>
      <c r="AT29" s="8">
        <v>297</v>
      </c>
      <c r="AU29" s="8">
        <v>329</v>
      </c>
      <c r="AV29" s="8">
        <v>305</v>
      </c>
      <c r="AW29" s="8">
        <v>294</v>
      </c>
    </row>
    <row r="30" spans="6:49">
      <c r="F30" s="4" t="s">
        <v>42</v>
      </c>
      <c r="G30" s="5">
        <v>2451</v>
      </c>
      <c r="H30" s="5">
        <v>3697</v>
      </c>
      <c r="I30" s="5">
        <v>3696</v>
      </c>
      <c r="J30" s="5">
        <v>3684</v>
      </c>
      <c r="K30" s="5">
        <v>3642</v>
      </c>
      <c r="L30" s="5">
        <v>3696</v>
      </c>
      <c r="M30" s="5">
        <v>3654</v>
      </c>
      <c r="N30" s="5">
        <v>3681</v>
      </c>
      <c r="O30" s="5">
        <v>3653</v>
      </c>
      <c r="P30" s="5">
        <v>3444</v>
      </c>
      <c r="Q30" s="5">
        <v>3415</v>
      </c>
      <c r="R30" s="5">
        <v>3330</v>
      </c>
      <c r="S30" s="5">
        <v>3449</v>
      </c>
      <c r="U30" s="9" t="s">
        <v>42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J30" s="9" t="s">
        <v>42</v>
      </c>
      <c r="AK30" s="8">
        <v>1115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286</v>
      </c>
      <c r="AU30" s="8">
        <v>295</v>
      </c>
      <c r="AV30" s="8">
        <v>287</v>
      </c>
      <c r="AW30" s="8">
        <v>308</v>
      </c>
    </row>
    <row r="32" spans="6:49">
      <c r="F32" s="2" t="s">
        <v>43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 t="s">
        <v>44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J32" s="2" t="s">
        <v>3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6:49">
      <c r="F33" s="3"/>
      <c r="G33" s="3" t="s">
        <v>5</v>
      </c>
      <c r="H33" s="3">
        <v>2</v>
      </c>
      <c r="I33" s="3">
        <v>3</v>
      </c>
      <c r="J33" s="3">
        <v>4</v>
      </c>
      <c r="K33" s="3">
        <v>5</v>
      </c>
      <c r="L33" s="3">
        <v>6</v>
      </c>
      <c r="M33" s="3">
        <v>7</v>
      </c>
      <c r="N33" s="3">
        <v>8</v>
      </c>
      <c r="O33" s="3">
        <v>9</v>
      </c>
      <c r="P33" s="3">
        <v>10</v>
      </c>
      <c r="Q33" s="3" t="s">
        <v>6</v>
      </c>
      <c r="R33" s="3" t="s">
        <v>7</v>
      </c>
      <c r="S33" s="3" t="s">
        <v>8</v>
      </c>
      <c r="U33" s="12"/>
      <c r="V33" s="12" t="s">
        <v>5</v>
      </c>
      <c r="W33" s="12">
        <v>2</v>
      </c>
      <c r="X33" s="12">
        <v>3</v>
      </c>
      <c r="Y33" s="12">
        <v>4</v>
      </c>
      <c r="Z33" s="12">
        <v>5</v>
      </c>
      <c r="AA33" s="12">
        <v>6</v>
      </c>
      <c r="AB33" s="12">
        <v>7</v>
      </c>
      <c r="AC33" s="12">
        <v>8</v>
      </c>
      <c r="AD33" s="12">
        <v>9</v>
      </c>
      <c r="AE33" s="12">
        <v>10</v>
      </c>
      <c r="AF33" s="12" t="s">
        <v>6</v>
      </c>
      <c r="AG33" s="12" t="s">
        <v>7</v>
      </c>
      <c r="AH33" s="12" t="s">
        <v>8</v>
      </c>
      <c r="AJ33" s="10"/>
      <c r="AK33" s="10" t="s">
        <v>5</v>
      </c>
      <c r="AL33" s="10">
        <v>2</v>
      </c>
      <c r="AM33" s="10">
        <v>3</v>
      </c>
      <c r="AN33" s="10">
        <v>4</v>
      </c>
      <c r="AO33" s="10">
        <v>5</v>
      </c>
      <c r="AP33" s="10">
        <v>6</v>
      </c>
      <c r="AQ33" s="10">
        <v>7</v>
      </c>
      <c r="AR33" s="10">
        <v>8</v>
      </c>
      <c r="AS33" s="10">
        <v>9</v>
      </c>
      <c r="AT33" s="10">
        <v>10</v>
      </c>
      <c r="AU33" s="10" t="s">
        <v>6</v>
      </c>
      <c r="AV33" s="10" t="s">
        <v>7</v>
      </c>
      <c r="AW33" s="10" t="s">
        <v>8</v>
      </c>
    </row>
    <row r="34" spans="6:49">
      <c r="F34" s="4" t="s">
        <v>10</v>
      </c>
      <c r="G34" s="11">
        <f>G4/SUM(G4,V4,AK4)</f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f t="shared" ref="H34:S34" si="1">P4/SUM(P4,AE4,AT4)</f>
        <v>0</v>
      </c>
      <c r="Q34" s="11">
        <f t="shared" si="1"/>
        <v>0</v>
      </c>
      <c r="R34" s="11">
        <f t="shared" si="1"/>
        <v>0</v>
      </c>
      <c r="S34" s="11">
        <f t="shared" si="1"/>
        <v>0</v>
      </c>
      <c r="U34" s="9" t="s">
        <v>10</v>
      </c>
      <c r="V34" s="13">
        <f>V4/SUM(G4,V4,AK4)</f>
        <v>1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f t="shared" ref="W34:AH34" si="2">AE4/SUM(P4,AE4,AT4)</f>
        <v>1</v>
      </c>
      <c r="AF34" s="13">
        <f t="shared" si="2"/>
        <v>1</v>
      </c>
      <c r="AG34" s="13">
        <f t="shared" si="2"/>
        <v>1</v>
      </c>
      <c r="AH34" s="13">
        <f t="shared" si="2"/>
        <v>1</v>
      </c>
      <c r="AJ34" s="9" t="s">
        <v>10</v>
      </c>
      <c r="AK34" s="13">
        <f>AK4/SUM(G4,V4,AK4)</f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f t="shared" ref="AL34:AW34" si="3">AT4/SUM(P4,AE4,AT4)</f>
        <v>0</v>
      </c>
      <c r="AU34" s="13">
        <f t="shared" si="3"/>
        <v>0</v>
      </c>
      <c r="AV34" s="13">
        <f t="shared" si="3"/>
        <v>0</v>
      </c>
      <c r="AW34" s="13">
        <f t="shared" si="3"/>
        <v>0</v>
      </c>
    </row>
    <row r="35" spans="6:49">
      <c r="F35" s="4" t="s">
        <v>12</v>
      </c>
      <c r="G35" s="11">
        <f t="shared" ref="G35:G60" si="4">G5/SUM(G5,V5,AK5)</f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f t="shared" ref="P35:P60" si="5">P5/SUM(P5,AE5,AT5)</f>
        <v>0</v>
      </c>
      <c r="Q35" s="11">
        <f t="shared" ref="Q35:Q60" si="6">Q5/SUM(Q5,AF5,AU5)</f>
        <v>0</v>
      </c>
      <c r="R35" s="11">
        <f t="shared" ref="R35:R60" si="7">R5/SUM(R5,AG5,AV5)</f>
        <v>0</v>
      </c>
      <c r="S35" s="11">
        <f t="shared" ref="S35:S60" si="8">S5/SUM(S5,AH5,AW5)</f>
        <v>0</v>
      </c>
      <c r="U35" s="9" t="s">
        <v>12</v>
      </c>
      <c r="V35" s="13">
        <f t="shared" ref="V35:V60" si="9">V5/SUM(G5,V5,AK5)</f>
        <v>1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f t="shared" ref="AE35:AE60" si="10">AE5/SUM(P5,AE5,AT5)</f>
        <v>1</v>
      </c>
      <c r="AF35" s="13">
        <f t="shared" ref="AF35:AF60" si="11">AF5/SUM(Q5,AF5,AU5)</f>
        <v>1</v>
      </c>
      <c r="AG35" s="13">
        <f t="shared" ref="AG35:AG60" si="12">AG5/SUM(R5,AG5,AV5)</f>
        <v>1</v>
      </c>
      <c r="AH35" s="13">
        <f t="shared" ref="AH35:AH60" si="13">AH5/SUM(S5,AH5,AW5)</f>
        <v>1</v>
      </c>
      <c r="AJ35" s="9" t="s">
        <v>12</v>
      </c>
      <c r="AK35" s="13">
        <f t="shared" ref="AK35:AK60" si="14">AK5/SUM(G5,V5,AK5)</f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f t="shared" ref="AT35:AT60" si="15">AT5/SUM(P5,AE5,AT5)</f>
        <v>0</v>
      </c>
      <c r="AU35" s="13">
        <f t="shared" ref="AU35:AU60" si="16">AU5/SUM(Q5,AF5,AU5)</f>
        <v>0</v>
      </c>
      <c r="AV35" s="13">
        <f t="shared" ref="AV35:AV60" si="17">AV5/SUM(R5,AG5,AV5)</f>
        <v>0</v>
      </c>
      <c r="AW35" s="13">
        <f t="shared" ref="AW35:AW60" si="18">AW5/SUM(S5,AH5,AW5)</f>
        <v>0</v>
      </c>
    </row>
    <row r="36" spans="6:49">
      <c r="F36" s="4" t="s">
        <v>14</v>
      </c>
      <c r="G36" s="11">
        <f t="shared" si="4"/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f t="shared" si="5"/>
        <v>0</v>
      </c>
      <c r="Q36" s="11">
        <f t="shared" si="6"/>
        <v>0</v>
      </c>
      <c r="R36" s="11">
        <f t="shared" si="7"/>
        <v>0</v>
      </c>
      <c r="S36" s="11">
        <f t="shared" si="8"/>
        <v>0</v>
      </c>
      <c r="U36" s="9" t="s">
        <v>14</v>
      </c>
      <c r="V36" s="13">
        <f t="shared" si="9"/>
        <v>1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f t="shared" si="10"/>
        <v>1</v>
      </c>
      <c r="AF36" s="13">
        <f t="shared" si="11"/>
        <v>1</v>
      </c>
      <c r="AG36" s="13">
        <f t="shared" si="12"/>
        <v>1</v>
      </c>
      <c r="AH36" s="13">
        <f t="shared" si="13"/>
        <v>1</v>
      </c>
      <c r="AJ36" s="9" t="s">
        <v>14</v>
      </c>
      <c r="AK36" s="13">
        <f t="shared" si="14"/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f t="shared" si="15"/>
        <v>0</v>
      </c>
      <c r="AU36" s="13">
        <f t="shared" si="16"/>
        <v>0</v>
      </c>
      <c r="AV36" s="13">
        <f t="shared" si="17"/>
        <v>0</v>
      </c>
      <c r="AW36" s="13">
        <f t="shared" si="18"/>
        <v>0</v>
      </c>
    </row>
    <row r="37" spans="6:49">
      <c r="F37" s="4" t="s">
        <v>16</v>
      </c>
      <c r="G37" s="11">
        <f t="shared" si="4"/>
        <v>5.865102639296188E-2</v>
      </c>
      <c r="H37" s="11">
        <f t="shared" ref="H35:H60" si="19">H7/SUM(H7,W7,AL7)</f>
        <v>0.52409638554216864</v>
      </c>
      <c r="I37" s="11">
        <f t="shared" ref="I35:I60" si="20">I7/SUM(I7,X7,AM7)</f>
        <v>0.5078125</v>
      </c>
      <c r="J37" s="11">
        <f t="shared" ref="J35:J60" si="21">J7/SUM(J7,Y7,AN7)</f>
        <v>0.48854961832061067</v>
      </c>
      <c r="K37" s="11">
        <f t="shared" ref="K35:K60" si="22">K7/SUM(K7,Z7,AO7)</f>
        <v>0.48936170212765956</v>
      </c>
      <c r="L37" s="11">
        <f t="shared" ref="L35:L60" si="23">L7/SUM(L7,AA7,AP7)</f>
        <v>0.62589928057553956</v>
      </c>
      <c r="M37" s="11">
        <f t="shared" ref="M35:M60" si="24">M7/SUM(M7,AB7,AQ7)</f>
        <v>0.64102564102564108</v>
      </c>
      <c r="N37" s="11">
        <f t="shared" ref="N35:N60" si="25">N7/SUM(N7,AC7,AR7)</f>
        <v>0.3253012048192771</v>
      </c>
      <c r="O37" s="11">
        <f t="shared" ref="O35:O60" si="26">O7/SUM(O7,AD7,AS7)</f>
        <v>0.29496402877697842</v>
      </c>
      <c r="P37" s="11">
        <f t="shared" si="5"/>
        <v>0.1617161716171617</v>
      </c>
      <c r="Q37" s="11">
        <f t="shared" si="6"/>
        <v>0.21323529411764705</v>
      </c>
      <c r="R37" s="11">
        <f t="shared" si="7"/>
        <v>0.21311475409836064</v>
      </c>
      <c r="S37" s="11">
        <f t="shared" si="8"/>
        <v>0.1552346570397112</v>
      </c>
      <c r="U37" s="9" t="s">
        <v>16</v>
      </c>
      <c r="V37" s="13">
        <f t="shared" si="9"/>
        <v>0.91788856304985333</v>
      </c>
      <c r="W37" s="13">
        <f t="shared" ref="W35:W60" si="27">W7/SUM(H7,W7,AL7)</f>
        <v>0.33734939759036142</v>
      </c>
      <c r="X37" s="13">
        <f t="shared" ref="X35:X60" si="28">X7/SUM(I7,X7,AM7)</f>
        <v>0.375</v>
      </c>
      <c r="Y37" s="13">
        <f t="shared" ref="Y35:Y60" si="29">Y7/SUM(J7,Y7,AN7)</f>
        <v>0.37404580152671757</v>
      </c>
      <c r="Z37" s="13">
        <f t="shared" ref="Z35:Z60" si="30">Z7/SUM(K7,Z7,AO7)</f>
        <v>0.36879432624113473</v>
      </c>
      <c r="AA37" s="13">
        <f t="shared" ref="AA35:AA60" si="31">AA7/SUM(L7,AA7,AP7)</f>
        <v>0.29496402877697842</v>
      </c>
      <c r="AB37" s="13">
        <f t="shared" ref="AB35:AB60" si="32">AB7/SUM(M7,AB7,AQ7)</f>
        <v>0.24358974358974358</v>
      </c>
      <c r="AC37" s="13">
        <f t="shared" ref="AC35:AC60" si="33">AC7/SUM(N7,AC7,AR7)</f>
        <v>0.3493975903614458</v>
      </c>
      <c r="AD37" s="13">
        <f t="shared" ref="AD35:AD60" si="34">AD7/SUM(O7,AD7,AS7)</f>
        <v>0.58992805755395683</v>
      </c>
      <c r="AE37" s="13">
        <f t="shared" si="10"/>
        <v>0.75907590759075905</v>
      </c>
      <c r="AF37" s="13">
        <f t="shared" si="11"/>
        <v>0.74632352941176472</v>
      </c>
      <c r="AG37" s="13">
        <f t="shared" si="12"/>
        <v>0.74590163934426235</v>
      </c>
      <c r="AH37" s="13">
        <f t="shared" si="13"/>
        <v>0.79422382671480141</v>
      </c>
      <c r="AJ37" s="9" t="s">
        <v>16</v>
      </c>
      <c r="AK37" s="13">
        <f t="shared" si="14"/>
        <v>2.3460410557184751E-2</v>
      </c>
      <c r="AL37" s="13">
        <f t="shared" ref="AL35:AL60" si="35">AL7/SUM(H7,W7,AL7)</f>
        <v>0.13855421686746988</v>
      </c>
      <c r="AM37" s="13">
        <f t="shared" ref="AM35:AM60" si="36">AM7/SUM(I7,X7,AM7)</f>
        <v>0.1171875</v>
      </c>
      <c r="AN37" s="13">
        <f t="shared" ref="AN35:AN60" si="37">AN7/SUM(J7,Y7,AN7)</f>
        <v>0.13740458015267176</v>
      </c>
      <c r="AO37" s="13">
        <f t="shared" ref="AO35:AO60" si="38">AO7/SUM(K7,Z7,AO7)</f>
        <v>0.14184397163120568</v>
      </c>
      <c r="AP37" s="13">
        <f t="shared" ref="AP35:AP60" si="39">AP7/SUM(L7,AA7,AP7)</f>
        <v>7.9136690647482008E-2</v>
      </c>
      <c r="AQ37" s="13">
        <f t="shared" ref="AQ35:AQ60" si="40">AQ7/SUM(M7,AB7,AQ7)</f>
        <v>0.11538461538461539</v>
      </c>
      <c r="AR37" s="13">
        <f t="shared" ref="AR35:AR60" si="41">AR7/SUM(N7,AC7,AR7)</f>
        <v>0.3253012048192771</v>
      </c>
      <c r="AS37" s="13">
        <f t="shared" ref="AS35:AS60" si="42">AS7/SUM(O7,AD7,AS7)</f>
        <v>0.11510791366906475</v>
      </c>
      <c r="AT37" s="13">
        <f t="shared" si="15"/>
        <v>7.9207920792079209E-2</v>
      </c>
      <c r="AU37" s="13">
        <f t="shared" si="16"/>
        <v>4.0441176470588237E-2</v>
      </c>
      <c r="AV37" s="13">
        <f t="shared" si="17"/>
        <v>4.0983606557377046E-2</v>
      </c>
      <c r="AW37" s="13">
        <f t="shared" si="18"/>
        <v>5.0541516245487361E-2</v>
      </c>
    </row>
    <row r="38" spans="6:49">
      <c r="F38" s="4" t="s">
        <v>18</v>
      </c>
      <c r="G38" s="11">
        <f t="shared" si="4"/>
        <v>0.17171717171717171</v>
      </c>
      <c r="H38" s="11">
        <f t="shared" si="19"/>
        <v>0.51472191930207201</v>
      </c>
      <c r="I38" s="11">
        <f t="shared" si="20"/>
        <v>0.54625550660792954</v>
      </c>
      <c r="J38" s="11">
        <f t="shared" si="21"/>
        <v>0.57566137566137565</v>
      </c>
      <c r="K38" s="11">
        <f t="shared" si="22"/>
        <v>0.56902002107481564</v>
      </c>
      <c r="L38" s="11">
        <f t="shared" si="23"/>
        <v>0.62156448202959835</v>
      </c>
      <c r="M38" s="11">
        <f t="shared" si="24"/>
        <v>0.65829694323144106</v>
      </c>
      <c r="N38" s="11">
        <f t="shared" si="25"/>
        <v>0.42815533980582526</v>
      </c>
      <c r="O38" s="11">
        <f t="shared" si="26"/>
        <v>0.37446808510638296</v>
      </c>
      <c r="P38" s="11">
        <f t="shared" si="5"/>
        <v>0.29513184584178498</v>
      </c>
      <c r="Q38" s="11">
        <f t="shared" si="6"/>
        <v>0.29333333333333333</v>
      </c>
      <c r="R38" s="11">
        <f t="shared" si="7"/>
        <v>0.31316042267050914</v>
      </c>
      <c r="S38" s="11">
        <f t="shared" si="8"/>
        <v>0.30874316939890711</v>
      </c>
      <c r="U38" s="9" t="s">
        <v>18</v>
      </c>
      <c r="V38" s="13">
        <f t="shared" si="9"/>
        <v>0.7350427350427351</v>
      </c>
      <c r="W38" s="13">
        <f t="shared" si="27"/>
        <v>0.35223555070883317</v>
      </c>
      <c r="X38" s="13">
        <f t="shared" si="28"/>
        <v>0.32709251101321585</v>
      </c>
      <c r="Y38" s="13">
        <f t="shared" si="29"/>
        <v>0.31111111111111112</v>
      </c>
      <c r="Z38" s="13">
        <f t="shared" si="30"/>
        <v>0.30769230769230771</v>
      </c>
      <c r="AA38" s="13">
        <f t="shared" si="31"/>
        <v>0.27695560253699791</v>
      </c>
      <c r="AB38" s="13">
        <f t="shared" si="32"/>
        <v>0.21069868995633187</v>
      </c>
      <c r="AC38" s="13">
        <f t="shared" si="33"/>
        <v>0.26019417475728157</v>
      </c>
      <c r="AD38" s="13">
        <f t="shared" si="34"/>
        <v>0.46702127659574466</v>
      </c>
      <c r="AE38" s="13">
        <f t="shared" si="10"/>
        <v>0.61156186612576069</v>
      </c>
      <c r="AF38" s="13">
        <f t="shared" si="11"/>
        <v>0.60666666666666669</v>
      </c>
      <c r="AG38" s="13">
        <f t="shared" si="12"/>
        <v>0.57829010566762729</v>
      </c>
      <c r="AH38" s="13">
        <f t="shared" si="13"/>
        <v>0.58925318761384338</v>
      </c>
      <c r="AJ38" s="9" t="s">
        <v>18</v>
      </c>
      <c r="AK38" s="13">
        <f t="shared" si="14"/>
        <v>9.3240093240093247E-2</v>
      </c>
      <c r="AL38" s="13">
        <f t="shared" si="35"/>
        <v>0.13304252998909488</v>
      </c>
      <c r="AM38" s="13">
        <f t="shared" si="36"/>
        <v>0.12665198237885464</v>
      </c>
      <c r="AN38" s="13">
        <f t="shared" si="37"/>
        <v>0.11322751322751323</v>
      </c>
      <c r="AO38" s="13">
        <f t="shared" si="38"/>
        <v>0.12328767123287671</v>
      </c>
      <c r="AP38" s="13">
        <f t="shared" si="39"/>
        <v>0.1014799154334038</v>
      </c>
      <c r="AQ38" s="13">
        <f t="shared" si="40"/>
        <v>0.13100436681222707</v>
      </c>
      <c r="AR38" s="13">
        <f t="shared" si="41"/>
        <v>0.31165048543689322</v>
      </c>
      <c r="AS38" s="13">
        <f t="shared" si="42"/>
        <v>0.15851063829787235</v>
      </c>
      <c r="AT38" s="13">
        <f t="shared" si="15"/>
        <v>9.330628803245436E-2</v>
      </c>
      <c r="AU38" s="13">
        <f t="shared" si="16"/>
        <v>0.1</v>
      </c>
      <c r="AV38" s="13">
        <f t="shared" si="17"/>
        <v>0.10854947166186359</v>
      </c>
      <c r="AW38" s="13">
        <f t="shared" si="18"/>
        <v>0.10200364298724955</v>
      </c>
    </row>
    <row r="39" spans="6:49">
      <c r="F39" s="4" t="s">
        <v>20</v>
      </c>
      <c r="G39" s="11">
        <f t="shared" si="4"/>
        <v>0.2946127946127946</v>
      </c>
      <c r="H39" s="11">
        <f t="shared" si="19"/>
        <v>0.60970311368573493</v>
      </c>
      <c r="I39" s="11">
        <f t="shared" si="20"/>
        <v>0.63508064516129037</v>
      </c>
      <c r="J39" s="11">
        <f t="shared" si="21"/>
        <v>0.64985590778097979</v>
      </c>
      <c r="K39" s="11">
        <f t="shared" si="22"/>
        <v>0.65728360309641098</v>
      </c>
      <c r="L39" s="11">
        <f t="shared" si="23"/>
        <v>0.6855072463768116</v>
      </c>
      <c r="M39" s="11">
        <f t="shared" si="24"/>
        <v>0.76688453159041392</v>
      </c>
      <c r="N39" s="11">
        <f t="shared" si="25"/>
        <v>0.66914749661705009</v>
      </c>
      <c r="O39" s="11">
        <f t="shared" si="26"/>
        <v>0.49557522123893805</v>
      </c>
      <c r="P39" s="11">
        <f t="shared" si="5"/>
        <v>0.40843373493975904</v>
      </c>
      <c r="Q39" s="11">
        <f t="shared" si="6"/>
        <v>0.40820189274447949</v>
      </c>
      <c r="R39" s="11">
        <f t="shared" si="7"/>
        <v>0.40915208613728127</v>
      </c>
      <c r="S39" s="11">
        <f t="shared" si="8"/>
        <v>0.41301546391752575</v>
      </c>
      <c r="U39" s="9" t="s">
        <v>20</v>
      </c>
      <c r="V39" s="13">
        <f t="shared" si="9"/>
        <v>0.60325476992143656</v>
      </c>
      <c r="W39" s="13">
        <f t="shared" si="27"/>
        <v>0.25850832729905865</v>
      </c>
      <c r="X39" s="13">
        <f t="shared" si="28"/>
        <v>0.23051075268817203</v>
      </c>
      <c r="Y39" s="13">
        <f t="shared" si="29"/>
        <v>0.24423631123919309</v>
      </c>
      <c r="Z39" s="13">
        <f t="shared" si="30"/>
        <v>0.23082336382828994</v>
      </c>
      <c r="AA39" s="13">
        <f t="shared" si="31"/>
        <v>0.20144927536231885</v>
      </c>
      <c r="AB39" s="13">
        <f t="shared" si="32"/>
        <v>0.14451706608569354</v>
      </c>
      <c r="AC39" s="13">
        <f t="shared" si="33"/>
        <v>0.15290933694181327</v>
      </c>
      <c r="AD39" s="13">
        <f t="shared" si="34"/>
        <v>0.21511232130701158</v>
      </c>
      <c r="AE39" s="13">
        <f t="shared" si="10"/>
        <v>0.45481927710843373</v>
      </c>
      <c r="AF39" s="13">
        <f t="shared" si="11"/>
        <v>0.44921135646687699</v>
      </c>
      <c r="AG39" s="13">
        <f t="shared" si="12"/>
        <v>0.44279946164199191</v>
      </c>
      <c r="AH39" s="13">
        <f t="shared" si="13"/>
        <v>0.44523195876288657</v>
      </c>
      <c r="AJ39" s="9" t="s">
        <v>20</v>
      </c>
      <c r="AK39" s="13">
        <f t="shared" si="14"/>
        <v>0.10213243546576879</v>
      </c>
      <c r="AL39" s="13">
        <f t="shared" si="35"/>
        <v>0.13178855901520636</v>
      </c>
      <c r="AM39" s="13">
        <f t="shared" si="36"/>
        <v>0.13440860215053763</v>
      </c>
      <c r="AN39" s="13">
        <f t="shared" si="37"/>
        <v>0.10590778097982709</v>
      </c>
      <c r="AO39" s="13">
        <f t="shared" si="38"/>
        <v>0.11189303307529909</v>
      </c>
      <c r="AP39" s="13">
        <f t="shared" si="39"/>
        <v>0.11304347826086956</v>
      </c>
      <c r="AQ39" s="13">
        <f t="shared" si="40"/>
        <v>8.8598402323892517E-2</v>
      </c>
      <c r="AR39" s="13">
        <f t="shared" si="41"/>
        <v>0.17794316644113667</v>
      </c>
      <c r="AS39" s="13">
        <f t="shared" si="42"/>
        <v>0.28931245745405038</v>
      </c>
      <c r="AT39" s="13">
        <f t="shared" si="15"/>
        <v>0.13674698795180723</v>
      </c>
      <c r="AU39" s="13">
        <f t="shared" si="16"/>
        <v>0.14258675078864352</v>
      </c>
      <c r="AV39" s="13">
        <f t="shared" si="17"/>
        <v>0.1480484522207268</v>
      </c>
      <c r="AW39" s="13">
        <f t="shared" si="18"/>
        <v>0.14175257731958762</v>
      </c>
    </row>
    <row r="40" spans="6:49">
      <c r="F40" s="4" t="s">
        <v>22</v>
      </c>
      <c r="G40" s="11">
        <f t="shared" si="4"/>
        <v>0.41934139224676947</v>
      </c>
      <c r="H40" s="11">
        <f t="shared" si="19"/>
        <v>0.7463697967086157</v>
      </c>
      <c r="I40" s="11">
        <f t="shared" si="20"/>
        <v>0.7591022443890274</v>
      </c>
      <c r="J40" s="11">
        <f t="shared" si="21"/>
        <v>0.7354345749761223</v>
      </c>
      <c r="K40" s="11">
        <f t="shared" si="22"/>
        <v>0.7605774016923843</v>
      </c>
      <c r="L40" s="11">
        <f t="shared" si="23"/>
        <v>0.79254536537518394</v>
      </c>
      <c r="M40" s="11">
        <f t="shared" si="24"/>
        <v>0.82600289995166742</v>
      </c>
      <c r="N40" s="11">
        <f t="shared" si="25"/>
        <v>0.79540816326530617</v>
      </c>
      <c r="O40" s="11">
        <f t="shared" si="26"/>
        <v>0.70397643593519887</v>
      </c>
      <c r="P40" s="11">
        <f t="shared" si="5"/>
        <v>0.53680078508341511</v>
      </c>
      <c r="Q40" s="11">
        <f t="shared" si="6"/>
        <v>0.53087601723312594</v>
      </c>
      <c r="R40" s="11">
        <f t="shared" si="7"/>
        <v>0.52194656488549618</v>
      </c>
      <c r="S40" s="11">
        <f t="shared" si="8"/>
        <v>0.53327085285848175</v>
      </c>
      <c r="U40" s="9" t="s">
        <v>22</v>
      </c>
      <c r="V40" s="13">
        <f t="shared" si="9"/>
        <v>0.47561483951646522</v>
      </c>
      <c r="W40" s="13">
        <f t="shared" si="27"/>
        <v>0.1553727008712488</v>
      </c>
      <c r="X40" s="13">
        <f t="shared" si="28"/>
        <v>0.14214463840399003</v>
      </c>
      <c r="Y40" s="13">
        <f t="shared" si="29"/>
        <v>0.14565425023877746</v>
      </c>
      <c r="Z40" s="13">
        <f t="shared" si="30"/>
        <v>0.14186162269785962</v>
      </c>
      <c r="AA40" s="13">
        <f t="shared" si="31"/>
        <v>0.13094654242275625</v>
      </c>
      <c r="AB40" s="13">
        <f t="shared" si="32"/>
        <v>9.1348477525374575E-2</v>
      </c>
      <c r="AC40" s="13">
        <f t="shared" si="33"/>
        <v>9.5408163265306128E-2</v>
      </c>
      <c r="AD40" s="13">
        <f t="shared" si="34"/>
        <v>0.14383897889052527</v>
      </c>
      <c r="AE40" s="13">
        <f t="shared" si="10"/>
        <v>0.24484789008832189</v>
      </c>
      <c r="AF40" s="13">
        <f t="shared" si="11"/>
        <v>0.25035902345619915</v>
      </c>
      <c r="AG40" s="13">
        <f t="shared" si="12"/>
        <v>0.2523854961832061</v>
      </c>
      <c r="AH40" s="13">
        <f t="shared" si="13"/>
        <v>0.25538894095595127</v>
      </c>
      <c r="AJ40" s="9" t="s">
        <v>22</v>
      </c>
      <c r="AK40" s="13">
        <f t="shared" si="14"/>
        <v>0.10504376823676533</v>
      </c>
      <c r="AL40" s="13">
        <f t="shared" si="35"/>
        <v>9.8257502420135534E-2</v>
      </c>
      <c r="AM40" s="13">
        <f t="shared" si="36"/>
        <v>9.8753117206982544E-2</v>
      </c>
      <c r="AN40" s="13">
        <f t="shared" si="37"/>
        <v>0.11891117478510028</v>
      </c>
      <c r="AO40" s="13">
        <f t="shared" si="38"/>
        <v>9.7560975609756101E-2</v>
      </c>
      <c r="AP40" s="13">
        <f t="shared" si="39"/>
        <v>7.6508092202059827E-2</v>
      </c>
      <c r="AQ40" s="13">
        <f t="shared" si="40"/>
        <v>8.2648622522957946E-2</v>
      </c>
      <c r="AR40" s="13">
        <f t="shared" si="41"/>
        <v>0.10918367346938776</v>
      </c>
      <c r="AS40" s="13">
        <f t="shared" si="42"/>
        <v>0.15218458517427588</v>
      </c>
      <c r="AT40" s="13">
        <f t="shared" si="15"/>
        <v>0.218351324828263</v>
      </c>
      <c r="AU40" s="13">
        <f t="shared" si="16"/>
        <v>0.21876495931067497</v>
      </c>
      <c r="AV40" s="13">
        <f t="shared" si="17"/>
        <v>0.22566793893129772</v>
      </c>
      <c r="AW40" s="13">
        <f t="shared" si="18"/>
        <v>0.21134020618556701</v>
      </c>
    </row>
    <row r="41" spans="6:49">
      <c r="F41" s="4" t="s">
        <v>23</v>
      </c>
      <c r="G41" s="11">
        <f t="shared" si="4"/>
        <v>0.44361666102268882</v>
      </c>
      <c r="H41" s="11">
        <f t="shared" si="19"/>
        <v>0.73167208378475979</v>
      </c>
      <c r="I41" s="11">
        <f t="shared" si="20"/>
        <v>0.73283302063789868</v>
      </c>
      <c r="J41" s="11">
        <f t="shared" si="21"/>
        <v>0.75973548861131524</v>
      </c>
      <c r="K41" s="11">
        <f t="shared" si="22"/>
        <v>0.74018126888217528</v>
      </c>
      <c r="L41" s="11">
        <f t="shared" si="23"/>
        <v>0.76050269299820472</v>
      </c>
      <c r="M41" s="11">
        <f t="shared" si="24"/>
        <v>0.78467831907772401</v>
      </c>
      <c r="N41" s="11">
        <f t="shared" si="25"/>
        <v>0.75327034883720934</v>
      </c>
      <c r="O41" s="11">
        <f t="shared" si="26"/>
        <v>0.71212121212121215</v>
      </c>
      <c r="P41" s="11">
        <f t="shared" si="5"/>
        <v>0.59422331806974282</v>
      </c>
      <c r="Q41" s="11">
        <f t="shared" si="6"/>
        <v>0.61875891583452214</v>
      </c>
      <c r="R41" s="11">
        <f t="shared" si="7"/>
        <v>0.60442260442260443</v>
      </c>
      <c r="S41" s="11">
        <f t="shared" si="8"/>
        <v>0.61874559548978159</v>
      </c>
      <c r="U41" s="9" t="s">
        <v>23</v>
      </c>
      <c r="V41" s="13">
        <f t="shared" si="9"/>
        <v>0.51134439552996958</v>
      </c>
      <c r="W41" s="13">
        <f t="shared" si="27"/>
        <v>0.21271217045864932</v>
      </c>
      <c r="X41" s="13">
        <f t="shared" si="28"/>
        <v>0.21613508442776735</v>
      </c>
      <c r="Y41" s="13">
        <f t="shared" si="29"/>
        <v>0.19544452608376195</v>
      </c>
      <c r="Z41" s="13">
        <f t="shared" si="30"/>
        <v>0.21827794561933533</v>
      </c>
      <c r="AA41" s="13">
        <f t="shared" si="31"/>
        <v>0.19964093357271095</v>
      </c>
      <c r="AB41" s="13">
        <f t="shared" si="32"/>
        <v>0.17962067683153587</v>
      </c>
      <c r="AC41" s="13">
        <f t="shared" si="33"/>
        <v>0.171875</v>
      </c>
      <c r="AD41" s="13">
        <f t="shared" si="34"/>
        <v>0.21392496392496393</v>
      </c>
      <c r="AE41" s="13">
        <f t="shared" si="10"/>
        <v>0.33145473758365623</v>
      </c>
      <c r="AF41" s="13">
        <f t="shared" si="11"/>
        <v>0.31062767475035663</v>
      </c>
      <c r="AG41" s="13">
        <f t="shared" si="12"/>
        <v>0.32256932256932258</v>
      </c>
      <c r="AH41" s="13">
        <f t="shared" si="13"/>
        <v>0.31571529245947849</v>
      </c>
      <c r="AJ41" s="9" t="s">
        <v>23</v>
      </c>
      <c r="AK41" s="13">
        <f t="shared" si="14"/>
        <v>4.5038943447341689E-2</v>
      </c>
      <c r="AL41" s="13">
        <f t="shared" si="35"/>
        <v>5.5615745756590826E-2</v>
      </c>
      <c r="AM41" s="13">
        <f t="shared" si="36"/>
        <v>5.1031894934333959E-2</v>
      </c>
      <c r="AN41" s="13">
        <f t="shared" si="37"/>
        <v>4.4819985304922851E-2</v>
      </c>
      <c r="AO41" s="13">
        <f t="shared" si="38"/>
        <v>4.1540785498489427E-2</v>
      </c>
      <c r="AP41" s="13">
        <f t="shared" si="39"/>
        <v>3.985637342908438E-2</v>
      </c>
      <c r="AQ41" s="13">
        <f t="shared" si="40"/>
        <v>3.5701004090740049E-2</v>
      </c>
      <c r="AR41" s="13">
        <f t="shared" si="41"/>
        <v>7.4854651162790692E-2</v>
      </c>
      <c r="AS41" s="13">
        <f t="shared" si="42"/>
        <v>7.3953823953823952E-2</v>
      </c>
      <c r="AT41" s="13">
        <f t="shared" si="15"/>
        <v>7.4321944346600916E-2</v>
      </c>
      <c r="AU41" s="13">
        <f t="shared" si="16"/>
        <v>7.0613409415121259E-2</v>
      </c>
      <c r="AV41" s="13">
        <f t="shared" si="17"/>
        <v>7.3008073008073007E-2</v>
      </c>
      <c r="AW41" s="13">
        <f t="shared" si="18"/>
        <v>6.5539112050739964E-2</v>
      </c>
    </row>
    <row r="42" spans="6:49">
      <c r="F42" s="4" t="s">
        <v>24</v>
      </c>
      <c r="G42" s="11">
        <f t="shared" si="4"/>
        <v>0.18329026701119724</v>
      </c>
      <c r="H42" s="11">
        <f t="shared" si="19"/>
        <v>0.31575023299161231</v>
      </c>
      <c r="I42" s="11">
        <f t="shared" si="20"/>
        <v>0.32613149562302107</v>
      </c>
      <c r="J42" s="11">
        <f t="shared" si="21"/>
        <v>0.33455949972411259</v>
      </c>
      <c r="K42" s="11">
        <f t="shared" si="22"/>
        <v>0.3239819004524887</v>
      </c>
      <c r="L42" s="11">
        <f t="shared" si="23"/>
        <v>0.33434541882479013</v>
      </c>
      <c r="M42" s="11">
        <f t="shared" si="24"/>
        <v>0.34660297239915072</v>
      </c>
      <c r="N42" s="11">
        <f t="shared" si="25"/>
        <v>0.32519728390530372</v>
      </c>
      <c r="O42" s="11">
        <f t="shared" si="26"/>
        <v>0.28268422014993599</v>
      </c>
      <c r="P42" s="11">
        <f t="shared" si="5"/>
        <v>0.24295774647887325</v>
      </c>
      <c r="Q42" s="11">
        <f t="shared" si="6"/>
        <v>0.24048132183908047</v>
      </c>
      <c r="R42" s="11">
        <f t="shared" si="7"/>
        <v>0.24986527752829171</v>
      </c>
      <c r="S42" s="11">
        <f t="shared" si="8"/>
        <v>0.24858055358410219</v>
      </c>
      <c r="U42" s="9" t="s">
        <v>24</v>
      </c>
      <c r="V42" s="13">
        <f t="shared" si="9"/>
        <v>0.77795004306632209</v>
      </c>
      <c r="W42" s="13">
        <f t="shared" si="27"/>
        <v>0.64082013047530284</v>
      </c>
      <c r="X42" s="13">
        <f t="shared" si="28"/>
        <v>0.63512758428012661</v>
      </c>
      <c r="Y42" s="13">
        <f t="shared" si="29"/>
        <v>0.63012690822144568</v>
      </c>
      <c r="Z42" s="13">
        <f t="shared" si="30"/>
        <v>0.63728506787330319</v>
      </c>
      <c r="AA42" s="13">
        <f t="shared" si="31"/>
        <v>0.63118414002500445</v>
      </c>
      <c r="AB42" s="13">
        <f t="shared" si="32"/>
        <v>0.61889596602972397</v>
      </c>
      <c r="AC42" s="13">
        <f t="shared" si="33"/>
        <v>0.61167186639750415</v>
      </c>
      <c r="AD42" s="13">
        <f t="shared" si="34"/>
        <v>0.64783324190894132</v>
      </c>
      <c r="AE42" s="13">
        <f t="shared" si="10"/>
        <v>0.68961267605633803</v>
      </c>
      <c r="AF42" s="13">
        <f t="shared" si="11"/>
        <v>0.69486350574712641</v>
      </c>
      <c r="AG42" s="13">
        <f t="shared" si="12"/>
        <v>0.68906053529728761</v>
      </c>
      <c r="AH42" s="13">
        <f t="shared" si="13"/>
        <v>0.68949609652235633</v>
      </c>
      <c r="AJ42" s="9" t="s">
        <v>24</v>
      </c>
      <c r="AK42" s="13">
        <f t="shared" si="14"/>
        <v>3.875968992248062E-2</v>
      </c>
      <c r="AL42" s="13">
        <f t="shared" si="35"/>
        <v>4.3429636533084806E-2</v>
      </c>
      <c r="AM42" s="13">
        <f t="shared" si="36"/>
        <v>3.8740920096852302E-2</v>
      </c>
      <c r="AN42" s="13">
        <f t="shared" si="37"/>
        <v>3.5313592054441789E-2</v>
      </c>
      <c r="AO42" s="13">
        <f t="shared" si="38"/>
        <v>3.8733031674208142E-2</v>
      </c>
      <c r="AP42" s="13">
        <f t="shared" si="39"/>
        <v>3.4470441150205394E-2</v>
      </c>
      <c r="AQ42" s="13">
        <f t="shared" si="40"/>
        <v>3.4501061571125265E-2</v>
      </c>
      <c r="AR42" s="13">
        <f t="shared" si="41"/>
        <v>6.313084969719214E-2</v>
      </c>
      <c r="AS42" s="13">
        <f t="shared" si="42"/>
        <v>6.9482537941122691E-2</v>
      </c>
      <c r="AT42" s="13">
        <f t="shared" si="15"/>
        <v>6.7429577464788726E-2</v>
      </c>
      <c r="AU42" s="13">
        <f t="shared" si="16"/>
        <v>6.4655172413793108E-2</v>
      </c>
      <c r="AV42" s="13">
        <f t="shared" si="17"/>
        <v>6.1074187174420695E-2</v>
      </c>
      <c r="AW42" s="13">
        <f t="shared" si="18"/>
        <v>6.1923349893541521E-2</v>
      </c>
    </row>
    <row r="43" spans="6:49">
      <c r="F43" s="4" t="s">
        <v>25</v>
      </c>
      <c r="G43" s="11">
        <f t="shared" si="4"/>
        <v>0.16985723556132382</v>
      </c>
      <c r="H43" s="11">
        <f t="shared" si="19"/>
        <v>0.28502173186225344</v>
      </c>
      <c r="I43" s="11">
        <f t="shared" si="20"/>
        <v>0.29192970482852754</v>
      </c>
      <c r="J43" s="11">
        <f t="shared" si="21"/>
        <v>0.30110542814717045</v>
      </c>
      <c r="K43" s="11">
        <f t="shared" si="22"/>
        <v>0.30111648058656892</v>
      </c>
      <c r="L43" s="11">
        <f t="shared" si="23"/>
        <v>0.31620683958367751</v>
      </c>
      <c r="M43" s="11">
        <f t="shared" si="24"/>
        <v>0.31628289473684212</v>
      </c>
      <c r="N43" s="11">
        <f t="shared" si="25"/>
        <v>0.28187352045992559</v>
      </c>
      <c r="O43" s="11">
        <f t="shared" si="26"/>
        <v>0.26659993326659992</v>
      </c>
      <c r="P43" s="11">
        <f t="shared" si="5"/>
        <v>0.2235313369333988</v>
      </c>
      <c r="Q43" s="11">
        <f t="shared" si="6"/>
        <v>0.22696330732193259</v>
      </c>
      <c r="R43" s="11">
        <f t="shared" si="7"/>
        <v>0.21689723320158102</v>
      </c>
      <c r="S43" s="11">
        <f t="shared" si="8"/>
        <v>0.22101023661688202</v>
      </c>
      <c r="U43" s="9" t="s">
        <v>25</v>
      </c>
      <c r="V43" s="13">
        <f t="shared" si="9"/>
        <v>0.78877352368591824</v>
      </c>
      <c r="W43" s="13">
        <f t="shared" si="27"/>
        <v>0.67184887997325304</v>
      </c>
      <c r="X43" s="13">
        <f t="shared" si="28"/>
        <v>0.6712165159529091</v>
      </c>
      <c r="Y43" s="13">
        <f t="shared" si="29"/>
        <v>0.66028708133971292</v>
      </c>
      <c r="Z43" s="13">
        <f t="shared" si="30"/>
        <v>0.66505582402932839</v>
      </c>
      <c r="AA43" s="13">
        <f t="shared" si="31"/>
        <v>0.65603832810176776</v>
      </c>
      <c r="AB43" s="13">
        <f t="shared" si="32"/>
        <v>0.65526315789473688</v>
      </c>
      <c r="AC43" s="13">
        <f t="shared" si="33"/>
        <v>0.66029759891782214</v>
      </c>
      <c r="AD43" s="13">
        <f t="shared" si="34"/>
        <v>0.67484150817484145</v>
      </c>
      <c r="AE43" s="13">
        <f t="shared" si="10"/>
        <v>0.72672230404189164</v>
      </c>
      <c r="AF43" s="13">
        <f t="shared" si="11"/>
        <v>0.71940893242570148</v>
      </c>
      <c r="AG43" s="13">
        <f t="shared" si="12"/>
        <v>0.72710803689064563</v>
      </c>
      <c r="AH43" s="13">
        <f t="shared" si="13"/>
        <v>0.72042288974660174</v>
      </c>
      <c r="AJ43" s="9" t="s">
        <v>25</v>
      </c>
      <c r="AK43" s="13">
        <f t="shared" si="14"/>
        <v>4.1369240752757948E-2</v>
      </c>
      <c r="AL43" s="13">
        <f t="shared" si="35"/>
        <v>4.3129388164493479E-2</v>
      </c>
      <c r="AM43" s="13">
        <f t="shared" si="36"/>
        <v>3.6853779218563386E-2</v>
      </c>
      <c r="AN43" s="13">
        <f t="shared" si="37"/>
        <v>3.8607490513116648E-2</v>
      </c>
      <c r="AO43" s="13">
        <f t="shared" si="38"/>
        <v>3.382769538410265E-2</v>
      </c>
      <c r="AP43" s="13">
        <f t="shared" si="39"/>
        <v>2.7754832314554768E-2</v>
      </c>
      <c r="AQ43" s="13">
        <f t="shared" si="40"/>
        <v>2.8453947368421054E-2</v>
      </c>
      <c r="AR43" s="13">
        <f t="shared" si="41"/>
        <v>5.7828880622252284E-2</v>
      </c>
      <c r="AS43" s="13">
        <f t="shared" si="42"/>
        <v>5.8558558558558557E-2</v>
      </c>
      <c r="AT43" s="13">
        <f t="shared" si="15"/>
        <v>4.9746359024709537E-2</v>
      </c>
      <c r="AU43" s="13">
        <f t="shared" si="16"/>
        <v>5.362776025236593E-2</v>
      </c>
      <c r="AV43" s="13">
        <f t="shared" si="17"/>
        <v>5.5994729907773384E-2</v>
      </c>
      <c r="AW43" s="13">
        <f t="shared" si="18"/>
        <v>5.8566873636516192E-2</v>
      </c>
    </row>
    <row r="44" spans="6:49">
      <c r="F44" s="4" t="s">
        <v>26</v>
      </c>
      <c r="G44" s="11">
        <f t="shared" si="4"/>
        <v>0.17155582859775764</v>
      </c>
      <c r="H44" s="11">
        <f t="shared" si="19"/>
        <v>0.25861561119293081</v>
      </c>
      <c r="I44" s="11">
        <f t="shared" si="20"/>
        <v>0.26346239430351581</v>
      </c>
      <c r="J44" s="11">
        <f t="shared" si="21"/>
        <v>0.26056754360035472</v>
      </c>
      <c r="K44" s="11">
        <f t="shared" si="22"/>
        <v>0.26289566236811257</v>
      </c>
      <c r="L44" s="11">
        <f t="shared" si="23"/>
        <v>0.27201187824795842</v>
      </c>
      <c r="M44" s="11">
        <f t="shared" si="24"/>
        <v>0.29044117647058826</v>
      </c>
      <c r="N44" s="11">
        <f t="shared" si="25"/>
        <v>0.27199074074074076</v>
      </c>
      <c r="O44" s="11">
        <f t="shared" si="26"/>
        <v>0.24746117084826763</v>
      </c>
      <c r="P44" s="11">
        <f t="shared" si="5"/>
        <v>0.20506291192330736</v>
      </c>
      <c r="Q44" s="11">
        <f t="shared" si="6"/>
        <v>0.21432826928805482</v>
      </c>
      <c r="R44" s="11">
        <f t="shared" si="7"/>
        <v>0.20935777082402027</v>
      </c>
      <c r="S44" s="11">
        <f t="shared" si="8"/>
        <v>0.20681516447853665</v>
      </c>
      <c r="U44" s="9" t="s">
        <v>26</v>
      </c>
      <c r="V44" s="13">
        <f t="shared" si="9"/>
        <v>0.79388726770081397</v>
      </c>
      <c r="W44" s="13">
        <f t="shared" si="27"/>
        <v>0.70530191458026514</v>
      </c>
      <c r="X44" s="13">
        <f t="shared" si="28"/>
        <v>0.70464322800771395</v>
      </c>
      <c r="Y44" s="13">
        <f t="shared" si="29"/>
        <v>0.70854271356783916</v>
      </c>
      <c r="Z44" s="13">
        <f t="shared" si="30"/>
        <v>0.70647713950762014</v>
      </c>
      <c r="AA44" s="13">
        <f t="shared" si="31"/>
        <v>0.69888641425389753</v>
      </c>
      <c r="AB44" s="13">
        <f t="shared" si="32"/>
        <v>0.68132352941176466</v>
      </c>
      <c r="AC44" s="13">
        <f t="shared" si="33"/>
        <v>0.67997685185185186</v>
      </c>
      <c r="AD44" s="13">
        <f t="shared" si="34"/>
        <v>0.69832735961768222</v>
      </c>
      <c r="AE44" s="13">
        <f t="shared" si="10"/>
        <v>0.74595566207309771</v>
      </c>
      <c r="AF44" s="13">
        <f t="shared" si="11"/>
        <v>0.7365207030086387</v>
      </c>
      <c r="AG44" s="13">
        <f t="shared" si="12"/>
        <v>0.74385337505587845</v>
      </c>
      <c r="AH44" s="13">
        <f t="shared" si="13"/>
        <v>0.74421006048089688</v>
      </c>
      <c r="AJ44" s="9" t="s">
        <v>26</v>
      </c>
      <c r="AK44" s="13">
        <f t="shared" si="14"/>
        <v>3.4556903701428353E-2</v>
      </c>
      <c r="AL44" s="13">
        <f t="shared" si="35"/>
        <v>3.608247422680412E-2</v>
      </c>
      <c r="AM44" s="13">
        <f t="shared" si="36"/>
        <v>3.1894377688770209E-2</v>
      </c>
      <c r="AN44" s="13">
        <f t="shared" si="37"/>
        <v>3.0889742831806091E-2</v>
      </c>
      <c r="AO44" s="13">
        <f t="shared" si="38"/>
        <v>3.0627198124267292E-2</v>
      </c>
      <c r="AP44" s="13">
        <f t="shared" si="39"/>
        <v>2.9101707498144024E-2</v>
      </c>
      <c r="AQ44" s="13">
        <f t="shared" si="40"/>
        <v>2.823529411764706E-2</v>
      </c>
      <c r="AR44" s="13">
        <f t="shared" si="41"/>
        <v>4.8032407407407406E-2</v>
      </c>
      <c r="AS44" s="13">
        <f t="shared" si="42"/>
        <v>5.4211469534050177E-2</v>
      </c>
      <c r="AT44" s="13">
        <f t="shared" si="15"/>
        <v>4.8981426003594966E-2</v>
      </c>
      <c r="AU44" s="13">
        <f t="shared" si="16"/>
        <v>4.9151027703306524E-2</v>
      </c>
      <c r="AV44" s="13">
        <f t="shared" si="17"/>
        <v>4.6788854120101329E-2</v>
      </c>
      <c r="AW44" s="13">
        <f t="shared" si="18"/>
        <v>4.8974775040566458E-2</v>
      </c>
    </row>
    <row r="45" spans="6:49">
      <c r="F45" s="4" t="s">
        <v>27</v>
      </c>
      <c r="G45" s="11">
        <f t="shared" si="4"/>
        <v>0.17410091998884861</v>
      </c>
      <c r="H45" s="11">
        <f t="shared" si="19"/>
        <v>0.24930784442979564</v>
      </c>
      <c r="I45" s="11">
        <f t="shared" si="20"/>
        <v>0.23364485981308411</v>
      </c>
      <c r="J45" s="11">
        <f t="shared" si="21"/>
        <v>0.24521469218830833</v>
      </c>
      <c r="K45" s="11">
        <f t="shared" si="22"/>
        <v>0.24294156270518713</v>
      </c>
      <c r="L45" s="11">
        <f t="shared" si="23"/>
        <v>0.25328990228013032</v>
      </c>
      <c r="M45" s="11">
        <f t="shared" si="24"/>
        <v>0.26635574556289676</v>
      </c>
      <c r="N45" s="11">
        <f t="shared" si="25"/>
        <v>0.25012919896640828</v>
      </c>
      <c r="O45" s="11">
        <f t="shared" si="26"/>
        <v>0.21665999199038846</v>
      </c>
      <c r="P45" s="11">
        <f t="shared" si="5"/>
        <v>0.17853751187084521</v>
      </c>
      <c r="Q45" s="11">
        <f t="shared" si="6"/>
        <v>0.18833422317138282</v>
      </c>
      <c r="R45" s="11">
        <f t="shared" si="7"/>
        <v>0.19551961823966066</v>
      </c>
      <c r="S45" s="11">
        <f t="shared" si="8"/>
        <v>0.19763108863454884</v>
      </c>
      <c r="U45" s="9" t="s">
        <v>27</v>
      </c>
      <c r="V45" s="13">
        <f t="shared" si="9"/>
        <v>0.78951770281572342</v>
      </c>
      <c r="W45" s="13">
        <f t="shared" si="27"/>
        <v>0.71944627554383656</v>
      </c>
      <c r="X45" s="13">
        <f t="shared" si="28"/>
        <v>0.73351134846461952</v>
      </c>
      <c r="Y45" s="13">
        <f t="shared" si="29"/>
        <v>0.72490946714950855</v>
      </c>
      <c r="Z45" s="13">
        <f t="shared" si="30"/>
        <v>0.72869336835193699</v>
      </c>
      <c r="AA45" s="13">
        <f t="shared" si="31"/>
        <v>0.71973941368078176</v>
      </c>
      <c r="AB45" s="13">
        <f t="shared" si="32"/>
        <v>0.70864101567560567</v>
      </c>
      <c r="AC45" s="13">
        <f t="shared" si="33"/>
        <v>0.70581395348837206</v>
      </c>
      <c r="AD45" s="13">
        <f t="shared" si="34"/>
        <v>0.73434788412761987</v>
      </c>
      <c r="AE45" s="13">
        <f t="shared" si="10"/>
        <v>0.77330077330077329</v>
      </c>
      <c r="AF45" s="13">
        <f t="shared" si="11"/>
        <v>0.7601441537640149</v>
      </c>
      <c r="AG45" s="13">
        <f t="shared" si="12"/>
        <v>0.75914634146341464</v>
      </c>
      <c r="AH45" s="13">
        <f t="shared" si="13"/>
        <v>0.754990684056428</v>
      </c>
      <c r="AJ45" s="9" t="s">
        <v>27</v>
      </c>
      <c r="AK45" s="13">
        <f t="shared" si="14"/>
        <v>3.6381377195427937E-2</v>
      </c>
      <c r="AL45" s="13">
        <f t="shared" si="35"/>
        <v>3.1245880026367832E-2</v>
      </c>
      <c r="AM45" s="13">
        <f t="shared" si="36"/>
        <v>3.2843791722296393E-2</v>
      </c>
      <c r="AN45" s="13">
        <f t="shared" si="37"/>
        <v>2.9875840662183135E-2</v>
      </c>
      <c r="AO45" s="13">
        <f t="shared" si="38"/>
        <v>2.8365068942875903E-2</v>
      </c>
      <c r="AP45" s="13">
        <f t="shared" si="39"/>
        <v>2.6970684039087946E-2</v>
      </c>
      <c r="AQ45" s="13">
        <f t="shared" si="40"/>
        <v>2.5003238761497602E-2</v>
      </c>
      <c r="AR45" s="13">
        <f t="shared" si="41"/>
        <v>4.4056847545219636E-2</v>
      </c>
      <c r="AS45" s="13">
        <f t="shared" si="42"/>
        <v>4.8992123881991721E-2</v>
      </c>
      <c r="AT45" s="13">
        <f t="shared" si="15"/>
        <v>4.8161714828381497E-2</v>
      </c>
      <c r="AU45" s="13">
        <f t="shared" si="16"/>
        <v>5.1521623064602243E-2</v>
      </c>
      <c r="AV45" s="13">
        <f t="shared" si="17"/>
        <v>4.5334040296924706E-2</v>
      </c>
      <c r="AW45" s="13">
        <f t="shared" si="18"/>
        <v>4.7378227309023156E-2</v>
      </c>
    </row>
    <row r="46" spans="6:49">
      <c r="F46" s="4" t="s">
        <v>28</v>
      </c>
      <c r="G46" s="11">
        <f t="shared" si="4"/>
        <v>0.16835016835016836</v>
      </c>
      <c r="H46" s="11">
        <f t="shared" si="19"/>
        <v>0.22472307329719537</v>
      </c>
      <c r="I46" s="11">
        <f t="shared" si="20"/>
        <v>0.2232078638216255</v>
      </c>
      <c r="J46" s="11">
        <f t="shared" si="21"/>
        <v>0.22451871973544349</v>
      </c>
      <c r="K46" s="11">
        <f t="shared" si="22"/>
        <v>0.23063149098722693</v>
      </c>
      <c r="L46" s="11">
        <f t="shared" si="23"/>
        <v>0.23538743136058574</v>
      </c>
      <c r="M46" s="11">
        <f t="shared" si="24"/>
        <v>0.25217494935049456</v>
      </c>
      <c r="N46" s="11">
        <f t="shared" si="25"/>
        <v>0.2215540620209881</v>
      </c>
      <c r="O46" s="11">
        <f t="shared" si="26"/>
        <v>0.19887758681164502</v>
      </c>
      <c r="P46" s="11">
        <f t="shared" si="5"/>
        <v>0.17755856966707767</v>
      </c>
      <c r="Q46" s="11">
        <f t="shared" si="6"/>
        <v>0.18315637065637067</v>
      </c>
      <c r="R46" s="11">
        <f t="shared" si="7"/>
        <v>0.17264851485148514</v>
      </c>
      <c r="S46" s="11">
        <f t="shared" si="8"/>
        <v>0.18023471278567016</v>
      </c>
      <c r="U46" s="9" t="s">
        <v>28</v>
      </c>
      <c r="V46" s="13">
        <f t="shared" si="9"/>
        <v>0.79703703703703699</v>
      </c>
      <c r="W46" s="13">
        <f t="shared" si="27"/>
        <v>0.74440254536884276</v>
      </c>
      <c r="X46" s="13">
        <f t="shared" si="28"/>
        <v>0.74850155837928556</v>
      </c>
      <c r="Y46" s="13">
        <f t="shared" si="29"/>
        <v>0.75079721270816113</v>
      </c>
      <c r="Z46" s="13">
        <f t="shared" si="30"/>
        <v>0.74000238748955471</v>
      </c>
      <c r="AA46" s="13">
        <f t="shared" si="31"/>
        <v>0.74142769981696155</v>
      </c>
      <c r="AB46" s="13">
        <f t="shared" si="32"/>
        <v>0.72720772255988564</v>
      </c>
      <c r="AC46" s="13">
        <f t="shared" si="33"/>
        <v>0.73187124159886807</v>
      </c>
      <c r="AD46" s="13">
        <f t="shared" si="34"/>
        <v>0.75564129545188818</v>
      </c>
      <c r="AE46" s="13">
        <f t="shared" si="10"/>
        <v>0.77743526510480887</v>
      </c>
      <c r="AF46" s="13">
        <f t="shared" si="11"/>
        <v>0.77304536679536684</v>
      </c>
      <c r="AG46" s="13">
        <f t="shared" si="12"/>
        <v>0.77834158415841581</v>
      </c>
      <c r="AH46" s="13">
        <f t="shared" si="13"/>
        <v>0.77665225447807285</v>
      </c>
      <c r="AJ46" s="9" t="s">
        <v>28</v>
      </c>
      <c r="AK46" s="13">
        <f t="shared" si="14"/>
        <v>3.4612794612794616E-2</v>
      </c>
      <c r="AL46" s="13">
        <f t="shared" si="35"/>
        <v>3.0874381333961819E-2</v>
      </c>
      <c r="AM46" s="13">
        <f t="shared" si="36"/>
        <v>2.8290577799088949E-2</v>
      </c>
      <c r="AN46" s="13">
        <f t="shared" si="37"/>
        <v>2.4684067556395416E-2</v>
      </c>
      <c r="AO46" s="13">
        <f t="shared" si="38"/>
        <v>2.9366121523218335E-2</v>
      </c>
      <c r="AP46" s="13">
        <f t="shared" si="39"/>
        <v>2.3184868822452714E-2</v>
      </c>
      <c r="AQ46" s="13">
        <f t="shared" si="40"/>
        <v>2.061732808961983E-2</v>
      </c>
      <c r="AR46" s="13">
        <f t="shared" si="41"/>
        <v>4.6574696380143853E-2</v>
      </c>
      <c r="AS46" s="13">
        <f t="shared" si="42"/>
        <v>4.5481117736466736E-2</v>
      </c>
      <c r="AT46" s="13">
        <f t="shared" si="15"/>
        <v>4.5006165228113439E-2</v>
      </c>
      <c r="AU46" s="13">
        <f t="shared" si="16"/>
        <v>4.3798262548262551E-2</v>
      </c>
      <c r="AV46" s="13">
        <f t="shared" si="17"/>
        <v>4.9009900990099012E-2</v>
      </c>
      <c r="AW46" s="13">
        <f t="shared" si="18"/>
        <v>4.3113032736256947E-2</v>
      </c>
    </row>
    <row r="47" spans="6:49">
      <c r="F47" s="4" t="s">
        <v>29</v>
      </c>
      <c r="G47" s="11">
        <f t="shared" si="4"/>
        <v>0.13709677419354838</v>
      </c>
      <c r="H47" s="11">
        <f t="shared" si="19"/>
        <v>0.18911502401097643</v>
      </c>
      <c r="I47" s="11">
        <f t="shared" si="20"/>
        <v>0.18813716404077849</v>
      </c>
      <c r="J47" s="11">
        <f t="shared" si="21"/>
        <v>0.18719554627696591</v>
      </c>
      <c r="K47" s="11">
        <f t="shared" si="22"/>
        <v>0.19524734376785102</v>
      </c>
      <c r="L47" s="11">
        <f t="shared" si="23"/>
        <v>0.20004525910839557</v>
      </c>
      <c r="M47" s="11">
        <f t="shared" si="24"/>
        <v>0.19515276820583505</v>
      </c>
      <c r="N47" s="11">
        <f t="shared" si="25"/>
        <v>0.19807937058891589</v>
      </c>
      <c r="O47" s="11">
        <f t="shared" si="26"/>
        <v>0.17477080190321456</v>
      </c>
      <c r="P47" s="11">
        <f t="shared" si="5"/>
        <v>0.15014130946773435</v>
      </c>
      <c r="Q47" s="11">
        <f t="shared" si="6"/>
        <v>0.15366596392597798</v>
      </c>
      <c r="R47" s="11">
        <f t="shared" si="7"/>
        <v>0.1500953743443014</v>
      </c>
      <c r="S47" s="11">
        <f t="shared" si="8"/>
        <v>0.14859094790777114</v>
      </c>
      <c r="U47" s="9" t="s">
        <v>29</v>
      </c>
      <c r="V47" s="13">
        <f t="shared" si="9"/>
        <v>0.84018817204301077</v>
      </c>
      <c r="W47" s="13">
        <f t="shared" si="27"/>
        <v>0.79499199634118456</v>
      </c>
      <c r="X47" s="13">
        <f t="shared" si="28"/>
        <v>0.79518072289156627</v>
      </c>
      <c r="Y47" s="13">
        <f t="shared" si="29"/>
        <v>0.7952911157504059</v>
      </c>
      <c r="Z47" s="13">
        <f t="shared" si="30"/>
        <v>0.78761567462584259</v>
      </c>
      <c r="AA47" s="13">
        <f t="shared" si="31"/>
        <v>0.78309572301425667</v>
      </c>
      <c r="AB47" s="13">
        <f t="shared" si="32"/>
        <v>0.79221226740179185</v>
      </c>
      <c r="AC47" s="13">
        <f t="shared" si="33"/>
        <v>0.78838366307994912</v>
      </c>
      <c r="AD47" s="13">
        <f t="shared" si="34"/>
        <v>0.78774515492630848</v>
      </c>
      <c r="AE47" s="13">
        <f t="shared" si="10"/>
        <v>0.81205840791333017</v>
      </c>
      <c r="AF47" s="13">
        <f t="shared" si="11"/>
        <v>0.80944014991801361</v>
      </c>
      <c r="AG47" s="13">
        <f t="shared" si="12"/>
        <v>0.81378159275154982</v>
      </c>
      <c r="AH47" s="13">
        <f t="shared" si="13"/>
        <v>0.81493229230206177</v>
      </c>
      <c r="AJ47" s="9" t="s">
        <v>29</v>
      </c>
      <c r="AK47" s="13">
        <f t="shared" si="14"/>
        <v>2.2715053763440862E-2</v>
      </c>
      <c r="AL47" s="13">
        <f t="shared" si="35"/>
        <v>1.5892979647839013E-2</v>
      </c>
      <c r="AM47" s="13">
        <f t="shared" si="36"/>
        <v>1.6682113067655237E-2</v>
      </c>
      <c r="AN47" s="13">
        <f t="shared" si="37"/>
        <v>1.7513337972628159E-2</v>
      </c>
      <c r="AO47" s="13">
        <f t="shared" si="38"/>
        <v>1.713698160630641E-2</v>
      </c>
      <c r="AP47" s="13">
        <f t="shared" si="39"/>
        <v>1.6859017877347816E-2</v>
      </c>
      <c r="AQ47" s="13">
        <f t="shared" si="40"/>
        <v>1.2634964392373075E-2</v>
      </c>
      <c r="AR47" s="13">
        <f t="shared" si="41"/>
        <v>1.3536966331135023E-2</v>
      </c>
      <c r="AS47" s="13">
        <f t="shared" si="42"/>
        <v>3.7484043170476967E-2</v>
      </c>
      <c r="AT47" s="13">
        <f t="shared" si="15"/>
        <v>3.780028261893547E-2</v>
      </c>
      <c r="AU47" s="13">
        <f t="shared" si="16"/>
        <v>3.6893886156008436E-2</v>
      </c>
      <c r="AV47" s="13">
        <f t="shared" si="17"/>
        <v>3.6123032904148783E-2</v>
      </c>
      <c r="AW47" s="13">
        <f t="shared" si="18"/>
        <v>3.6476759790167138E-2</v>
      </c>
    </row>
    <row r="48" spans="6:49">
      <c r="F48" s="4" t="s">
        <v>30</v>
      </c>
      <c r="G48" s="11">
        <f t="shared" si="4"/>
        <v>0.24721819061441702</v>
      </c>
      <c r="H48" s="11">
        <f t="shared" si="19"/>
        <v>0.48032596041909198</v>
      </c>
      <c r="I48" s="11">
        <f t="shared" si="20"/>
        <v>0.51306471306471302</v>
      </c>
      <c r="J48" s="11">
        <f t="shared" si="21"/>
        <v>0.52004830917874401</v>
      </c>
      <c r="K48" s="11">
        <f t="shared" si="22"/>
        <v>0.54228380315336833</v>
      </c>
      <c r="L48" s="11">
        <f t="shared" si="23"/>
        <v>0.58566221142162822</v>
      </c>
      <c r="M48" s="11">
        <f t="shared" si="24"/>
        <v>0.63588136001929108</v>
      </c>
      <c r="N48" s="11">
        <f t="shared" si="25"/>
        <v>0.3862191711161963</v>
      </c>
      <c r="O48" s="11">
        <f t="shared" si="26"/>
        <v>0.34438076252180416</v>
      </c>
      <c r="P48" s="11">
        <f t="shared" si="5"/>
        <v>0.32273959103227395</v>
      </c>
      <c r="Q48" s="11">
        <f t="shared" si="6"/>
        <v>0.31033648027112082</v>
      </c>
      <c r="R48" s="11">
        <f t="shared" si="7"/>
        <v>0.33650097465886941</v>
      </c>
      <c r="S48" s="11">
        <f t="shared" si="8"/>
        <v>0.32988420793298839</v>
      </c>
      <c r="U48" s="9" t="s">
        <v>30</v>
      </c>
      <c r="V48" s="13">
        <f t="shared" si="9"/>
        <v>0.61199806482825347</v>
      </c>
      <c r="W48" s="13">
        <f t="shared" si="27"/>
        <v>0.38137369033760188</v>
      </c>
      <c r="X48" s="13">
        <f t="shared" si="28"/>
        <v>0.36239316239316238</v>
      </c>
      <c r="Y48" s="13">
        <f t="shared" si="29"/>
        <v>0.3497584541062802</v>
      </c>
      <c r="Z48" s="13">
        <f t="shared" si="30"/>
        <v>0.34543717152412806</v>
      </c>
      <c r="AA48" s="13">
        <f t="shared" si="31"/>
        <v>0.30862697448359661</v>
      </c>
      <c r="AB48" s="13">
        <f t="shared" si="32"/>
        <v>0.23269833614661201</v>
      </c>
      <c r="AC48" s="13">
        <f t="shared" si="33"/>
        <v>0.27943046020849227</v>
      </c>
      <c r="AD48" s="13">
        <f t="shared" si="34"/>
        <v>0.54348367804634934</v>
      </c>
      <c r="AE48" s="13">
        <f t="shared" si="10"/>
        <v>0.57230845035723088</v>
      </c>
      <c r="AF48" s="13">
        <f t="shared" si="11"/>
        <v>0.58460421205519242</v>
      </c>
      <c r="AG48" s="13">
        <f t="shared" si="12"/>
        <v>0.55872319688109162</v>
      </c>
      <c r="AH48" s="13">
        <f t="shared" si="13"/>
        <v>0.56417836905641783</v>
      </c>
      <c r="AJ48" s="9" t="s">
        <v>30</v>
      </c>
      <c r="AK48" s="13">
        <f t="shared" si="14"/>
        <v>0.14078374455732948</v>
      </c>
      <c r="AL48" s="13">
        <f t="shared" si="35"/>
        <v>0.13830034924330617</v>
      </c>
      <c r="AM48" s="13">
        <f t="shared" si="36"/>
        <v>0.12454212454212454</v>
      </c>
      <c r="AN48" s="13">
        <f t="shared" si="37"/>
        <v>0.13019323671497585</v>
      </c>
      <c r="AO48" s="13">
        <f t="shared" si="38"/>
        <v>0.11227902532250358</v>
      </c>
      <c r="AP48" s="13">
        <f t="shared" si="39"/>
        <v>0.10571081409477522</v>
      </c>
      <c r="AQ48" s="13">
        <f t="shared" si="40"/>
        <v>0.13142030383409695</v>
      </c>
      <c r="AR48" s="13">
        <f t="shared" si="41"/>
        <v>0.33435036867531148</v>
      </c>
      <c r="AS48" s="13">
        <f t="shared" si="42"/>
        <v>0.1121355594318465</v>
      </c>
      <c r="AT48" s="13">
        <f t="shared" si="15"/>
        <v>0.10495195861049519</v>
      </c>
      <c r="AU48" s="13">
        <f t="shared" si="16"/>
        <v>0.10505930767368676</v>
      </c>
      <c r="AV48" s="13">
        <f t="shared" si="17"/>
        <v>0.10477582846003898</v>
      </c>
      <c r="AW48" s="13">
        <f t="shared" si="18"/>
        <v>0.10593742301059374</v>
      </c>
    </row>
    <row r="49" spans="6:49">
      <c r="F49" s="4" t="s">
        <v>31</v>
      </c>
      <c r="G49" s="11">
        <f t="shared" si="4"/>
        <v>0.38024357239512857</v>
      </c>
      <c r="H49" s="11">
        <f t="shared" si="19"/>
        <v>0.63490334876123056</v>
      </c>
      <c r="I49" s="11">
        <f t="shared" si="20"/>
        <v>0.64572377525601998</v>
      </c>
      <c r="J49" s="11">
        <f t="shared" si="21"/>
        <v>0.65512503435009617</v>
      </c>
      <c r="K49" s="11">
        <f t="shared" si="22"/>
        <v>0.65957446808510634</v>
      </c>
      <c r="L49" s="11">
        <f t="shared" si="23"/>
        <v>0.6988480526604498</v>
      </c>
      <c r="M49" s="11">
        <f t="shared" si="24"/>
        <v>0.78262061403508776</v>
      </c>
      <c r="N49" s="11">
        <f t="shared" si="25"/>
        <v>0.73626373626373631</v>
      </c>
      <c r="O49" s="11">
        <f t="shared" si="26"/>
        <v>0.45223112128146453</v>
      </c>
      <c r="P49" s="11">
        <f t="shared" si="5"/>
        <v>0.44392004441976679</v>
      </c>
      <c r="Q49" s="11">
        <f t="shared" si="6"/>
        <v>0.4298197706171491</v>
      </c>
      <c r="R49" s="11">
        <f t="shared" si="7"/>
        <v>0.41805745554035567</v>
      </c>
      <c r="S49" s="11">
        <f t="shared" si="8"/>
        <v>0.44269662921348313</v>
      </c>
      <c r="U49" s="9" t="s">
        <v>31</v>
      </c>
      <c r="V49" s="13">
        <f t="shared" si="9"/>
        <v>0.48552097428958052</v>
      </c>
      <c r="W49" s="13">
        <f t="shared" si="27"/>
        <v>0.23740811325891642</v>
      </c>
      <c r="X49" s="13">
        <f t="shared" si="28"/>
        <v>0.23609189039579298</v>
      </c>
      <c r="Y49" s="13">
        <f t="shared" si="29"/>
        <v>0.22698543555921957</v>
      </c>
      <c r="Z49" s="13">
        <f t="shared" si="30"/>
        <v>0.21995026250345398</v>
      </c>
      <c r="AA49" s="13">
        <f t="shared" si="31"/>
        <v>0.19116840373011521</v>
      </c>
      <c r="AB49" s="13">
        <f t="shared" si="32"/>
        <v>0.14912280701754385</v>
      </c>
      <c r="AC49" s="13">
        <f t="shared" si="33"/>
        <v>0.13883677298311445</v>
      </c>
      <c r="AD49" s="13">
        <f t="shared" si="34"/>
        <v>0.18850114416475972</v>
      </c>
      <c r="AE49" s="13">
        <f t="shared" si="10"/>
        <v>0.45530260966129926</v>
      </c>
      <c r="AF49" s="13">
        <f t="shared" si="11"/>
        <v>0.46095030038230478</v>
      </c>
      <c r="AG49" s="13">
        <f t="shared" si="12"/>
        <v>0.4692202462380301</v>
      </c>
      <c r="AH49" s="13">
        <f t="shared" si="13"/>
        <v>0.45112359550561798</v>
      </c>
      <c r="AJ49" s="9" t="s">
        <v>31</v>
      </c>
      <c r="AK49" s="13">
        <f t="shared" si="14"/>
        <v>0.13423545331529094</v>
      </c>
      <c r="AL49" s="13">
        <f t="shared" si="35"/>
        <v>0.12768853797985297</v>
      </c>
      <c r="AM49" s="13">
        <f t="shared" si="36"/>
        <v>0.11818433434818711</v>
      </c>
      <c r="AN49" s="13">
        <f t="shared" si="37"/>
        <v>0.11788953009068426</v>
      </c>
      <c r="AO49" s="13">
        <f t="shared" si="38"/>
        <v>0.12047526941143963</v>
      </c>
      <c r="AP49" s="13">
        <f t="shared" si="39"/>
        <v>0.10998354360943499</v>
      </c>
      <c r="AQ49" s="13">
        <f t="shared" si="40"/>
        <v>6.8256578947368418E-2</v>
      </c>
      <c r="AR49" s="13">
        <f t="shared" si="41"/>
        <v>0.12489949075314929</v>
      </c>
      <c r="AS49" s="13">
        <f t="shared" si="42"/>
        <v>0.35926773455377575</v>
      </c>
      <c r="AT49" s="13">
        <f t="shared" si="15"/>
        <v>0.10077734591893392</v>
      </c>
      <c r="AU49" s="13">
        <f t="shared" si="16"/>
        <v>0.10922992900054615</v>
      </c>
      <c r="AV49" s="13">
        <f t="shared" si="17"/>
        <v>0.11272229822161423</v>
      </c>
      <c r="AW49" s="13">
        <f t="shared" si="18"/>
        <v>0.10617977528089888</v>
      </c>
    </row>
    <row r="50" spans="6:49">
      <c r="F50" s="4" t="s">
        <v>32</v>
      </c>
      <c r="G50" s="11">
        <f t="shared" si="4"/>
        <v>0.5127813281467074</v>
      </c>
      <c r="H50" s="11">
        <f t="shared" si="19"/>
        <v>0.75625859697386522</v>
      </c>
      <c r="I50" s="11">
        <f t="shared" si="20"/>
        <v>0.76751199451679231</v>
      </c>
      <c r="J50" s="11">
        <f t="shared" si="21"/>
        <v>0.77330567081604429</v>
      </c>
      <c r="K50" s="11">
        <f t="shared" si="22"/>
        <v>0.775783515118045</v>
      </c>
      <c r="L50" s="11">
        <f t="shared" si="23"/>
        <v>0.79247386759581884</v>
      </c>
      <c r="M50" s="11">
        <f t="shared" si="24"/>
        <v>0.84906979997202403</v>
      </c>
      <c r="N50" s="11">
        <f t="shared" si="25"/>
        <v>0.85694540428472699</v>
      </c>
      <c r="O50" s="11">
        <f t="shared" si="26"/>
        <v>0.81653888280394304</v>
      </c>
      <c r="P50" s="11">
        <f t="shared" si="5"/>
        <v>0.5444444444444444</v>
      </c>
      <c r="Q50" s="11">
        <f t="shared" si="6"/>
        <v>0.55877009084556251</v>
      </c>
      <c r="R50" s="11">
        <f t="shared" si="7"/>
        <v>0.55077960387694902</v>
      </c>
      <c r="S50" s="11">
        <f t="shared" si="8"/>
        <v>0.54496453900709219</v>
      </c>
      <c r="U50" s="9" t="s">
        <v>32</v>
      </c>
      <c r="V50" s="13">
        <f t="shared" si="9"/>
        <v>0.34731869963878853</v>
      </c>
      <c r="W50" s="13">
        <f t="shared" si="27"/>
        <v>0.11609353507565337</v>
      </c>
      <c r="X50" s="13">
        <f t="shared" si="28"/>
        <v>0.11747772446881426</v>
      </c>
      <c r="Y50" s="13">
        <f t="shared" si="29"/>
        <v>0.11286307053941909</v>
      </c>
      <c r="Z50" s="13">
        <f t="shared" si="30"/>
        <v>0.10782824796355102</v>
      </c>
      <c r="AA50" s="13">
        <f t="shared" si="31"/>
        <v>9.993031358885017E-2</v>
      </c>
      <c r="AB50" s="13">
        <f t="shared" si="32"/>
        <v>7.357672401734508E-2</v>
      </c>
      <c r="AC50" s="13">
        <f t="shared" si="33"/>
        <v>7.1872840359364198E-2</v>
      </c>
      <c r="AD50" s="13">
        <f t="shared" si="34"/>
        <v>6.0104052573932094E-2</v>
      </c>
      <c r="AE50" s="13">
        <f t="shared" si="10"/>
        <v>0.1111111111111111</v>
      </c>
      <c r="AF50" s="13">
        <f t="shared" si="11"/>
        <v>0.10775681341719077</v>
      </c>
      <c r="AG50" s="13">
        <f t="shared" si="12"/>
        <v>0.1153251861216463</v>
      </c>
      <c r="AH50" s="13">
        <f t="shared" si="13"/>
        <v>0.11815602836879432</v>
      </c>
      <c r="AJ50" s="9" t="s">
        <v>32</v>
      </c>
      <c r="AK50" s="13">
        <f t="shared" si="14"/>
        <v>0.13989997221450404</v>
      </c>
      <c r="AL50" s="13">
        <f t="shared" si="35"/>
        <v>0.12764786795048144</v>
      </c>
      <c r="AM50" s="13">
        <f t="shared" si="36"/>
        <v>0.11501028101439342</v>
      </c>
      <c r="AN50" s="13">
        <f t="shared" si="37"/>
        <v>0.11383125864453665</v>
      </c>
      <c r="AO50" s="13">
        <f t="shared" si="38"/>
        <v>0.11638823691840397</v>
      </c>
      <c r="AP50" s="13">
        <f t="shared" si="39"/>
        <v>0.10759581881533101</v>
      </c>
      <c r="AQ50" s="13">
        <f t="shared" si="40"/>
        <v>7.7353476010630862E-2</v>
      </c>
      <c r="AR50" s="13">
        <f t="shared" si="41"/>
        <v>7.1181755355908774E-2</v>
      </c>
      <c r="AS50" s="13">
        <f t="shared" si="42"/>
        <v>0.12335706462212487</v>
      </c>
      <c r="AT50" s="13">
        <f t="shared" si="15"/>
        <v>0.34444444444444444</v>
      </c>
      <c r="AU50" s="13">
        <f t="shared" si="16"/>
        <v>0.33347309573724671</v>
      </c>
      <c r="AV50" s="13">
        <f t="shared" si="17"/>
        <v>0.33389521000140471</v>
      </c>
      <c r="AW50" s="13">
        <f t="shared" si="18"/>
        <v>0.33687943262411346</v>
      </c>
    </row>
    <row r="51" spans="6:49">
      <c r="F51" s="4" t="s">
        <v>33</v>
      </c>
      <c r="G51" s="11">
        <f t="shared" si="4"/>
        <v>0.14864864864864866</v>
      </c>
      <c r="H51" s="11">
        <f t="shared" si="19"/>
        <v>0.37386018237082069</v>
      </c>
      <c r="I51" s="11">
        <f t="shared" si="20"/>
        <v>0.32807570977917982</v>
      </c>
      <c r="J51" s="11">
        <f t="shared" si="21"/>
        <v>0.30618892508143325</v>
      </c>
      <c r="K51" s="11">
        <f t="shared" si="22"/>
        <v>0.35172413793103446</v>
      </c>
      <c r="L51" s="11">
        <f t="shared" si="23"/>
        <v>0.34337349397590361</v>
      </c>
      <c r="M51" s="11">
        <f t="shared" si="24"/>
        <v>0.35598705501618122</v>
      </c>
      <c r="N51" s="11">
        <f t="shared" si="25"/>
        <v>0.31746031746031744</v>
      </c>
      <c r="O51" s="11">
        <f t="shared" si="26"/>
        <v>0.30650154798761609</v>
      </c>
      <c r="P51" s="11">
        <f t="shared" si="5"/>
        <v>0.25986842105263158</v>
      </c>
      <c r="Q51" s="11">
        <f t="shared" si="6"/>
        <v>0.2260061919504644</v>
      </c>
      <c r="R51" s="11">
        <f t="shared" si="7"/>
        <v>0.23174603174603176</v>
      </c>
      <c r="S51" s="11">
        <f t="shared" si="8"/>
        <v>0.28700906344410876</v>
      </c>
      <c r="U51" s="9" t="s">
        <v>33</v>
      </c>
      <c r="V51" s="13">
        <f t="shared" si="9"/>
        <v>0.80743243243243246</v>
      </c>
      <c r="W51" s="13">
        <f t="shared" si="27"/>
        <v>0.57446808510638303</v>
      </c>
      <c r="X51" s="13">
        <f t="shared" si="28"/>
        <v>0.62776025236593058</v>
      </c>
      <c r="Y51" s="13">
        <f t="shared" si="29"/>
        <v>0.66123778501628661</v>
      </c>
      <c r="Z51" s="13">
        <f t="shared" si="30"/>
        <v>0.60344827586206895</v>
      </c>
      <c r="AA51" s="13">
        <f t="shared" si="31"/>
        <v>0.60843373493975905</v>
      </c>
      <c r="AB51" s="13">
        <f t="shared" si="32"/>
        <v>0.61488673139158578</v>
      </c>
      <c r="AC51" s="13">
        <f t="shared" si="33"/>
        <v>0.63809523809523805</v>
      </c>
      <c r="AD51" s="13">
        <f t="shared" si="34"/>
        <v>0.64086687306501544</v>
      </c>
      <c r="AE51" s="13">
        <f t="shared" si="10"/>
        <v>0.67434210526315785</v>
      </c>
      <c r="AF51" s="13">
        <f t="shared" si="11"/>
        <v>0.70278637770897834</v>
      </c>
      <c r="AG51" s="13">
        <f t="shared" si="12"/>
        <v>0.71746031746031746</v>
      </c>
      <c r="AH51" s="13">
        <f t="shared" si="13"/>
        <v>0.65558912386706947</v>
      </c>
      <c r="AJ51" s="9" t="s">
        <v>33</v>
      </c>
      <c r="AK51" s="13">
        <f t="shared" si="14"/>
        <v>4.3918918918918921E-2</v>
      </c>
      <c r="AL51" s="13">
        <f t="shared" si="35"/>
        <v>5.1671732522796353E-2</v>
      </c>
      <c r="AM51" s="13">
        <f t="shared" si="36"/>
        <v>4.4164037854889593E-2</v>
      </c>
      <c r="AN51" s="13">
        <f t="shared" si="37"/>
        <v>3.2573289902280131E-2</v>
      </c>
      <c r="AO51" s="13">
        <f t="shared" si="38"/>
        <v>4.4827586206896551E-2</v>
      </c>
      <c r="AP51" s="13">
        <f t="shared" si="39"/>
        <v>4.8192771084337352E-2</v>
      </c>
      <c r="AQ51" s="13">
        <f t="shared" si="40"/>
        <v>2.9126213592233011E-2</v>
      </c>
      <c r="AR51" s="13">
        <f t="shared" si="41"/>
        <v>4.4444444444444446E-2</v>
      </c>
      <c r="AS51" s="13">
        <f t="shared" si="42"/>
        <v>5.2631578947368418E-2</v>
      </c>
      <c r="AT51" s="13">
        <f t="shared" si="15"/>
        <v>6.5789473684210523E-2</v>
      </c>
      <c r="AU51" s="13">
        <f t="shared" si="16"/>
        <v>7.1207430340557279E-2</v>
      </c>
      <c r="AV51" s="13">
        <f t="shared" si="17"/>
        <v>5.0793650793650794E-2</v>
      </c>
      <c r="AW51" s="13">
        <f t="shared" si="18"/>
        <v>5.7401812688821753E-2</v>
      </c>
    </row>
    <row r="52" spans="6:49">
      <c r="F52" s="4" t="s">
        <v>34</v>
      </c>
      <c r="G52" s="11">
        <f t="shared" si="4"/>
        <v>0.16361071932299012</v>
      </c>
      <c r="H52" s="11">
        <f t="shared" si="19"/>
        <v>0.30645161290322581</v>
      </c>
      <c r="I52" s="11">
        <f t="shared" si="20"/>
        <v>0.28650137741046833</v>
      </c>
      <c r="J52" s="11">
        <f t="shared" si="21"/>
        <v>0.30727023319615915</v>
      </c>
      <c r="K52" s="11">
        <f t="shared" si="22"/>
        <v>0.28591549295774649</v>
      </c>
      <c r="L52" s="11">
        <f t="shared" si="23"/>
        <v>0.30441176470588233</v>
      </c>
      <c r="M52" s="11">
        <f t="shared" si="24"/>
        <v>0.34166666666666667</v>
      </c>
      <c r="N52" s="11">
        <f t="shared" si="25"/>
        <v>0.30466472303206998</v>
      </c>
      <c r="O52" s="11">
        <f t="shared" si="26"/>
        <v>0.27285513361462727</v>
      </c>
      <c r="P52" s="11">
        <f t="shared" si="5"/>
        <v>0.19591836734693877</v>
      </c>
      <c r="Q52" s="11">
        <f t="shared" si="6"/>
        <v>0.21825396825396826</v>
      </c>
      <c r="R52" s="11">
        <f t="shared" si="7"/>
        <v>0.21447721179624665</v>
      </c>
      <c r="S52" s="11">
        <f t="shared" si="8"/>
        <v>0.23032069970845481</v>
      </c>
      <c r="U52" s="9" t="s">
        <v>34</v>
      </c>
      <c r="V52" s="13">
        <f t="shared" si="9"/>
        <v>0.8110014104372355</v>
      </c>
      <c r="W52" s="13">
        <f t="shared" si="27"/>
        <v>0.64222873900293254</v>
      </c>
      <c r="X52" s="13">
        <f t="shared" si="28"/>
        <v>0.67493112947658407</v>
      </c>
      <c r="Y52" s="13">
        <f t="shared" si="29"/>
        <v>0.66255144032921809</v>
      </c>
      <c r="Z52" s="13">
        <f t="shared" si="30"/>
        <v>0.6816901408450704</v>
      </c>
      <c r="AA52" s="13">
        <f t="shared" si="31"/>
        <v>0.66029411764705881</v>
      </c>
      <c r="AB52" s="13">
        <f t="shared" si="32"/>
        <v>0.62638888888888888</v>
      </c>
      <c r="AC52" s="13">
        <f t="shared" si="33"/>
        <v>0.62390670553935856</v>
      </c>
      <c r="AD52" s="13">
        <f t="shared" si="34"/>
        <v>0.66947960618846691</v>
      </c>
      <c r="AE52" s="13">
        <f t="shared" si="10"/>
        <v>0.75102040816326532</v>
      </c>
      <c r="AF52" s="13">
        <f t="shared" si="11"/>
        <v>0.71164021164021163</v>
      </c>
      <c r="AG52" s="13">
        <f t="shared" si="12"/>
        <v>0.73324396782841827</v>
      </c>
      <c r="AH52" s="13">
        <f t="shared" si="13"/>
        <v>0.70262390670553931</v>
      </c>
      <c r="AJ52" s="9" t="s">
        <v>34</v>
      </c>
      <c r="AK52" s="13">
        <f t="shared" si="14"/>
        <v>2.5387870239774329E-2</v>
      </c>
      <c r="AL52" s="13">
        <f t="shared" si="35"/>
        <v>5.1319648093841645E-2</v>
      </c>
      <c r="AM52" s="13">
        <f t="shared" si="36"/>
        <v>3.8567493112947659E-2</v>
      </c>
      <c r="AN52" s="13">
        <f t="shared" si="37"/>
        <v>3.017832647462277E-2</v>
      </c>
      <c r="AO52" s="13">
        <f t="shared" si="38"/>
        <v>3.2394366197183097E-2</v>
      </c>
      <c r="AP52" s="13">
        <f t="shared" si="39"/>
        <v>3.5294117647058823E-2</v>
      </c>
      <c r="AQ52" s="13">
        <f t="shared" si="40"/>
        <v>3.1944444444444442E-2</v>
      </c>
      <c r="AR52" s="13">
        <f t="shared" si="41"/>
        <v>7.1428571428571425E-2</v>
      </c>
      <c r="AS52" s="13">
        <f t="shared" si="42"/>
        <v>5.7665260196905765E-2</v>
      </c>
      <c r="AT52" s="13">
        <f t="shared" si="15"/>
        <v>5.3061224489795916E-2</v>
      </c>
      <c r="AU52" s="13">
        <f t="shared" si="16"/>
        <v>7.0105820105820102E-2</v>
      </c>
      <c r="AV52" s="13">
        <f t="shared" si="17"/>
        <v>5.2278820375335121E-2</v>
      </c>
      <c r="AW52" s="13">
        <f t="shared" si="18"/>
        <v>6.7055393586005832E-2</v>
      </c>
    </row>
    <row r="53" spans="6:49">
      <c r="F53" s="4" t="s">
        <v>35</v>
      </c>
      <c r="G53" s="11">
        <f t="shared" si="4"/>
        <v>0.16953316953316952</v>
      </c>
      <c r="H53" s="11">
        <f t="shared" si="19"/>
        <v>0.25853658536585367</v>
      </c>
      <c r="I53" s="11">
        <f t="shared" si="20"/>
        <v>0.28187919463087246</v>
      </c>
      <c r="J53" s="11">
        <f t="shared" si="21"/>
        <v>0.28645161290322579</v>
      </c>
      <c r="K53" s="11">
        <f t="shared" si="22"/>
        <v>0.27726675427069647</v>
      </c>
      <c r="L53" s="11">
        <f t="shared" si="23"/>
        <v>0.28905289052890532</v>
      </c>
      <c r="M53" s="11">
        <f t="shared" si="24"/>
        <v>0.30548628428927682</v>
      </c>
      <c r="N53" s="11">
        <f t="shared" si="25"/>
        <v>0.28848641655886159</v>
      </c>
      <c r="O53" s="11">
        <f t="shared" si="26"/>
        <v>0.24851367419738407</v>
      </c>
      <c r="P53" s="11">
        <f t="shared" si="5"/>
        <v>0.19287469287469289</v>
      </c>
      <c r="Q53" s="11">
        <f t="shared" si="6"/>
        <v>0.18551461245235071</v>
      </c>
      <c r="R53" s="11">
        <f t="shared" si="7"/>
        <v>0.19326683291770574</v>
      </c>
      <c r="S53" s="11">
        <f t="shared" si="8"/>
        <v>0.21305418719211822</v>
      </c>
      <c r="U53" s="9" t="s">
        <v>35</v>
      </c>
      <c r="V53" s="13">
        <f t="shared" si="9"/>
        <v>0.7960687960687961</v>
      </c>
      <c r="W53" s="13">
        <f t="shared" si="27"/>
        <v>0.7</v>
      </c>
      <c r="X53" s="13">
        <f t="shared" si="28"/>
        <v>0.68590604026845636</v>
      </c>
      <c r="Y53" s="13">
        <f t="shared" si="29"/>
        <v>0.68516129032258066</v>
      </c>
      <c r="Z53" s="13">
        <f t="shared" si="30"/>
        <v>0.69513797634691199</v>
      </c>
      <c r="AA53" s="13">
        <f t="shared" si="31"/>
        <v>0.6789667896678967</v>
      </c>
      <c r="AB53" s="13">
        <f t="shared" si="32"/>
        <v>0.66583541147132175</v>
      </c>
      <c r="AC53" s="13">
        <f t="shared" si="33"/>
        <v>0.65847347994825356</v>
      </c>
      <c r="AD53" s="13">
        <f t="shared" si="34"/>
        <v>0.70392390011890604</v>
      </c>
      <c r="AE53" s="13">
        <f t="shared" si="10"/>
        <v>0.75798525798525795</v>
      </c>
      <c r="AF53" s="13">
        <f t="shared" si="11"/>
        <v>0.75984752223634056</v>
      </c>
      <c r="AG53" s="13">
        <f t="shared" si="12"/>
        <v>0.75311720698254359</v>
      </c>
      <c r="AH53" s="13">
        <f t="shared" si="13"/>
        <v>0.75123152709359609</v>
      </c>
      <c r="AJ53" s="9" t="s">
        <v>35</v>
      </c>
      <c r="AK53" s="13">
        <f t="shared" si="14"/>
        <v>3.4398034398034398E-2</v>
      </c>
      <c r="AL53" s="13">
        <f t="shared" si="35"/>
        <v>4.1463414634146344E-2</v>
      </c>
      <c r="AM53" s="13">
        <f t="shared" si="36"/>
        <v>3.2214765100671144E-2</v>
      </c>
      <c r="AN53" s="13">
        <f t="shared" si="37"/>
        <v>2.838709677419355E-2</v>
      </c>
      <c r="AO53" s="13">
        <f t="shared" si="38"/>
        <v>2.7595269382391589E-2</v>
      </c>
      <c r="AP53" s="13">
        <f t="shared" si="39"/>
        <v>3.1980319803198029E-2</v>
      </c>
      <c r="AQ53" s="13">
        <f t="shared" si="40"/>
        <v>2.8678304239401497E-2</v>
      </c>
      <c r="AR53" s="13">
        <f t="shared" si="41"/>
        <v>5.3040103492884863E-2</v>
      </c>
      <c r="AS53" s="13">
        <f t="shared" si="42"/>
        <v>4.7562425683709872E-2</v>
      </c>
      <c r="AT53" s="13">
        <f t="shared" si="15"/>
        <v>4.9140049140049137E-2</v>
      </c>
      <c r="AU53" s="13">
        <f t="shared" si="16"/>
        <v>5.4637865311308764E-2</v>
      </c>
      <c r="AV53" s="13">
        <f t="shared" si="17"/>
        <v>5.3615960099750622E-2</v>
      </c>
      <c r="AW53" s="13">
        <f t="shared" si="18"/>
        <v>3.5714285714285712E-2</v>
      </c>
    </row>
    <row r="54" spans="6:49">
      <c r="F54" s="4" t="s">
        <v>36</v>
      </c>
      <c r="G54" s="11">
        <f t="shared" si="4"/>
        <v>0.15141612200435731</v>
      </c>
      <c r="H54" s="11">
        <f t="shared" si="19"/>
        <v>0.23959390862944163</v>
      </c>
      <c r="I54" s="11">
        <f t="shared" si="20"/>
        <v>0.25343811394891946</v>
      </c>
      <c r="J54" s="11">
        <f t="shared" si="21"/>
        <v>0.24607329842931938</v>
      </c>
      <c r="K54" s="11">
        <f t="shared" si="22"/>
        <v>0.25564681724845995</v>
      </c>
      <c r="L54" s="11">
        <f t="shared" si="23"/>
        <v>0.23468328141225336</v>
      </c>
      <c r="M54" s="11">
        <f t="shared" si="24"/>
        <v>0.30359085963003263</v>
      </c>
      <c r="N54" s="11">
        <f t="shared" si="25"/>
        <v>0.26844262295081966</v>
      </c>
      <c r="O54" s="11">
        <f t="shared" si="26"/>
        <v>0.22422954303931988</v>
      </c>
      <c r="P54" s="11">
        <f t="shared" si="5"/>
        <v>0.19296482412060301</v>
      </c>
      <c r="Q54" s="11">
        <f t="shared" si="6"/>
        <v>0.19003115264797507</v>
      </c>
      <c r="R54" s="11">
        <f t="shared" si="7"/>
        <v>0.19667318982387474</v>
      </c>
      <c r="S54" s="11">
        <f t="shared" si="8"/>
        <v>0.18974358974358974</v>
      </c>
      <c r="U54" s="9" t="s">
        <v>36</v>
      </c>
      <c r="V54" s="13">
        <f t="shared" si="9"/>
        <v>0.8061002178649237</v>
      </c>
      <c r="W54" s="13">
        <f t="shared" si="27"/>
        <v>0.7208121827411168</v>
      </c>
      <c r="X54" s="13">
        <f t="shared" si="28"/>
        <v>0.71611001964636545</v>
      </c>
      <c r="Y54" s="13">
        <f t="shared" si="29"/>
        <v>0.72460732984293197</v>
      </c>
      <c r="Z54" s="13">
        <f t="shared" si="30"/>
        <v>0.70636550308008217</v>
      </c>
      <c r="AA54" s="13">
        <f t="shared" si="31"/>
        <v>0.74143302180685355</v>
      </c>
      <c r="AB54" s="13">
        <f t="shared" si="32"/>
        <v>0.67464635473340584</v>
      </c>
      <c r="AC54" s="13">
        <f t="shared" si="33"/>
        <v>0.70081967213114749</v>
      </c>
      <c r="AD54" s="13">
        <f t="shared" si="34"/>
        <v>0.72582359192348567</v>
      </c>
      <c r="AE54" s="13">
        <f t="shared" si="10"/>
        <v>0.75979899497487435</v>
      </c>
      <c r="AF54" s="13">
        <f t="shared" si="11"/>
        <v>0.7570093457943925</v>
      </c>
      <c r="AG54" s="13">
        <f t="shared" si="12"/>
        <v>0.75048923679060664</v>
      </c>
      <c r="AH54" s="13">
        <f t="shared" si="13"/>
        <v>0.7548717948717949</v>
      </c>
      <c r="AJ54" s="9" t="s">
        <v>36</v>
      </c>
      <c r="AK54" s="13">
        <f t="shared" si="14"/>
        <v>4.2483660130718956E-2</v>
      </c>
      <c r="AL54" s="13">
        <f t="shared" si="35"/>
        <v>3.9593908629441621E-2</v>
      </c>
      <c r="AM54" s="13">
        <f t="shared" si="36"/>
        <v>3.0451866404715127E-2</v>
      </c>
      <c r="AN54" s="13">
        <f t="shared" si="37"/>
        <v>2.9319371727748691E-2</v>
      </c>
      <c r="AO54" s="13">
        <f t="shared" si="38"/>
        <v>3.7987679671457907E-2</v>
      </c>
      <c r="AP54" s="13">
        <f t="shared" si="39"/>
        <v>2.3883696780893044E-2</v>
      </c>
      <c r="AQ54" s="13">
        <f t="shared" si="40"/>
        <v>2.176278563656148E-2</v>
      </c>
      <c r="AR54" s="13">
        <f t="shared" si="41"/>
        <v>3.0737704918032786E-2</v>
      </c>
      <c r="AS54" s="13">
        <f t="shared" si="42"/>
        <v>4.9946865037194477E-2</v>
      </c>
      <c r="AT54" s="13">
        <f t="shared" si="15"/>
        <v>4.7236180904522612E-2</v>
      </c>
      <c r="AU54" s="13">
        <f t="shared" si="16"/>
        <v>5.2959501557632398E-2</v>
      </c>
      <c r="AV54" s="13">
        <f t="shared" si="17"/>
        <v>5.2837573385518588E-2</v>
      </c>
      <c r="AW54" s="13">
        <f t="shared" si="18"/>
        <v>5.5384615384615386E-2</v>
      </c>
    </row>
    <row r="55" spans="6:49">
      <c r="F55" s="4" t="s">
        <v>37</v>
      </c>
      <c r="G55" s="11">
        <f t="shared" si="4"/>
        <v>0.15338042381432895</v>
      </c>
      <c r="H55" s="11">
        <f t="shared" si="19"/>
        <v>0.21955403087478559</v>
      </c>
      <c r="I55" s="11">
        <f t="shared" si="20"/>
        <v>0.21692686935086278</v>
      </c>
      <c r="J55" s="11">
        <f t="shared" si="21"/>
        <v>0.21628498727735368</v>
      </c>
      <c r="K55" s="11">
        <f t="shared" si="22"/>
        <v>0.23634735899731424</v>
      </c>
      <c r="L55" s="11">
        <f t="shared" si="23"/>
        <v>0.22495755517826826</v>
      </c>
      <c r="M55" s="11">
        <f t="shared" si="24"/>
        <v>0.23096026490066227</v>
      </c>
      <c r="N55" s="11">
        <f t="shared" si="25"/>
        <v>0.20113544201135442</v>
      </c>
      <c r="O55" s="11">
        <f t="shared" si="26"/>
        <v>0.20279720279720279</v>
      </c>
      <c r="P55" s="11">
        <f t="shared" si="5"/>
        <v>0.17843866171003717</v>
      </c>
      <c r="Q55" s="11">
        <f t="shared" si="6"/>
        <v>0.17910447761194029</v>
      </c>
      <c r="R55" s="11">
        <f t="shared" si="7"/>
        <v>0.17267393126571667</v>
      </c>
      <c r="S55" s="11">
        <f t="shared" si="8"/>
        <v>0.14942528735632185</v>
      </c>
      <c r="U55" s="9" t="s">
        <v>37</v>
      </c>
      <c r="V55" s="13">
        <f t="shared" si="9"/>
        <v>0.81432896064581228</v>
      </c>
      <c r="W55" s="13">
        <f t="shared" si="27"/>
        <v>0.75042881646655235</v>
      </c>
      <c r="X55" s="13">
        <f t="shared" si="28"/>
        <v>0.75267050123253898</v>
      </c>
      <c r="Y55" s="13">
        <f t="shared" si="29"/>
        <v>0.75742154368108572</v>
      </c>
      <c r="Z55" s="13">
        <f t="shared" si="30"/>
        <v>0.73679498657117282</v>
      </c>
      <c r="AA55" s="13">
        <f t="shared" si="31"/>
        <v>0.74957555178268254</v>
      </c>
      <c r="AB55" s="13">
        <f t="shared" si="32"/>
        <v>0.74751655629139069</v>
      </c>
      <c r="AC55" s="13">
        <f t="shared" si="33"/>
        <v>0.74939172749391725</v>
      </c>
      <c r="AD55" s="13">
        <f t="shared" si="34"/>
        <v>0.75174825174825177</v>
      </c>
      <c r="AE55" s="13">
        <f t="shared" si="10"/>
        <v>0.77881040892193309</v>
      </c>
      <c r="AF55" s="13">
        <f t="shared" si="11"/>
        <v>0.78577699736611062</v>
      </c>
      <c r="AG55" s="13">
        <f t="shared" si="12"/>
        <v>0.79044425817267394</v>
      </c>
      <c r="AH55" s="13">
        <f t="shared" si="13"/>
        <v>0.79840848806366049</v>
      </c>
      <c r="AJ55" s="9" t="s">
        <v>37</v>
      </c>
      <c r="AK55" s="13">
        <f t="shared" si="14"/>
        <v>3.2290615539858729E-2</v>
      </c>
      <c r="AL55" s="13">
        <f t="shared" si="35"/>
        <v>3.0017152658662092E-2</v>
      </c>
      <c r="AM55" s="13">
        <f t="shared" si="36"/>
        <v>3.0402629416598194E-2</v>
      </c>
      <c r="AN55" s="13">
        <f t="shared" si="37"/>
        <v>2.6293469041560644E-2</v>
      </c>
      <c r="AO55" s="13">
        <f t="shared" si="38"/>
        <v>2.685765443151298E-2</v>
      </c>
      <c r="AP55" s="13">
        <f t="shared" si="39"/>
        <v>2.5466893039049237E-2</v>
      </c>
      <c r="AQ55" s="13">
        <f t="shared" si="40"/>
        <v>2.1523178807947019E-2</v>
      </c>
      <c r="AR55" s="13">
        <f t="shared" si="41"/>
        <v>4.9472830494728302E-2</v>
      </c>
      <c r="AS55" s="13">
        <f t="shared" si="42"/>
        <v>4.5454545454545456E-2</v>
      </c>
      <c r="AT55" s="13">
        <f t="shared" si="15"/>
        <v>4.2750929368029739E-2</v>
      </c>
      <c r="AU55" s="13">
        <f t="shared" si="16"/>
        <v>3.5118525021949079E-2</v>
      </c>
      <c r="AV55" s="13">
        <f t="shared" si="17"/>
        <v>3.6881810561609385E-2</v>
      </c>
      <c r="AW55" s="13">
        <f t="shared" si="18"/>
        <v>5.2166224580017684E-2</v>
      </c>
    </row>
    <row r="56" spans="6:49">
      <c r="F56" s="4" t="s">
        <v>38</v>
      </c>
      <c r="G56" s="11">
        <f t="shared" si="4"/>
        <v>0.13776493256262043</v>
      </c>
      <c r="H56" s="11">
        <f t="shared" si="19"/>
        <v>0.18217054263565891</v>
      </c>
      <c r="I56" s="11">
        <f t="shared" si="20"/>
        <v>0.19303797468354431</v>
      </c>
      <c r="J56" s="11">
        <f t="shared" si="21"/>
        <v>0.19824840764331211</v>
      </c>
      <c r="K56" s="11">
        <f t="shared" si="22"/>
        <v>0.20452830188679244</v>
      </c>
      <c r="L56" s="11">
        <f t="shared" si="23"/>
        <v>0.18340943683409436</v>
      </c>
      <c r="M56" s="11">
        <f t="shared" si="24"/>
        <v>0.17327117327117328</v>
      </c>
      <c r="N56" s="11">
        <f t="shared" si="25"/>
        <v>0.19790888722927558</v>
      </c>
      <c r="O56" s="11">
        <f t="shared" si="26"/>
        <v>0.17216981132075471</v>
      </c>
      <c r="P56" s="11">
        <f t="shared" si="5"/>
        <v>0.1455160744500846</v>
      </c>
      <c r="Q56" s="11">
        <f t="shared" si="6"/>
        <v>0.15990453460620524</v>
      </c>
      <c r="R56" s="11">
        <f t="shared" si="7"/>
        <v>0.14508580343213728</v>
      </c>
      <c r="S56" s="11">
        <f t="shared" si="8"/>
        <v>0.13653699466056446</v>
      </c>
      <c r="U56" s="9" t="s">
        <v>38</v>
      </c>
      <c r="V56" s="13">
        <f t="shared" si="9"/>
        <v>0.84007707129094411</v>
      </c>
      <c r="W56" s="13">
        <f t="shared" si="27"/>
        <v>0.79612403100775198</v>
      </c>
      <c r="X56" s="13">
        <f t="shared" si="28"/>
        <v>0.78560126582278478</v>
      </c>
      <c r="Y56" s="13">
        <f t="shared" si="29"/>
        <v>0.78423566878980888</v>
      </c>
      <c r="Z56" s="13">
        <f t="shared" si="30"/>
        <v>0.77962264150943394</v>
      </c>
      <c r="AA56" s="13">
        <f t="shared" si="31"/>
        <v>0.79984779299847797</v>
      </c>
      <c r="AB56" s="13">
        <f t="shared" si="32"/>
        <v>0.81429681429681433</v>
      </c>
      <c r="AC56" s="13">
        <f t="shared" si="33"/>
        <v>0.78267363704256909</v>
      </c>
      <c r="AD56" s="13">
        <f t="shared" si="34"/>
        <v>0.79323899371069184</v>
      </c>
      <c r="AE56" s="13">
        <f t="shared" si="10"/>
        <v>0.81556683587140444</v>
      </c>
      <c r="AF56" s="13">
        <f t="shared" si="11"/>
        <v>0.80350039777247417</v>
      </c>
      <c r="AG56" s="13">
        <f t="shared" si="12"/>
        <v>0.8159126365054602</v>
      </c>
      <c r="AH56" s="13">
        <f t="shared" si="13"/>
        <v>0.82227307398932115</v>
      </c>
      <c r="AJ56" s="9" t="s">
        <v>38</v>
      </c>
      <c r="AK56" s="13">
        <f t="shared" si="14"/>
        <v>2.2157996146435453E-2</v>
      </c>
      <c r="AL56" s="13">
        <f t="shared" si="35"/>
        <v>2.1705426356589147E-2</v>
      </c>
      <c r="AM56" s="13">
        <f t="shared" si="36"/>
        <v>2.1360759493670885E-2</v>
      </c>
      <c r="AN56" s="13">
        <f t="shared" si="37"/>
        <v>1.751592356687898E-2</v>
      </c>
      <c r="AO56" s="13">
        <f t="shared" si="38"/>
        <v>1.5849056603773583E-2</v>
      </c>
      <c r="AP56" s="13">
        <f t="shared" si="39"/>
        <v>1.6742770167427701E-2</v>
      </c>
      <c r="AQ56" s="13">
        <f t="shared" si="40"/>
        <v>1.2432012432012432E-2</v>
      </c>
      <c r="AR56" s="13">
        <f t="shared" si="41"/>
        <v>1.9417475728155338E-2</v>
      </c>
      <c r="AS56" s="13">
        <f t="shared" si="42"/>
        <v>3.4591194968553458E-2</v>
      </c>
      <c r="AT56" s="13">
        <f t="shared" si="15"/>
        <v>3.8917089678510999E-2</v>
      </c>
      <c r="AU56" s="13">
        <f t="shared" si="16"/>
        <v>3.6595067621320608E-2</v>
      </c>
      <c r="AV56" s="13">
        <f t="shared" si="17"/>
        <v>3.9001560062402497E-2</v>
      </c>
      <c r="AW56" s="13">
        <f t="shared" si="18"/>
        <v>4.1189931350114416E-2</v>
      </c>
    </row>
    <row r="57" spans="6:49">
      <c r="F57" s="4" t="s">
        <v>39</v>
      </c>
      <c r="G57" s="11">
        <f t="shared" si="4"/>
        <v>0.25222222222222224</v>
      </c>
      <c r="H57" s="11">
        <f t="shared" si="19"/>
        <v>0.50215053763440864</v>
      </c>
      <c r="I57" s="11">
        <f t="shared" si="20"/>
        <v>0.49255319148936172</v>
      </c>
      <c r="J57" s="11">
        <f t="shared" si="21"/>
        <v>0.52625820568927795</v>
      </c>
      <c r="K57" s="11">
        <f t="shared" si="22"/>
        <v>0.5318918918918919</v>
      </c>
      <c r="L57" s="11">
        <f t="shared" si="23"/>
        <v>0.57505285412262153</v>
      </c>
      <c r="M57" s="11">
        <f t="shared" si="24"/>
        <v>0.6629464285714286</v>
      </c>
      <c r="N57" s="11">
        <f t="shared" si="25"/>
        <v>0.39867841409691629</v>
      </c>
      <c r="O57" s="11">
        <f t="shared" si="26"/>
        <v>0.35363247863247865</v>
      </c>
      <c r="P57" s="11">
        <f t="shared" si="5"/>
        <v>0.3284823284823285</v>
      </c>
      <c r="Q57" s="11">
        <f t="shared" si="6"/>
        <v>0.30126002290950743</v>
      </c>
      <c r="R57" s="11">
        <f t="shared" si="7"/>
        <v>0.30425531914893617</v>
      </c>
      <c r="S57" s="11">
        <f t="shared" si="8"/>
        <v>0.30707876370887338</v>
      </c>
      <c r="U57" s="9" t="s">
        <v>39</v>
      </c>
      <c r="V57" s="13">
        <f t="shared" si="9"/>
        <v>0.64333333333333331</v>
      </c>
      <c r="W57" s="13">
        <f t="shared" si="27"/>
        <v>0.34731182795698923</v>
      </c>
      <c r="X57" s="13">
        <f t="shared" si="28"/>
        <v>0.38404255319148939</v>
      </c>
      <c r="Y57" s="13">
        <f t="shared" si="29"/>
        <v>0.35120350109409193</v>
      </c>
      <c r="Z57" s="13">
        <f t="shared" si="30"/>
        <v>0.34810810810810811</v>
      </c>
      <c r="AA57" s="13">
        <f t="shared" si="31"/>
        <v>0.32135306553911203</v>
      </c>
      <c r="AB57" s="13">
        <f t="shared" si="32"/>
        <v>0.21986607142857142</v>
      </c>
      <c r="AC57" s="13">
        <f t="shared" si="33"/>
        <v>0.24889867841409691</v>
      </c>
      <c r="AD57" s="13">
        <f t="shared" si="34"/>
        <v>0.51709401709401714</v>
      </c>
      <c r="AE57" s="13">
        <f t="shared" si="10"/>
        <v>0.56548856548856552</v>
      </c>
      <c r="AF57" s="13">
        <f t="shared" si="11"/>
        <v>0.58533791523482248</v>
      </c>
      <c r="AG57" s="13">
        <f t="shared" si="12"/>
        <v>0.56702127659574464</v>
      </c>
      <c r="AH57" s="13">
        <f t="shared" si="13"/>
        <v>0.57627118644067798</v>
      </c>
      <c r="AJ57" s="9" t="s">
        <v>39</v>
      </c>
      <c r="AK57" s="13">
        <f t="shared" si="14"/>
        <v>0.10444444444444445</v>
      </c>
      <c r="AL57" s="13">
        <f t="shared" si="35"/>
        <v>0.15053763440860216</v>
      </c>
      <c r="AM57" s="13">
        <f t="shared" si="36"/>
        <v>0.12340425531914893</v>
      </c>
      <c r="AN57" s="13">
        <f t="shared" si="37"/>
        <v>0.12253829321663019</v>
      </c>
      <c r="AO57" s="13">
        <f t="shared" si="38"/>
        <v>0.12</v>
      </c>
      <c r="AP57" s="13">
        <f t="shared" si="39"/>
        <v>0.10359408033826638</v>
      </c>
      <c r="AQ57" s="13">
        <f t="shared" si="40"/>
        <v>0.1171875</v>
      </c>
      <c r="AR57" s="13">
        <f t="shared" si="41"/>
        <v>0.3524229074889868</v>
      </c>
      <c r="AS57" s="13">
        <f t="shared" si="42"/>
        <v>0.12927350427350429</v>
      </c>
      <c r="AT57" s="13">
        <f t="shared" si="15"/>
        <v>0.10602910602910603</v>
      </c>
      <c r="AU57" s="13">
        <f t="shared" si="16"/>
        <v>0.1134020618556701</v>
      </c>
      <c r="AV57" s="13">
        <f t="shared" si="17"/>
        <v>0.12872340425531914</v>
      </c>
      <c r="AW57" s="13">
        <f t="shared" si="18"/>
        <v>0.11665004985044865</v>
      </c>
    </row>
    <row r="58" spans="6:49">
      <c r="F58" s="4" t="s">
        <v>40</v>
      </c>
      <c r="G58" s="11">
        <f t="shared" si="4"/>
        <v>0.36</v>
      </c>
      <c r="H58" s="11">
        <f t="shared" si="19"/>
        <v>0.61604278074866314</v>
      </c>
      <c r="I58" s="11">
        <f t="shared" si="20"/>
        <v>0.59609120521172643</v>
      </c>
      <c r="J58" s="11">
        <f t="shared" si="21"/>
        <v>0.62970936490850382</v>
      </c>
      <c r="K58" s="11">
        <f t="shared" si="22"/>
        <v>0.63596491228070173</v>
      </c>
      <c r="L58" s="11">
        <f t="shared" si="23"/>
        <v>0.69222577209797653</v>
      </c>
      <c r="M58" s="11">
        <f t="shared" si="24"/>
        <v>0.7637540453074434</v>
      </c>
      <c r="N58" s="11">
        <f t="shared" si="25"/>
        <v>0.72074159907300117</v>
      </c>
      <c r="O58" s="11">
        <f t="shared" si="26"/>
        <v>0.47844374342797058</v>
      </c>
      <c r="P58" s="11">
        <f t="shared" si="5"/>
        <v>0.41202185792349727</v>
      </c>
      <c r="Q58" s="11">
        <f t="shared" si="6"/>
        <v>0.45776850886339937</v>
      </c>
      <c r="R58" s="11">
        <f t="shared" si="7"/>
        <v>0.43164693218514533</v>
      </c>
      <c r="S58" s="11">
        <f t="shared" si="8"/>
        <v>0.4096774193548387</v>
      </c>
      <c r="U58" s="9" t="s">
        <v>40</v>
      </c>
      <c r="V58" s="13">
        <f t="shared" si="9"/>
        <v>0.51777777777777778</v>
      </c>
      <c r="W58" s="13">
        <f t="shared" si="27"/>
        <v>0.2449197860962567</v>
      </c>
      <c r="X58" s="13">
        <f t="shared" si="28"/>
        <v>0.26492942453854507</v>
      </c>
      <c r="Y58" s="13">
        <f t="shared" si="29"/>
        <v>0.23466092572658773</v>
      </c>
      <c r="Z58" s="13">
        <f t="shared" si="30"/>
        <v>0.23793859649122806</v>
      </c>
      <c r="AA58" s="13">
        <f t="shared" si="31"/>
        <v>0.20021299254526093</v>
      </c>
      <c r="AB58" s="13">
        <f t="shared" si="32"/>
        <v>0.16396979503775622</v>
      </c>
      <c r="AC58" s="13">
        <f t="shared" si="33"/>
        <v>0.13673232908458866</v>
      </c>
      <c r="AD58" s="13">
        <f t="shared" si="34"/>
        <v>0.16614090431125131</v>
      </c>
      <c r="AE58" s="13">
        <f t="shared" si="10"/>
        <v>0.4885245901639344</v>
      </c>
      <c r="AF58" s="13">
        <f t="shared" si="11"/>
        <v>0.44629822732012514</v>
      </c>
      <c r="AG58" s="13">
        <f t="shared" si="12"/>
        <v>0.44994617868675996</v>
      </c>
      <c r="AH58" s="13">
        <f t="shared" si="13"/>
        <v>0.47956989247311826</v>
      </c>
      <c r="AJ58" s="9" t="s">
        <v>40</v>
      </c>
      <c r="AK58" s="13">
        <f t="shared" si="14"/>
        <v>0.12222222222222222</v>
      </c>
      <c r="AL58" s="13">
        <f t="shared" si="35"/>
        <v>0.13903743315508021</v>
      </c>
      <c r="AM58" s="13">
        <f t="shared" si="36"/>
        <v>0.13897937024972856</v>
      </c>
      <c r="AN58" s="13">
        <f t="shared" si="37"/>
        <v>0.13562970936490851</v>
      </c>
      <c r="AO58" s="13">
        <f t="shared" si="38"/>
        <v>0.12609649122807018</v>
      </c>
      <c r="AP58" s="13">
        <f t="shared" si="39"/>
        <v>0.10756123535676251</v>
      </c>
      <c r="AQ58" s="13">
        <f t="shared" si="40"/>
        <v>7.2276159654800429E-2</v>
      </c>
      <c r="AR58" s="13">
        <f t="shared" si="41"/>
        <v>0.1425260718424102</v>
      </c>
      <c r="AS58" s="13">
        <f t="shared" si="42"/>
        <v>0.35541535226077814</v>
      </c>
      <c r="AT58" s="13">
        <f t="shared" si="15"/>
        <v>9.94535519125683E-2</v>
      </c>
      <c r="AU58" s="13">
        <f t="shared" si="16"/>
        <v>9.5933263816475489E-2</v>
      </c>
      <c r="AV58" s="13">
        <f t="shared" si="17"/>
        <v>0.11840688912809473</v>
      </c>
      <c r="AW58" s="13">
        <f t="shared" si="18"/>
        <v>0.11075268817204301</v>
      </c>
    </row>
    <row r="59" spans="6:49">
      <c r="F59" s="4" t="s">
        <v>41</v>
      </c>
      <c r="G59" s="11">
        <f t="shared" si="4"/>
        <v>0.51398601398601396</v>
      </c>
      <c r="H59" s="11">
        <f t="shared" si="19"/>
        <v>0.78510638297872337</v>
      </c>
      <c r="I59" s="11">
        <f t="shared" si="20"/>
        <v>0.76361655773420478</v>
      </c>
      <c r="J59" s="11">
        <f t="shared" si="21"/>
        <v>0.78774617067833697</v>
      </c>
      <c r="K59" s="11">
        <f t="shared" si="22"/>
        <v>0.75723140495867769</v>
      </c>
      <c r="L59" s="11">
        <f t="shared" si="23"/>
        <v>0.81856540084388185</v>
      </c>
      <c r="M59" s="11">
        <f t="shared" si="24"/>
        <v>0.85887541345093721</v>
      </c>
      <c r="N59" s="11">
        <f t="shared" si="25"/>
        <v>0.86544671689989239</v>
      </c>
      <c r="O59" s="11">
        <f t="shared" si="26"/>
        <v>0.82196531791907512</v>
      </c>
      <c r="P59" s="11">
        <f t="shared" si="5"/>
        <v>0.54669703872437359</v>
      </c>
      <c r="Q59" s="11">
        <f t="shared" si="6"/>
        <v>0.52021857923497272</v>
      </c>
      <c r="R59" s="11">
        <f t="shared" si="7"/>
        <v>0.54908675799086759</v>
      </c>
      <c r="S59" s="11">
        <f t="shared" si="8"/>
        <v>0.54691075514874143</v>
      </c>
      <c r="U59" s="9" t="s">
        <v>41</v>
      </c>
      <c r="V59" s="13">
        <f t="shared" si="9"/>
        <v>0.37878787878787878</v>
      </c>
      <c r="W59" s="13">
        <f t="shared" si="27"/>
        <v>0.10106382978723404</v>
      </c>
      <c r="X59" s="13">
        <f t="shared" si="28"/>
        <v>0.1056644880174292</v>
      </c>
      <c r="Y59" s="13">
        <f t="shared" si="29"/>
        <v>0.1061269146608315</v>
      </c>
      <c r="Z59" s="13">
        <f t="shared" si="30"/>
        <v>0.10950413223140495</v>
      </c>
      <c r="AA59" s="13">
        <f t="shared" si="31"/>
        <v>9.8101265822784806E-2</v>
      </c>
      <c r="AB59" s="13">
        <f t="shared" si="32"/>
        <v>7.1664829106945979E-2</v>
      </c>
      <c r="AC59" s="13">
        <f t="shared" si="33"/>
        <v>7.7502691065662002E-2</v>
      </c>
      <c r="AD59" s="13">
        <f t="shared" si="34"/>
        <v>6.4739884393063579E-2</v>
      </c>
      <c r="AE59" s="13">
        <f t="shared" si="10"/>
        <v>0.11503416856492027</v>
      </c>
      <c r="AF59" s="13">
        <f t="shared" si="11"/>
        <v>0.12021857923497267</v>
      </c>
      <c r="AG59" s="13">
        <f t="shared" si="12"/>
        <v>0.10273972602739725</v>
      </c>
      <c r="AH59" s="13">
        <f t="shared" si="13"/>
        <v>0.11670480549199085</v>
      </c>
      <c r="AJ59" s="9" t="s">
        <v>41</v>
      </c>
      <c r="AK59" s="13">
        <f t="shared" si="14"/>
        <v>0.10722610722610723</v>
      </c>
      <c r="AL59" s="13">
        <f t="shared" si="35"/>
        <v>0.11382978723404255</v>
      </c>
      <c r="AM59" s="13">
        <f t="shared" si="36"/>
        <v>0.13071895424836602</v>
      </c>
      <c r="AN59" s="13">
        <f t="shared" si="37"/>
        <v>0.1061269146608315</v>
      </c>
      <c r="AO59" s="13">
        <f t="shared" si="38"/>
        <v>0.13326446280991736</v>
      </c>
      <c r="AP59" s="13">
        <f t="shared" si="39"/>
        <v>8.3333333333333329E-2</v>
      </c>
      <c r="AQ59" s="13">
        <f t="shared" si="40"/>
        <v>6.9459757442116868E-2</v>
      </c>
      <c r="AR59" s="13">
        <f t="shared" si="41"/>
        <v>5.7050592034445638E-2</v>
      </c>
      <c r="AS59" s="13">
        <f t="shared" si="42"/>
        <v>0.11329479768786127</v>
      </c>
      <c r="AT59" s="13">
        <f t="shared" si="15"/>
        <v>0.33826879271070615</v>
      </c>
      <c r="AU59" s="13">
        <f t="shared" si="16"/>
        <v>0.35956284153005463</v>
      </c>
      <c r="AV59" s="13">
        <f t="shared" si="17"/>
        <v>0.34817351598173518</v>
      </c>
      <c r="AW59" s="13">
        <f t="shared" si="18"/>
        <v>0.33638443935926776</v>
      </c>
    </row>
    <row r="60" spans="6:49">
      <c r="F60" s="4" t="s">
        <v>42</v>
      </c>
      <c r="G60" s="11">
        <f t="shared" si="4"/>
        <v>0.68732473359506452</v>
      </c>
      <c r="H60" s="11">
        <f t="shared" si="19"/>
        <v>1</v>
      </c>
      <c r="I60" s="11">
        <f t="shared" si="20"/>
        <v>1</v>
      </c>
      <c r="J60" s="11">
        <f t="shared" si="21"/>
        <v>1</v>
      </c>
      <c r="K60" s="11">
        <f t="shared" si="22"/>
        <v>1</v>
      </c>
      <c r="L60" s="11">
        <f t="shared" si="23"/>
        <v>1</v>
      </c>
      <c r="M60" s="11">
        <f t="shared" si="24"/>
        <v>1</v>
      </c>
      <c r="N60" s="11">
        <f t="shared" si="25"/>
        <v>1</v>
      </c>
      <c r="O60" s="11">
        <f t="shared" si="26"/>
        <v>1</v>
      </c>
      <c r="P60" s="11">
        <f t="shared" si="5"/>
        <v>0.92332439678284184</v>
      </c>
      <c r="Q60" s="11">
        <f t="shared" si="6"/>
        <v>0.92048517520215634</v>
      </c>
      <c r="R60" s="11">
        <f t="shared" si="7"/>
        <v>0.92065247442632014</v>
      </c>
      <c r="S60" s="11">
        <f t="shared" si="8"/>
        <v>0.91801969656640936</v>
      </c>
      <c r="U60" s="9" t="s">
        <v>42</v>
      </c>
      <c r="V60" s="13">
        <f t="shared" si="9"/>
        <v>0</v>
      </c>
      <c r="W60" s="13">
        <f t="shared" si="27"/>
        <v>0</v>
      </c>
      <c r="X60" s="13">
        <f t="shared" si="28"/>
        <v>0</v>
      </c>
      <c r="Y60" s="13">
        <f t="shared" si="29"/>
        <v>0</v>
      </c>
      <c r="Z60" s="13">
        <f t="shared" si="30"/>
        <v>0</v>
      </c>
      <c r="AA60" s="13">
        <f t="shared" si="31"/>
        <v>0</v>
      </c>
      <c r="AB60" s="13">
        <f t="shared" si="32"/>
        <v>0</v>
      </c>
      <c r="AC60" s="13">
        <f t="shared" si="33"/>
        <v>0</v>
      </c>
      <c r="AD60" s="13">
        <f t="shared" si="34"/>
        <v>0</v>
      </c>
      <c r="AE60" s="13">
        <f t="shared" si="10"/>
        <v>0</v>
      </c>
      <c r="AF60" s="13">
        <f t="shared" si="11"/>
        <v>0</v>
      </c>
      <c r="AG60" s="13">
        <f t="shared" si="12"/>
        <v>0</v>
      </c>
      <c r="AH60" s="13">
        <f t="shared" si="13"/>
        <v>0</v>
      </c>
      <c r="AJ60" s="9" t="s">
        <v>42</v>
      </c>
      <c r="AK60" s="13">
        <f t="shared" si="14"/>
        <v>0.31267526640493548</v>
      </c>
      <c r="AL60" s="13">
        <f t="shared" si="35"/>
        <v>0</v>
      </c>
      <c r="AM60" s="13">
        <f t="shared" si="36"/>
        <v>0</v>
      </c>
      <c r="AN60" s="13">
        <f t="shared" si="37"/>
        <v>0</v>
      </c>
      <c r="AO60" s="13">
        <f t="shared" si="38"/>
        <v>0</v>
      </c>
      <c r="AP60" s="13">
        <f t="shared" si="39"/>
        <v>0</v>
      </c>
      <c r="AQ60" s="13">
        <f t="shared" si="40"/>
        <v>0</v>
      </c>
      <c r="AR60" s="13">
        <f t="shared" si="41"/>
        <v>0</v>
      </c>
      <c r="AS60" s="13">
        <f t="shared" si="42"/>
        <v>0</v>
      </c>
      <c r="AT60" s="13">
        <f t="shared" si="15"/>
        <v>7.6675603217158175E-2</v>
      </c>
      <c r="AU60" s="13">
        <f t="shared" si="16"/>
        <v>7.9514824797843664E-2</v>
      </c>
      <c r="AV60" s="13">
        <f t="shared" si="17"/>
        <v>7.9347525573679842E-2</v>
      </c>
      <c r="AW60" s="13">
        <f t="shared" si="18"/>
        <v>8.1980303433590626E-2</v>
      </c>
    </row>
  </sheetData>
  <mergeCells count="16">
    <mergeCell ref="AJ2:AW2"/>
    <mergeCell ref="F32:S32"/>
    <mergeCell ref="U32:AH32"/>
    <mergeCell ref="AJ32:AW32"/>
    <mergeCell ref="A8:B8"/>
    <mergeCell ref="A9:B9"/>
    <mergeCell ref="A10:B10"/>
    <mergeCell ref="A2:D2"/>
    <mergeCell ref="C10:D10"/>
    <mergeCell ref="U2:AH2"/>
    <mergeCell ref="F2:S2"/>
    <mergeCell ref="A3:B3"/>
    <mergeCell ref="A4:B4"/>
    <mergeCell ref="A5:B5"/>
    <mergeCell ref="A6:B6"/>
    <mergeCell ref="A7:B7"/>
  </mergeCells>
  <conditionalFormatting sqref="G34:R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S6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4:AH6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4:AW60">
    <cfRule type="colorScale" priority="4">
      <colorScale>
        <cfvo type="min"/>
        <cfvo type="max"/>
        <color rgb="FFFCFCFF"/>
        <color rgb="FF63BE7B"/>
      </colorScale>
    </cfRule>
  </conditionalFormatting>
  <conditionalFormatting sqref="G4:S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AH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:AW30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2025-12-01T23:51:45Z</dcterms:created>
  <dcterms:modified xsi:type="dcterms:W3CDTF">2025-12-02T00:07:50Z</dcterms:modified>
  <cp:category/>
  <cp:contentStatus/>
</cp:coreProperties>
</file>