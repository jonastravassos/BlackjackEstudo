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2DD7\EXCELCNV\78430ef3-3742-4cb3-99bf-8a70c0aadaec\"/>
    </mc:Choice>
  </mc:AlternateContent>
  <xr:revisionPtr revIDLastSave="919" documentId="8_{7424232F-6602-4875-947A-668FD2B776C3}" xr6:coauthVersionLast="47" xr6:coauthVersionMax="47" xr10:uidLastSave="{CCCD210E-742E-4FBD-8DFA-AFE7E1C878ED}"/>
  <bookViews>
    <workbookView xWindow="-60" yWindow="-60" windowWidth="15480" windowHeight="11640" xr2:uid="{514310DF-A3D3-4CC3-A121-1225022108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4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13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D9" i="1"/>
  <c r="D8" i="1"/>
  <c r="D7" i="1"/>
  <c r="D6" i="1"/>
  <c r="D5" i="1"/>
  <c r="D4" i="1"/>
  <c r="D3" i="1"/>
  <c r="AW89" i="1"/>
  <c r="AW88" i="1"/>
  <c r="AW87" i="1"/>
  <c r="AW86" i="1"/>
  <c r="AW85" i="1"/>
  <c r="AW84" i="1"/>
  <c r="AW83" i="1"/>
  <c r="AC69" i="1"/>
  <c r="AC68" i="1"/>
  <c r="AC67" i="1"/>
  <c r="AC66" i="1"/>
  <c r="AC65" i="1"/>
  <c r="AC64" i="1"/>
  <c r="AC63" i="1"/>
  <c r="AH69" i="1"/>
  <c r="AH68" i="1"/>
  <c r="AH67" i="1"/>
  <c r="AH66" i="1"/>
  <c r="AH65" i="1"/>
  <c r="AH64" i="1"/>
  <c r="AH63" i="1"/>
  <c r="X79" i="1"/>
  <c r="X78" i="1"/>
  <c r="X77" i="1"/>
  <c r="X76" i="1"/>
  <c r="X75" i="1"/>
  <c r="X74" i="1"/>
  <c r="X73" i="1"/>
  <c r="AC79" i="1"/>
  <c r="AC78" i="1"/>
  <c r="AC77" i="1"/>
  <c r="AC76" i="1"/>
  <c r="AC75" i="1"/>
  <c r="AC74" i="1"/>
  <c r="AC73" i="1"/>
  <c r="I69" i="1"/>
  <c r="I68" i="1"/>
  <c r="I67" i="1"/>
  <c r="I66" i="1"/>
  <c r="I65" i="1"/>
  <c r="I64" i="1"/>
  <c r="I63" i="1"/>
  <c r="N69" i="1"/>
  <c r="N68" i="1"/>
  <c r="N67" i="1"/>
  <c r="N66" i="1"/>
  <c r="N65" i="1"/>
  <c r="N64" i="1"/>
  <c r="N63" i="1"/>
  <c r="S69" i="1"/>
  <c r="S68" i="1"/>
  <c r="S67" i="1"/>
  <c r="S66" i="1"/>
  <c r="S65" i="1"/>
  <c r="S64" i="1"/>
  <c r="S63" i="1"/>
  <c r="I79" i="1"/>
  <c r="I78" i="1"/>
  <c r="I77" i="1"/>
  <c r="I76" i="1"/>
  <c r="I75" i="1"/>
  <c r="I74" i="1"/>
  <c r="I73" i="1"/>
  <c r="N79" i="1"/>
  <c r="N78" i="1"/>
  <c r="N77" i="1"/>
  <c r="N76" i="1"/>
  <c r="N75" i="1"/>
  <c r="N74" i="1"/>
  <c r="N73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G56" i="1"/>
  <c r="V116" i="1" s="1"/>
  <c r="H56" i="1"/>
  <c r="W116" i="1" s="1"/>
  <c r="I56" i="1"/>
  <c r="X116" i="1" s="1"/>
  <c r="J56" i="1"/>
  <c r="Y116" i="1" s="1"/>
  <c r="K56" i="1"/>
  <c r="Z116" i="1" s="1"/>
  <c r="L56" i="1"/>
  <c r="AA116" i="1" s="1"/>
  <c r="M56" i="1"/>
  <c r="AB116" i="1" s="1"/>
  <c r="N56" i="1"/>
  <c r="AC116" i="1" s="1"/>
  <c r="O56" i="1"/>
  <c r="AD116" i="1" s="1"/>
  <c r="P56" i="1"/>
  <c r="AE116" i="1" s="1"/>
  <c r="Q56" i="1"/>
  <c r="AF116" i="1" s="1"/>
  <c r="R56" i="1"/>
  <c r="AG116" i="1" s="1"/>
  <c r="S56" i="1"/>
  <c r="AH116" i="1" s="1"/>
  <c r="G57" i="1"/>
  <c r="V117" i="1" s="1"/>
  <c r="H57" i="1"/>
  <c r="W117" i="1" s="1"/>
  <c r="I57" i="1"/>
  <c r="X117" i="1" s="1"/>
  <c r="J57" i="1"/>
  <c r="Y117" i="1" s="1"/>
  <c r="K57" i="1"/>
  <c r="Z117" i="1" s="1"/>
  <c r="L57" i="1"/>
  <c r="AA117" i="1" s="1"/>
  <c r="M57" i="1"/>
  <c r="AB117" i="1" s="1"/>
  <c r="N57" i="1"/>
  <c r="AC117" i="1" s="1"/>
  <c r="O57" i="1"/>
  <c r="AD117" i="1" s="1"/>
  <c r="P57" i="1"/>
  <c r="AE117" i="1" s="1"/>
  <c r="Q57" i="1"/>
  <c r="AF117" i="1" s="1"/>
  <c r="R57" i="1"/>
  <c r="AG117" i="1" s="1"/>
  <c r="S57" i="1"/>
  <c r="AH117" i="1" s="1"/>
  <c r="G58" i="1"/>
  <c r="V118" i="1" s="1"/>
  <c r="H58" i="1"/>
  <c r="W118" i="1" s="1"/>
  <c r="I58" i="1"/>
  <c r="X118" i="1" s="1"/>
  <c r="J58" i="1"/>
  <c r="Y118" i="1" s="1"/>
  <c r="K58" i="1"/>
  <c r="Z118" i="1" s="1"/>
  <c r="L58" i="1"/>
  <c r="AA118" i="1" s="1"/>
  <c r="M58" i="1"/>
  <c r="AB118" i="1" s="1"/>
  <c r="N58" i="1"/>
  <c r="AC118" i="1" s="1"/>
  <c r="O58" i="1"/>
  <c r="AD118" i="1" s="1"/>
  <c r="P58" i="1"/>
  <c r="AE118" i="1" s="1"/>
  <c r="Q58" i="1"/>
  <c r="AF118" i="1" s="1"/>
  <c r="R58" i="1"/>
  <c r="AG118" i="1" s="1"/>
  <c r="S58" i="1"/>
  <c r="AH118" i="1" s="1"/>
  <c r="G59" i="1"/>
  <c r="V119" i="1" s="1"/>
  <c r="H59" i="1"/>
  <c r="W119" i="1" s="1"/>
  <c r="I59" i="1"/>
  <c r="X119" i="1" s="1"/>
  <c r="J59" i="1"/>
  <c r="Y119" i="1" s="1"/>
  <c r="K59" i="1"/>
  <c r="Z119" i="1" s="1"/>
  <c r="L59" i="1"/>
  <c r="AA119" i="1" s="1"/>
  <c r="M59" i="1"/>
  <c r="AB119" i="1" s="1"/>
  <c r="N59" i="1"/>
  <c r="AC119" i="1" s="1"/>
  <c r="O59" i="1"/>
  <c r="AD119" i="1" s="1"/>
  <c r="P59" i="1"/>
  <c r="AE119" i="1" s="1"/>
  <c r="Q59" i="1"/>
  <c r="AF119" i="1" s="1"/>
  <c r="R59" i="1"/>
  <c r="AG119" i="1" s="1"/>
  <c r="S59" i="1"/>
  <c r="AH119" i="1" s="1"/>
  <c r="G60" i="1"/>
  <c r="V120" i="1" s="1"/>
  <c r="H60" i="1"/>
  <c r="W120" i="1" s="1"/>
  <c r="I60" i="1"/>
  <c r="X120" i="1" s="1"/>
  <c r="J60" i="1"/>
  <c r="Y120" i="1" s="1"/>
  <c r="K60" i="1"/>
  <c r="Z120" i="1" s="1"/>
  <c r="L60" i="1"/>
  <c r="AA120" i="1" s="1"/>
  <c r="M60" i="1"/>
  <c r="AB120" i="1" s="1"/>
  <c r="N60" i="1"/>
  <c r="AC120" i="1" s="1"/>
  <c r="O60" i="1"/>
  <c r="AD120" i="1" s="1"/>
  <c r="P60" i="1"/>
  <c r="AE120" i="1" s="1"/>
  <c r="Q60" i="1"/>
  <c r="AF120" i="1" s="1"/>
  <c r="R60" i="1"/>
  <c r="AG120" i="1" s="1"/>
  <c r="S60" i="1"/>
  <c r="AH120" i="1" s="1"/>
  <c r="G47" i="1"/>
  <c r="V107" i="1" s="1"/>
  <c r="H47" i="1"/>
  <c r="W107" i="1" s="1"/>
  <c r="I47" i="1"/>
  <c r="X107" i="1" s="1"/>
  <c r="J47" i="1"/>
  <c r="Y107" i="1" s="1"/>
  <c r="K47" i="1"/>
  <c r="Z107" i="1" s="1"/>
  <c r="L47" i="1"/>
  <c r="AA107" i="1" s="1"/>
  <c r="M47" i="1"/>
  <c r="AB107" i="1" s="1"/>
  <c r="N47" i="1"/>
  <c r="AC107" i="1" s="1"/>
  <c r="O47" i="1"/>
  <c r="AD107" i="1" s="1"/>
  <c r="P47" i="1"/>
  <c r="AE107" i="1" s="1"/>
  <c r="Q47" i="1"/>
  <c r="AF107" i="1" s="1"/>
  <c r="R47" i="1"/>
  <c r="AG107" i="1" s="1"/>
  <c r="S47" i="1"/>
  <c r="AH107" i="1" s="1"/>
  <c r="G48" i="1"/>
  <c r="V108" i="1" s="1"/>
  <c r="H48" i="1"/>
  <c r="W108" i="1" s="1"/>
  <c r="I48" i="1"/>
  <c r="X108" i="1" s="1"/>
  <c r="J48" i="1"/>
  <c r="Y108" i="1" s="1"/>
  <c r="K48" i="1"/>
  <c r="Z108" i="1" s="1"/>
  <c r="L48" i="1"/>
  <c r="AA108" i="1" s="1"/>
  <c r="M48" i="1"/>
  <c r="AB108" i="1" s="1"/>
  <c r="N48" i="1"/>
  <c r="AC108" i="1" s="1"/>
  <c r="O48" i="1"/>
  <c r="AD108" i="1" s="1"/>
  <c r="P48" i="1"/>
  <c r="AE108" i="1" s="1"/>
  <c r="Q48" i="1"/>
  <c r="AF108" i="1" s="1"/>
  <c r="R48" i="1"/>
  <c r="AG108" i="1" s="1"/>
  <c r="S48" i="1"/>
  <c r="AH108" i="1" s="1"/>
  <c r="G49" i="1"/>
  <c r="V109" i="1" s="1"/>
  <c r="H49" i="1"/>
  <c r="W109" i="1" s="1"/>
  <c r="I49" i="1"/>
  <c r="X109" i="1" s="1"/>
  <c r="J49" i="1"/>
  <c r="Y109" i="1" s="1"/>
  <c r="K49" i="1"/>
  <c r="Z109" i="1" s="1"/>
  <c r="L49" i="1"/>
  <c r="AA109" i="1" s="1"/>
  <c r="M49" i="1"/>
  <c r="AB109" i="1" s="1"/>
  <c r="N49" i="1"/>
  <c r="AC109" i="1" s="1"/>
  <c r="O49" i="1"/>
  <c r="AD109" i="1" s="1"/>
  <c r="P49" i="1"/>
  <c r="AE109" i="1" s="1"/>
  <c r="Q49" i="1"/>
  <c r="AF109" i="1" s="1"/>
  <c r="R49" i="1"/>
  <c r="AG109" i="1" s="1"/>
  <c r="S49" i="1"/>
  <c r="AH109" i="1" s="1"/>
  <c r="G50" i="1"/>
  <c r="V110" i="1" s="1"/>
  <c r="H50" i="1"/>
  <c r="W110" i="1" s="1"/>
  <c r="I50" i="1"/>
  <c r="X110" i="1" s="1"/>
  <c r="J50" i="1"/>
  <c r="Y110" i="1" s="1"/>
  <c r="K50" i="1"/>
  <c r="Z110" i="1" s="1"/>
  <c r="L50" i="1"/>
  <c r="AA110" i="1" s="1"/>
  <c r="M50" i="1"/>
  <c r="AB110" i="1" s="1"/>
  <c r="N50" i="1"/>
  <c r="AC110" i="1" s="1"/>
  <c r="O50" i="1"/>
  <c r="AD110" i="1" s="1"/>
  <c r="P50" i="1"/>
  <c r="AE110" i="1" s="1"/>
  <c r="Q50" i="1"/>
  <c r="AF110" i="1" s="1"/>
  <c r="R50" i="1"/>
  <c r="AG110" i="1" s="1"/>
  <c r="S50" i="1"/>
  <c r="AH110" i="1" s="1"/>
  <c r="H51" i="1"/>
  <c r="I51" i="1"/>
  <c r="J51" i="1"/>
  <c r="K51" i="1"/>
  <c r="L51" i="1"/>
  <c r="M51" i="1"/>
  <c r="N51" i="1"/>
  <c r="O51" i="1"/>
  <c r="P51" i="1"/>
  <c r="Q51" i="1"/>
  <c r="R51" i="1"/>
  <c r="S51" i="1"/>
  <c r="Z37" i="1"/>
  <c r="AR68" i="1"/>
  <c r="AR89" i="1"/>
  <c r="AR88" i="1"/>
  <c r="AR87" i="1"/>
  <c r="AR86" i="1"/>
  <c r="AR85" i="1"/>
  <c r="AR84" i="1"/>
  <c r="AR83" i="1"/>
  <c r="AM89" i="1"/>
  <c r="AM88" i="1"/>
  <c r="AM87" i="1"/>
  <c r="AM86" i="1"/>
  <c r="AM85" i="1"/>
  <c r="AM84" i="1"/>
  <c r="AM83" i="1"/>
  <c r="AW79" i="1"/>
  <c r="AW78" i="1"/>
  <c r="AW77" i="1"/>
  <c r="AW76" i="1"/>
  <c r="AW75" i="1"/>
  <c r="AW74" i="1"/>
  <c r="AW73" i="1"/>
  <c r="AR79" i="1"/>
  <c r="AR78" i="1"/>
  <c r="AR77" i="1"/>
  <c r="AR76" i="1"/>
  <c r="AR75" i="1"/>
  <c r="AR74" i="1"/>
  <c r="AR73" i="1"/>
  <c r="AM79" i="1"/>
  <c r="AM78" i="1"/>
  <c r="AM77" i="1"/>
  <c r="AM76" i="1"/>
  <c r="AM75" i="1"/>
  <c r="AM74" i="1"/>
  <c r="AM73" i="1"/>
  <c r="AW69" i="1"/>
  <c r="AW68" i="1"/>
  <c r="AW67" i="1"/>
  <c r="AW66" i="1"/>
  <c r="AW65" i="1"/>
  <c r="AW64" i="1"/>
  <c r="AW63" i="1"/>
  <c r="AR69" i="1"/>
  <c r="AR67" i="1"/>
  <c r="AR66" i="1"/>
  <c r="AR65" i="1"/>
  <c r="AR64" i="1"/>
  <c r="AR63" i="1"/>
  <c r="AM69" i="1"/>
  <c r="AM68" i="1"/>
  <c r="AM67" i="1"/>
  <c r="AM66" i="1"/>
  <c r="AM65" i="1"/>
  <c r="AM64" i="1"/>
  <c r="AM63" i="1"/>
  <c r="X69" i="1"/>
  <c r="X68" i="1"/>
  <c r="X67" i="1"/>
  <c r="X66" i="1"/>
  <c r="X65" i="1"/>
  <c r="X64" i="1"/>
  <c r="X63" i="1"/>
  <c r="AH89" i="1"/>
  <c r="AH88" i="1"/>
  <c r="AH87" i="1"/>
  <c r="AH86" i="1"/>
  <c r="AH85" i="1"/>
  <c r="AH84" i="1"/>
  <c r="AH83" i="1"/>
  <c r="S89" i="1"/>
  <c r="S88" i="1"/>
  <c r="S87" i="1"/>
  <c r="S86" i="1"/>
  <c r="S85" i="1"/>
  <c r="S84" i="1"/>
  <c r="S83" i="1"/>
  <c r="AC89" i="1"/>
  <c r="AC88" i="1"/>
  <c r="AC87" i="1"/>
  <c r="AC86" i="1"/>
  <c r="AC85" i="1"/>
  <c r="AC84" i="1"/>
  <c r="AC8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N89" i="1"/>
  <c r="N88" i="1"/>
  <c r="N87" i="1"/>
  <c r="N86" i="1"/>
  <c r="N85" i="1"/>
  <c r="N84" i="1"/>
  <c r="N83" i="1"/>
  <c r="X89" i="1"/>
  <c r="X88" i="1"/>
  <c r="X87" i="1"/>
  <c r="X86" i="1"/>
  <c r="X85" i="1"/>
  <c r="X84" i="1"/>
  <c r="X83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G51" i="1"/>
  <c r="V111" i="1" s="1"/>
  <c r="G52" i="1"/>
  <c r="V112" i="1" s="1"/>
  <c r="H52" i="1"/>
  <c r="W112" i="1" s="1"/>
  <c r="I52" i="1"/>
  <c r="X112" i="1" s="1"/>
  <c r="J52" i="1"/>
  <c r="Y112" i="1" s="1"/>
  <c r="K52" i="1"/>
  <c r="Z112" i="1" s="1"/>
  <c r="L52" i="1"/>
  <c r="AA112" i="1" s="1"/>
  <c r="M52" i="1"/>
  <c r="AB112" i="1" s="1"/>
  <c r="N52" i="1"/>
  <c r="AC112" i="1" s="1"/>
  <c r="O52" i="1"/>
  <c r="AD112" i="1" s="1"/>
  <c r="P52" i="1"/>
  <c r="AE112" i="1" s="1"/>
  <c r="Q52" i="1"/>
  <c r="AF112" i="1" s="1"/>
  <c r="R52" i="1"/>
  <c r="AG112" i="1" s="1"/>
  <c r="S52" i="1"/>
  <c r="AH112" i="1" s="1"/>
  <c r="G54" i="1"/>
  <c r="V114" i="1" s="1"/>
  <c r="H54" i="1"/>
  <c r="W114" i="1" s="1"/>
  <c r="I54" i="1"/>
  <c r="X114" i="1" s="1"/>
  <c r="J54" i="1"/>
  <c r="Y114" i="1" s="1"/>
  <c r="K54" i="1"/>
  <c r="Z114" i="1" s="1"/>
  <c r="L54" i="1"/>
  <c r="AA114" i="1" s="1"/>
  <c r="M54" i="1"/>
  <c r="AB114" i="1" s="1"/>
  <c r="N54" i="1"/>
  <c r="AC114" i="1" s="1"/>
  <c r="O54" i="1"/>
  <c r="AD114" i="1" s="1"/>
  <c r="P54" i="1"/>
  <c r="AE114" i="1" s="1"/>
  <c r="Q54" i="1"/>
  <c r="AF114" i="1" s="1"/>
  <c r="R54" i="1"/>
  <c r="AG114" i="1" s="1"/>
  <c r="S54" i="1"/>
  <c r="AH114" i="1" s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I89" i="1"/>
  <c r="I88" i="1"/>
  <c r="I87" i="1"/>
  <c r="I86" i="1"/>
  <c r="I85" i="1"/>
  <c r="I84" i="1"/>
  <c r="I83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V37" i="1"/>
  <c r="W37" i="1"/>
  <c r="X37" i="1"/>
  <c r="Y37" i="1"/>
  <c r="AA37" i="1"/>
  <c r="AB37" i="1"/>
  <c r="AC37" i="1"/>
  <c r="AD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G34" i="1"/>
  <c r="H34" i="1"/>
  <c r="W94" i="1" s="1"/>
  <c r="I34" i="1"/>
  <c r="X94" i="1" s="1"/>
  <c r="J34" i="1"/>
  <c r="Y94" i="1" s="1"/>
  <c r="K34" i="1"/>
  <c r="Z94" i="1" s="1"/>
  <c r="L34" i="1"/>
  <c r="AA94" i="1" s="1"/>
  <c r="M34" i="1"/>
  <c r="AB94" i="1" s="1"/>
  <c r="N34" i="1"/>
  <c r="AC94" i="1" s="1"/>
  <c r="O34" i="1"/>
  <c r="AD94" i="1" s="1"/>
  <c r="P34" i="1"/>
  <c r="AE94" i="1" s="1"/>
  <c r="Q34" i="1"/>
  <c r="AF94" i="1" s="1"/>
  <c r="R34" i="1"/>
  <c r="AG94" i="1" s="1"/>
  <c r="S34" i="1"/>
  <c r="AH94" i="1" s="1"/>
  <c r="G35" i="1"/>
  <c r="V95" i="1" s="1"/>
  <c r="H35" i="1"/>
  <c r="W95" i="1" s="1"/>
  <c r="I35" i="1"/>
  <c r="X95" i="1" s="1"/>
  <c r="J35" i="1"/>
  <c r="Y95" i="1" s="1"/>
  <c r="K35" i="1"/>
  <c r="Z95" i="1" s="1"/>
  <c r="L35" i="1"/>
  <c r="AA95" i="1" s="1"/>
  <c r="M35" i="1"/>
  <c r="AB95" i="1" s="1"/>
  <c r="N35" i="1"/>
  <c r="AC95" i="1" s="1"/>
  <c r="O35" i="1"/>
  <c r="AD95" i="1" s="1"/>
  <c r="P35" i="1"/>
  <c r="AE95" i="1" s="1"/>
  <c r="Q35" i="1"/>
  <c r="AF95" i="1" s="1"/>
  <c r="R35" i="1"/>
  <c r="AG95" i="1" s="1"/>
  <c r="S35" i="1"/>
  <c r="AH95" i="1" s="1"/>
  <c r="G36" i="1"/>
  <c r="V96" i="1" s="1"/>
  <c r="H36" i="1"/>
  <c r="W96" i="1" s="1"/>
  <c r="I36" i="1"/>
  <c r="X96" i="1" s="1"/>
  <c r="J36" i="1"/>
  <c r="Y96" i="1" s="1"/>
  <c r="K36" i="1"/>
  <c r="Z96" i="1" s="1"/>
  <c r="L36" i="1"/>
  <c r="AA96" i="1" s="1"/>
  <c r="M36" i="1"/>
  <c r="AB96" i="1" s="1"/>
  <c r="N36" i="1"/>
  <c r="AC96" i="1" s="1"/>
  <c r="O36" i="1"/>
  <c r="AD96" i="1" s="1"/>
  <c r="P36" i="1"/>
  <c r="AE96" i="1" s="1"/>
  <c r="Q36" i="1"/>
  <c r="AF96" i="1" s="1"/>
  <c r="R36" i="1"/>
  <c r="AG96" i="1" s="1"/>
  <c r="S36" i="1"/>
  <c r="AH96" i="1" s="1"/>
  <c r="G37" i="1"/>
  <c r="V97" i="1" s="1"/>
  <c r="H37" i="1"/>
  <c r="W97" i="1" s="1"/>
  <c r="I37" i="1"/>
  <c r="X97" i="1" s="1"/>
  <c r="J37" i="1"/>
  <c r="Y97" i="1" s="1"/>
  <c r="K37" i="1"/>
  <c r="Z97" i="1" s="1"/>
  <c r="L37" i="1"/>
  <c r="AA97" i="1" s="1"/>
  <c r="M37" i="1"/>
  <c r="AB97" i="1" s="1"/>
  <c r="N37" i="1"/>
  <c r="AC97" i="1" s="1"/>
  <c r="O37" i="1"/>
  <c r="AD97" i="1" s="1"/>
  <c r="P37" i="1"/>
  <c r="AE97" i="1" s="1"/>
  <c r="Q37" i="1"/>
  <c r="AF97" i="1" s="1"/>
  <c r="R37" i="1"/>
  <c r="AG97" i="1" s="1"/>
  <c r="S37" i="1"/>
  <c r="AH97" i="1" s="1"/>
  <c r="G38" i="1"/>
  <c r="V98" i="1" s="1"/>
  <c r="H38" i="1"/>
  <c r="W98" i="1" s="1"/>
  <c r="I38" i="1"/>
  <c r="X98" i="1" s="1"/>
  <c r="J38" i="1"/>
  <c r="Y98" i="1" s="1"/>
  <c r="K38" i="1"/>
  <c r="Z98" i="1" s="1"/>
  <c r="L38" i="1"/>
  <c r="AA98" i="1" s="1"/>
  <c r="M38" i="1"/>
  <c r="AB98" i="1" s="1"/>
  <c r="N38" i="1"/>
  <c r="AC98" i="1" s="1"/>
  <c r="O38" i="1"/>
  <c r="AD98" i="1" s="1"/>
  <c r="P38" i="1"/>
  <c r="AE98" i="1" s="1"/>
  <c r="Q38" i="1"/>
  <c r="AF98" i="1" s="1"/>
  <c r="R38" i="1"/>
  <c r="AG98" i="1" s="1"/>
  <c r="S38" i="1"/>
  <c r="AH98" i="1" s="1"/>
  <c r="G39" i="1"/>
  <c r="V99" i="1" s="1"/>
  <c r="H39" i="1"/>
  <c r="W99" i="1" s="1"/>
  <c r="I39" i="1"/>
  <c r="X99" i="1" s="1"/>
  <c r="J39" i="1"/>
  <c r="Y99" i="1" s="1"/>
  <c r="K39" i="1"/>
  <c r="Z99" i="1" s="1"/>
  <c r="L39" i="1"/>
  <c r="AA99" i="1" s="1"/>
  <c r="M39" i="1"/>
  <c r="AB99" i="1" s="1"/>
  <c r="N39" i="1"/>
  <c r="AC99" i="1" s="1"/>
  <c r="O39" i="1"/>
  <c r="AD99" i="1" s="1"/>
  <c r="P39" i="1"/>
  <c r="AE99" i="1" s="1"/>
  <c r="Q39" i="1"/>
  <c r="AF99" i="1" s="1"/>
  <c r="R39" i="1"/>
  <c r="AG99" i="1" s="1"/>
  <c r="S39" i="1"/>
  <c r="AH99" i="1" s="1"/>
  <c r="G40" i="1"/>
  <c r="V100" i="1" s="1"/>
  <c r="H40" i="1"/>
  <c r="W100" i="1" s="1"/>
  <c r="I40" i="1"/>
  <c r="X100" i="1" s="1"/>
  <c r="J40" i="1"/>
  <c r="Y100" i="1" s="1"/>
  <c r="K40" i="1"/>
  <c r="Z100" i="1" s="1"/>
  <c r="L40" i="1"/>
  <c r="AA100" i="1" s="1"/>
  <c r="M40" i="1"/>
  <c r="AB100" i="1" s="1"/>
  <c r="N40" i="1"/>
  <c r="AC100" i="1" s="1"/>
  <c r="O40" i="1"/>
  <c r="AD100" i="1" s="1"/>
  <c r="P40" i="1"/>
  <c r="AE100" i="1" s="1"/>
  <c r="Q40" i="1"/>
  <c r="AF100" i="1" s="1"/>
  <c r="R40" i="1"/>
  <c r="AG100" i="1" s="1"/>
  <c r="S40" i="1"/>
  <c r="AH100" i="1" s="1"/>
  <c r="G41" i="1"/>
  <c r="V101" i="1" s="1"/>
  <c r="H41" i="1"/>
  <c r="W101" i="1" s="1"/>
  <c r="I41" i="1"/>
  <c r="X101" i="1" s="1"/>
  <c r="J41" i="1"/>
  <c r="Y101" i="1" s="1"/>
  <c r="K41" i="1"/>
  <c r="Z101" i="1" s="1"/>
  <c r="L41" i="1"/>
  <c r="AA101" i="1" s="1"/>
  <c r="M41" i="1"/>
  <c r="AB101" i="1" s="1"/>
  <c r="N41" i="1"/>
  <c r="AC101" i="1" s="1"/>
  <c r="O41" i="1"/>
  <c r="AD101" i="1" s="1"/>
  <c r="P41" i="1"/>
  <c r="AE101" i="1" s="1"/>
  <c r="Q41" i="1"/>
  <c r="AF101" i="1" s="1"/>
  <c r="R41" i="1"/>
  <c r="AG101" i="1" s="1"/>
  <c r="S41" i="1"/>
  <c r="AH101" i="1" s="1"/>
  <c r="G42" i="1"/>
  <c r="V102" i="1" s="1"/>
  <c r="H42" i="1"/>
  <c r="W102" i="1" s="1"/>
  <c r="I42" i="1"/>
  <c r="X102" i="1" s="1"/>
  <c r="J42" i="1"/>
  <c r="Y102" i="1" s="1"/>
  <c r="K42" i="1"/>
  <c r="Z102" i="1" s="1"/>
  <c r="L42" i="1"/>
  <c r="AA102" i="1" s="1"/>
  <c r="M42" i="1"/>
  <c r="AB102" i="1" s="1"/>
  <c r="N42" i="1"/>
  <c r="AC102" i="1" s="1"/>
  <c r="O42" i="1"/>
  <c r="AD102" i="1" s="1"/>
  <c r="P42" i="1"/>
  <c r="AE102" i="1" s="1"/>
  <c r="Q42" i="1"/>
  <c r="AF102" i="1" s="1"/>
  <c r="R42" i="1"/>
  <c r="AG102" i="1" s="1"/>
  <c r="S42" i="1"/>
  <c r="AH102" i="1" s="1"/>
  <c r="G43" i="1"/>
  <c r="V103" i="1" s="1"/>
  <c r="H43" i="1"/>
  <c r="W103" i="1" s="1"/>
  <c r="I43" i="1"/>
  <c r="X103" i="1" s="1"/>
  <c r="J43" i="1"/>
  <c r="Y103" i="1" s="1"/>
  <c r="K43" i="1"/>
  <c r="Z103" i="1" s="1"/>
  <c r="L43" i="1"/>
  <c r="AA103" i="1" s="1"/>
  <c r="M43" i="1"/>
  <c r="AB103" i="1" s="1"/>
  <c r="N43" i="1"/>
  <c r="AC103" i="1" s="1"/>
  <c r="O43" i="1"/>
  <c r="AD103" i="1" s="1"/>
  <c r="P43" i="1"/>
  <c r="AE103" i="1" s="1"/>
  <c r="Q43" i="1"/>
  <c r="AF103" i="1" s="1"/>
  <c r="R43" i="1"/>
  <c r="AG103" i="1" s="1"/>
  <c r="S43" i="1"/>
  <c r="AH103" i="1" s="1"/>
  <c r="G45" i="1"/>
  <c r="V105" i="1" s="1"/>
  <c r="H45" i="1"/>
  <c r="W105" i="1" s="1"/>
  <c r="I45" i="1"/>
  <c r="X105" i="1" s="1"/>
  <c r="J45" i="1"/>
  <c r="Y105" i="1" s="1"/>
  <c r="K45" i="1"/>
  <c r="Z105" i="1" s="1"/>
  <c r="L45" i="1"/>
  <c r="AA105" i="1" s="1"/>
  <c r="M45" i="1"/>
  <c r="AB105" i="1" s="1"/>
  <c r="N45" i="1"/>
  <c r="AC105" i="1" s="1"/>
  <c r="O45" i="1"/>
  <c r="AD105" i="1" s="1"/>
  <c r="P45" i="1"/>
  <c r="AE105" i="1" s="1"/>
  <c r="Q45" i="1"/>
  <c r="AF105" i="1" s="1"/>
  <c r="R45" i="1"/>
  <c r="AG105" i="1" s="1"/>
  <c r="S45" i="1"/>
  <c r="AH105" i="1" s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H74" i="1"/>
  <c r="AH75" i="1"/>
  <c r="AH76" i="1"/>
  <c r="AH77" i="1"/>
  <c r="AH78" i="1"/>
  <c r="AH79" i="1"/>
  <c r="AH73" i="1"/>
  <c r="S74" i="1"/>
  <c r="S75" i="1"/>
  <c r="S76" i="1"/>
  <c r="S77" i="1"/>
  <c r="S78" i="1"/>
  <c r="S79" i="1"/>
  <c r="S73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5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6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5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6" i="1"/>
  <c r="H55" i="1"/>
  <c r="W115" i="1" s="1"/>
  <c r="I55" i="1"/>
  <c r="X115" i="1" s="1"/>
  <c r="J55" i="1"/>
  <c r="Y115" i="1" s="1"/>
  <c r="K55" i="1"/>
  <c r="Z115" i="1" s="1"/>
  <c r="L55" i="1"/>
  <c r="AA115" i="1" s="1"/>
  <c r="M55" i="1"/>
  <c r="AB115" i="1" s="1"/>
  <c r="N55" i="1"/>
  <c r="AC115" i="1" s="1"/>
  <c r="O55" i="1"/>
  <c r="AD115" i="1" s="1"/>
  <c r="P55" i="1"/>
  <c r="AE115" i="1" s="1"/>
  <c r="Q55" i="1"/>
  <c r="AF115" i="1" s="1"/>
  <c r="R55" i="1"/>
  <c r="AG115" i="1" s="1"/>
  <c r="S55" i="1"/>
  <c r="AH115" i="1" s="1"/>
  <c r="G55" i="1"/>
  <c r="V115" i="1" s="1"/>
  <c r="S46" i="1"/>
  <c r="AH106" i="1" s="1"/>
  <c r="R46" i="1"/>
  <c r="AG106" i="1" s="1"/>
  <c r="K46" i="1"/>
  <c r="Z106" i="1" s="1"/>
  <c r="L46" i="1"/>
  <c r="AA106" i="1" s="1"/>
  <c r="M46" i="1"/>
  <c r="AB106" i="1" s="1"/>
  <c r="N46" i="1"/>
  <c r="AC106" i="1" s="1"/>
  <c r="O46" i="1"/>
  <c r="AD106" i="1" s="1"/>
  <c r="P46" i="1"/>
  <c r="AE106" i="1" s="1"/>
  <c r="Q46" i="1"/>
  <c r="AF106" i="1" s="1"/>
  <c r="H46" i="1"/>
  <c r="W106" i="1" s="1"/>
  <c r="I46" i="1"/>
  <c r="X106" i="1" s="1"/>
  <c r="J46" i="1"/>
  <c r="Y106" i="1" s="1"/>
  <c r="G46" i="1"/>
  <c r="V106" i="1" s="1"/>
  <c r="AH104" i="1" l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tc={0E36E582-DF9A-4996-9DF9-D7153136801D}</author>
  </authors>
  <commentList>
    <comment ref="E31" authorId="0" shapeId="0" xr:uid="{0E36E582-DF9A-4996-9DF9-D7153136801D}">
      <text>
        <t>[Threaded comment]
Your version of Excel allows you to read this threaded comment; however, any edits to it will get removed if the file is opened in a newer version of Excel. Learn more: https://go.microsoft.com/fwlink/?linkid=870924
Comment:
    A margem de erro calculada para os dados das matrizes foi de 0,095068796347127458412847794073%</t>
      </text>
    </comment>
  </commentList>
</comments>
</file>

<file path=xl/sharedStrings.xml><?xml version="1.0" encoding="utf-8"?>
<sst xmlns="http://schemas.openxmlformats.org/spreadsheetml/2006/main" count="504" uniqueCount="75">
  <si>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</si>
  <si>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</si>
  <si>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</si>
  <si>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</si>
  <si>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</si>
  <si>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</si>
  <si>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</si>
  <si>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</si>
  <si>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</si>
  <si>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</si>
  <si>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</si>
  <si>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</si>
  <si>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</si>
  <si>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</si>
  <si>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</si>
  <si>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</si>
  <si>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</si>
  <si>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</si>
  <si>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</si>
  <si>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</si>
  <si>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</si>
  <si>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Lucro</t>
  </si>
  <si>
    <t>10H</t>
  </si>
  <si>
    <t>11H</t>
  </si>
  <si>
    <t>FREQUÊNCIA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</si>
  <si>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</si>
  <si>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</si>
  <si>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</si>
  <si>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</si>
  <si>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</si>
  <si>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</si>
  <si>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</si>
  <si>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</si>
  <si>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</si>
  <si>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</si>
  <si>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</si>
  <si>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</si>
  <si>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</si>
  <si>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</si>
  <si>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</si>
  <si>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</si>
  <si>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</si>
  <si>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</si>
  <si>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</si>
  <si>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</si>
  <si>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</si>
  <si>
    <t>RESULTADOS PERCENTUAIS DE EMPATES</t>
  </si>
  <si>
    <t>RESULTADOS COM 21S</t>
  </si>
  <si>
    <t>RESULTADOS COM 20S</t>
  </si>
  <si>
    <t>RESULTADOS COM 19S</t>
  </si>
  <si>
    <t>RESULTADOS COM 12S</t>
  </si>
  <si>
    <t>RESULTADOS COM 20H</t>
  </si>
  <si>
    <t>RESULTADOS COM 19H</t>
  </si>
  <si>
    <t>RESULTADOS COM 12H</t>
  </si>
  <si>
    <t>RESULTADOS COM 11H</t>
  </si>
  <si>
    <t>RESULTADOS COM 10H</t>
  </si>
  <si>
    <t>RESULTADOS COM 18S</t>
  </si>
  <si>
    <t>RESULTADOS COM 17S</t>
  </si>
  <si>
    <t>RESULTADOS COM 16S</t>
  </si>
  <si>
    <t>RESULTADOS COM 18H</t>
  </si>
  <si>
    <t>RESULTADOS COM 17H</t>
  </si>
  <si>
    <t>RESULTADOS COM 16H</t>
  </si>
  <si>
    <t>RESULTADOS COM 9H</t>
  </si>
  <si>
    <t>RESULTADOS COM 8H</t>
  </si>
  <si>
    <t>RESULTADOS COM 7H</t>
  </si>
  <si>
    <t>RESULTADOS COM 15S</t>
  </si>
  <si>
    <t>RESULTADOS COM 14S</t>
  </si>
  <si>
    <t>RESULTADOS COM 13S</t>
  </si>
  <si>
    <t>RESULTADOS COM 15H</t>
  </si>
  <si>
    <t>RESULTADOS COM 14H</t>
  </si>
  <si>
    <t>RESULTADOS COM 13H</t>
  </si>
  <si>
    <t>RESULTADOS COM 6H</t>
  </si>
  <si>
    <t>RESULTADOS COM 5H</t>
  </si>
  <si>
    <t>RESULTADOS COM 4H</t>
  </si>
  <si>
    <t>PROBABILIDADE DE VALOR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</si>
</sst>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10" fontId="0" fillId="0" borderId="10" xfId="0" applyNumberFormat="1" applyBorder="1"/>
    <xf numFmtId="0" fontId="18" fillId="0" borderId="0" xfId="0" applyFont="1"/>
    <xf numFmtId="0" fontId="16" fillId="33" borderId="11" xfId="0" applyFont="1" applyFill="1" applyBorder="1"/>
    <xf numFmtId="0" fontId="0" fillId="0" borderId="12" xfId="0" applyBorder="1"/>
    <xf numFmtId="0" fontId="0" fillId="0" borderId="13" xfId="0" applyBorder="1"/>
    <xf numFmtId="0" fontId="0" fillId="34" borderId="10" xfId="0" applyFill="1" applyBorder="1"/>
    <xf numFmtId="10" fontId="0" fillId="34" borderId="10" xfId="0" applyNumberFormat="1" applyFill="1" applyBorder="1"/>
    <xf numFmtId="0" fontId="0" fillId="0" borderId="14" xfId="0" applyBorder="1"/>
    <xf numFmtId="0" fontId="16" fillId="33" borderId="12" xfId="0" applyFont="1" applyFill="1" applyBorder="1" applyAlignment="1">
      <alignment horizontal="center"/>
    </xf>
    <xf numFmtId="0" fontId="0" fillId="35" borderId="0" xfId="0" applyFill="1" applyBorder="1"/>
    <xf numFmtId="10" fontId="0" fillId="35" borderId="0" xfId="0" applyNumberFormat="1" applyFill="1" applyBorder="1"/>
    <xf numFmtId="0" fontId="16" fillId="35" borderId="0" xfId="0" applyFont="1" applyFill="1" applyBorder="1" applyAlignment="1">
      <alignment horizontal="center"/>
    </xf>
    <xf numFmtId="0" fontId="16" fillId="35" borderId="0" xfId="0" applyFont="1" applyFill="1" applyBorder="1" applyAlignment="1"/>
    <xf numFmtId="164" fontId="0" fillId="35" borderId="0" xfId="0" applyNumberForma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3" xfId="0" applyFont="1" applyFill="1" applyBorder="1"/>
    <xf numFmtId="0" fontId="0" fillId="0" borderId="16" xfId="0" applyBorder="1"/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/>
    <xf numFmtId="0" fontId="16" fillId="0" borderId="10" xfId="0" applyFont="1" applyBorder="1" applyAlignment="1"/>
    <xf numFmtId="0" fontId="16" fillId="33" borderId="11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6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s Travassos" id="{A3F1779E-67B0-49C7-B5EA-6A84C29B74F4}" userId="8c51dbd2e336e17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5-12-20T17:00:05.94" personId="{A3F1779E-67B0-49C7-B5EA-6A84C29B74F4}" id="{0E36E582-DF9A-4996-9DF9-D7153136801D}">
    <text>A margem de erro calculada para os dados das matrizes foi de 0,095068796347127458412847794073%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825-C926-4BA9-8E6C-ADC391CEFD62}">
  <dimension ref="A2:CM130"/>
  <sheetViews>
    <sheetView tabSelected="1" topLeftCell="Q64" workbookViewId="0">
      <selection activeCell="U82" sqref="U82:X82"/>
    </sheetView>
  </sheetViews>
  <sheetFormatPr defaultRowHeight="15"/>
  <sheetData>
    <row r="2" spans="1:91">
      <c r="A2" s="20" t="s">
        <v>0</v>
      </c>
      <c r="B2" s="20"/>
      <c r="C2" s="20"/>
      <c r="D2" s="20"/>
      <c r="F2" s="20" t="s">
        <v>1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 t="s">
        <v>2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J2" s="20" t="s">
        <v>3</v>
      </c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Y2">
        <v>106</v>
      </c>
      <c r="AZ2">
        <v>149</v>
      </c>
      <c r="BA2">
        <v>134</v>
      </c>
      <c r="BB2">
        <v>162</v>
      </c>
      <c r="BC2">
        <v>177</v>
      </c>
      <c r="BD2">
        <v>167</v>
      </c>
      <c r="BE2">
        <v>176</v>
      </c>
      <c r="BF2">
        <v>156</v>
      </c>
      <c r="BG2">
        <v>158</v>
      </c>
      <c r="BH2">
        <v>133</v>
      </c>
      <c r="BI2">
        <v>137</v>
      </c>
      <c r="BJ2">
        <v>123</v>
      </c>
      <c r="BK2">
        <v>113</v>
      </c>
      <c r="BM2">
        <v>353</v>
      </c>
      <c r="BN2">
        <v>198</v>
      </c>
      <c r="BO2">
        <v>257</v>
      </c>
      <c r="BP2">
        <v>231</v>
      </c>
      <c r="BQ2">
        <v>224</v>
      </c>
      <c r="BR2">
        <v>254</v>
      </c>
      <c r="BS2">
        <v>216</v>
      </c>
      <c r="BT2">
        <v>235</v>
      </c>
      <c r="BU2">
        <v>268</v>
      </c>
      <c r="BV2">
        <v>274</v>
      </c>
      <c r="BW2">
        <v>283</v>
      </c>
      <c r="BX2">
        <v>263</v>
      </c>
      <c r="BY2">
        <v>239</v>
      </c>
      <c r="CA2">
        <v>32</v>
      </c>
      <c r="CB2">
        <v>34</v>
      </c>
      <c r="CC2">
        <v>35</v>
      </c>
      <c r="CD2">
        <v>25</v>
      </c>
      <c r="CE2">
        <v>32</v>
      </c>
      <c r="CF2">
        <v>26</v>
      </c>
      <c r="CG2">
        <v>29</v>
      </c>
      <c r="CH2">
        <v>47</v>
      </c>
      <c r="CI2">
        <v>41</v>
      </c>
      <c r="CJ2">
        <v>44</v>
      </c>
      <c r="CK2">
        <v>45</v>
      </c>
      <c r="CL2">
        <v>43</v>
      </c>
      <c r="CM2">
        <v>36</v>
      </c>
    </row>
    <row r="3" spans="1:91">
      <c r="A3" s="21" t="s">
        <v>4</v>
      </c>
      <c r="B3" s="21"/>
      <c r="C3" s="8">
        <v>411534</v>
      </c>
      <c r="D3" s="9">
        <f>C3/1000000</f>
        <v>0.41153400000000001</v>
      </c>
      <c r="F3" s="17"/>
      <c r="G3" s="11" t="s">
        <v>5</v>
      </c>
      <c r="H3" s="11">
        <v>2</v>
      </c>
      <c r="I3" s="11">
        <v>3</v>
      </c>
      <c r="J3" s="11">
        <v>4</v>
      </c>
      <c r="K3" s="11">
        <v>5</v>
      </c>
      <c r="L3" s="11">
        <v>6</v>
      </c>
      <c r="M3" s="11">
        <v>7</v>
      </c>
      <c r="N3" s="11">
        <v>8</v>
      </c>
      <c r="O3" s="11">
        <v>9</v>
      </c>
      <c r="P3" s="11">
        <v>10</v>
      </c>
      <c r="Q3" s="11" t="s">
        <v>6</v>
      </c>
      <c r="R3" s="11" t="s">
        <v>7</v>
      </c>
      <c r="S3" s="11" t="s">
        <v>8</v>
      </c>
      <c r="U3" s="17"/>
      <c r="V3" s="11" t="s">
        <v>5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11">
        <v>8</v>
      </c>
      <c r="AD3" s="11">
        <v>9</v>
      </c>
      <c r="AE3" s="11">
        <v>10</v>
      </c>
      <c r="AF3" s="11" t="s">
        <v>6</v>
      </c>
      <c r="AG3" s="11" t="s">
        <v>7</v>
      </c>
      <c r="AH3" s="11" t="s">
        <v>8</v>
      </c>
      <c r="AJ3" s="17"/>
      <c r="AK3" s="11" t="s">
        <v>5</v>
      </c>
      <c r="AL3" s="11">
        <v>2</v>
      </c>
      <c r="AM3" s="11">
        <v>3</v>
      </c>
      <c r="AN3" s="11">
        <v>4</v>
      </c>
      <c r="AO3" s="11">
        <v>5</v>
      </c>
      <c r="AP3" s="11">
        <v>6</v>
      </c>
      <c r="AQ3" s="11">
        <v>7</v>
      </c>
      <c r="AR3" s="11">
        <v>8</v>
      </c>
      <c r="AS3" s="11">
        <v>9</v>
      </c>
      <c r="AT3" s="11">
        <v>10</v>
      </c>
      <c r="AU3" s="11" t="s">
        <v>6</v>
      </c>
      <c r="AV3" s="11" t="s">
        <v>7</v>
      </c>
      <c r="AW3" s="11" t="s">
        <v>8</v>
      </c>
      <c r="AY3">
        <v>221</v>
      </c>
      <c r="AZ3">
        <v>304</v>
      </c>
      <c r="BA3">
        <v>327</v>
      </c>
      <c r="BB3">
        <v>309</v>
      </c>
      <c r="BC3">
        <v>327</v>
      </c>
      <c r="BD3">
        <v>371</v>
      </c>
      <c r="BE3">
        <v>363</v>
      </c>
      <c r="BF3">
        <v>334</v>
      </c>
      <c r="BG3">
        <v>318</v>
      </c>
      <c r="BH3">
        <v>229</v>
      </c>
      <c r="BI3">
        <v>235</v>
      </c>
      <c r="BJ3">
        <v>249</v>
      </c>
      <c r="BK3">
        <v>253</v>
      </c>
      <c r="BM3">
        <v>648</v>
      </c>
      <c r="BN3">
        <v>475</v>
      </c>
      <c r="BO3">
        <v>497</v>
      </c>
      <c r="BP3">
        <v>531</v>
      </c>
      <c r="BQ3">
        <v>526</v>
      </c>
      <c r="BR3">
        <v>479</v>
      </c>
      <c r="BS3">
        <v>443</v>
      </c>
      <c r="BT3">
        <v>504</v>
      </c>
      <c r="BU3">
        <v>569</v>
      </c>
      <c r="BV3">
        <v>598</v>
      </c>
      <c r="BW3">
        <v>574</v>
      </c>
      <c r="BX3">
        <v>563</v>
      </c>
      <c r="BY3">
        <v>602</v>
      </c>
      <c r="CA3">
        <v>70</v>
      </c>
      <c r="CB3">
        <v>70</v>
      </c>
      <c r="CC3">
        <v>70</v>
      </c>
      <c r="CD3">
        <v>58</v>
      </c>
      <c r="CE3">
        <v>67</v>
      </c>
      <c r="CF3">
        <v>81</v>
      </c>
      <c r="CG3">
        <v>84</v>
      </c>
      <c r="CH3">
        <v>96</v>
      </c>
      <c r="CI3">
        <v>73</v>
      </c>
      <c r="CJ3">
        <v>73</v>
      </c>
      <c r="CK3">
        <v>87</v>
      </c>
      <c r="CL3">
        <v>83</v>
      </c>
      <c r="CM3">
        <v>81</v>
      </c>
    </row>
    <row r="4" spans="1:91">
      <c r="A4" s="22" t="s">
        <v>9</v>
      </c>
      <c r="B4" s="22"/>
      <c r="C4" s="2">
        <v>490706</v>
      </c>
      <c r="D4" s="3">
        <f t="shared" ref="D4:D9" si="0">C4/1000000</f>
        <v>0.49070599999999998</v>
      </c>
      <c r="F4" s="5" t="s">
        <v>10</v>
      </c>
      <c r="G4" s="2">
        <v>16943</v>
      </c>
      <c r="H4" s="2">
        <v>28402</v>
      </c>
      <c r="I4" s="2">
        <v>29000</v>
      </c>
      <c r="J4" s="2">
        <v>29461</v>
      </c>
      <c r="K4" s="2">
        <v>30022</v>
      </c>
      <c r="L4" s="2">
        <v>31288</v>
      </c>
      <c r="M4" s="2">
        <v>31366</v>
      </c>
      <c r="N4" s="2">
        <v>28603</v>
      </c>
      <c r="O4" s="2">
        <v>25836</v>
      </c>
      <c r="P4" s="2">
        <v>22252</v>
      </c>
      <c r="Q4" s="2">
        <v>21935</v>
      </c>
      <c r="R4" s="2">
        <v>21844</v>
      </c>
      <c r="S4" s="2">
        <v>22003</v>
      </c>
      <c r="U4" s="5" t="s">
        <v>10</v>
      </c>
      <c r="V4" s="2">
        <v>54742</v>
      </c>
      <c r="W4" s="2">
        <v>42361</v>
      </c>
      <c r="X4" s="2">
        <v>41847</v>
      </c>
      <c r="Y4" s="2">
        <v>41835</v>
      </c>
      <c r="Z4" s="2">
        <v>41435</v>
      </c>
      <c r="AA4" s="2">
        <v>40598</v>
      </c>
      <c r="AB4" s="2">
        <v>38398</v>
      </c>
      <c r="AC4" s="2">
        <v>40693</v>
      </c>
      <c r="AD4" s="2">
        <v>44171</v>
      </c>
      <c r="AE4" s="2">
        <v>48624</v>
      </c>
      <c r="AF4" s="2">
        <v>48097</v>
      </c>
      <c r="AG4" s="2">
        <v>48071</v>
      </c>
      <c r="AH4" s="2">
        <v>48395</v>
      </c>
      <c r="AJ4" s="5" t="s">
        <v>10</v>
      </c>
      <c r="AK4" s="2">
        <v>5358</v>
      </c>
      <c r="AL4" s="2">
        <v>6030</v>
      </c>
      <c r="AM4" s="2">
        <v>5841</v>
      </c>
      <c r="AN4" s="2">
        <v>5612</v>
      </c>
      <c r="AO4" s="2">
        <v>5368</v>
      </c>
      <c r="AP4" s="2">
        <v>5447</v>
      </c>
      <c r="AQ4" s="2">
        <v>7211</v>
      </c>
      <c r="AR4" s="2">
        <v>7135</v>
      </c>
      <c r="AS4" s="2">
        <v>7196</v>
      </c>
      <c r="AT4" s="2">
        <v>6598</v>
      </c>
      <c r="AU4" s="2">
        <v>6664</v>
      </c>
      <c r="AV4" s="2">
        <v>6730</v>
      </c>
      <c r="AW4" s="2">
        <v>6588</v>
      </c>
      <c r="AY4">
        <v>255</v>
      </c>
      <c r="AZ4">
        <v>439</v>
      </c>
      <c r="BA4">
        <v>458</v>
      </c>
      <c r="BB4">
        <v>503</v>
      </c>
      <c r="BC4">
        <v>471</v>
      </c>
      <c r="BD4">
        <v>503</v>
      </c>
      <c r="BE4">
        <v>503</v>
      </c>
      <c r="BF4">
        <v>487</v>
      </c>
      <c r="BG4">
        <v>381</v>
      </c>
      <c r="BH4">
        <v>358</v>
      </c>
      <c r="BI4">
        <v>365</v>
      </c>
      <c r="BJ4">
        <v>331</v>
      </c>
      <c r="BK4">
        <v>349</v>
      </c>
      <c r="BM4">
        <v>1033</v>
      </c>
      <c r="BN4">
        <v>779</v>
      </c>
      <c r="BO4">
        <v>750</v>
      </c>
      <c r="BP4">
        <v>730</v>
      </c>
      <c r="BQ4">
        <v>799</v>
      </c>
      <c r="BR4">
        <v>705</v>
      </c>
      <c r="BS4">
        <v>692</v>
      </c>
      <c r="BT4">
        <v>810</v>
      </c>
      <c r="BU4">
        <v>799</v>
      </c>
      <c r="BV4">
        <v>905</v>
      </c>
      <c r="BW4">
        <v>913</v>
      </c>
      <c r="BX4">
        <v>921</v>
      </c>
      <c r="BY4">
        <v>966</v>
      </c>
      <c r="CA4">
        <v>99</v>
      </c>
      <c r="CB4">
        <v>105</v>
      </c>
      <c r="CC4">
        <v>97</v>
      </c>
      <c r="CD4">
        <v>88</v>
      </c>
      <c r="CE4">
        <v>74</v>
      </c>
      <c r="CF4">
        <v>107</v>
      </c>
      <c r="CG4">
        <v>116</v>
      </c>
      <c r="CH4">
        <v>133</v>
      </c>
      <c r="CI4">
        <v>124</v>
      </c>
      <c r="CJ4">
        <v>118</v>
      </c>
      <c r="CK4">
        <v>101</v>
      </c>
      <c r="CL4">
        <v>120</v>
      </c>
      <c r="CM4">
        <v>111</v>
      </c>
    </row>
    <row r="5" spans="1:91">
      <c r="A5" s="21" t="s">
        <v>11</v>
      </c>
      <c r="B5" s="21"/>
      <c r="C5" s="8">
        <v>97760</v>
      </c>
      <c r="D5" s="9">
        <f t="shared" si="0"/>
        <v>9.776E-2</v>
      </c>
      <c r="F5" s="5" t="s">
        <v>12</v>
      </c>
      <c r="G5" s="7">
        <v>16313</v>
      </c>
      <c r="H5" s="7">
        <v>27221</v>
      </c>
      <c r="I5" s="7">
        <v>28406</v>
      </c>
      <c r="J5" s="7">
        <v>28627</v>
      </c>
      <c r="K5" s="7">
        <v>29211</v>
      </c>
      <c r="L5" s="7">
        <v>30311</v>
      </c>
      <c r="M5" s="7">
        <v>30512</v>
      </c>
      <c r="N5" s="7">
        <v>27474</v>
      </c>
      <c r="O5" s="7">
        <v>24618</v>
      </c>
      <c r="P5" s="7">
        <v>21323</v>
      </c>
      <c r="Q5" s="7">
        <v>21269</v>
      </c>
      <c r="R5" s="7">
        <v>21319</v>
      </c>
      <c r="S5" s="7">
        <v>21146</v>
      </c>
      <c r="U5" s="5" t="s">
        <v>12</v>
      </c>
      <c r="V5" s="7">
        <v>55317</v>
      </c>
      <c r="W5" s="7">
        <v>43529</v>
      </c>
      <c r="X5" s="7">
        <v>43121</v>
      </c>
      <c r="Y5" s="7">
        <v>42923</v>
      </c>
      <c r="Z5" s="7">
        <v>42068</v>
      </c>
      <c r="AA5" s="7">
        <v>41220</v>
      </c>
      <c r="AB5" s="7">
        <v>39850</v>
      </c>
      <c r="AC5" s="7">
        <v>42115</v>
      </c>
      <c r="AD5" s="7">
        <v>45651</v>
      </c>
      <c r="AE5" s="7">
        <v>49430</v>
      </c>
      <c r="AF5" s="7">
        <v>49420</v>
      </c>
      <c r="AG5" s="7">
        <v>49135</v>
      </c>
      <c r="AH5" s="7">
        <v>49523</v>
      </c>
      <c r="AJ5" s="5" t="s">
        <v>12</v>
      </c>
      <c r="AK5" s="7">
        <v>5164</v>
      </c>
      <c r="AL5" s="7">
        <v>5803</v>
      </c>
      <c r="AM5" s="7">
        <v>5635</v>
      </c>
      <c r="AN5" s="7">
        <v>5305</v>
      </c>
      <c r="AO5" s="7">
        <v>5239</v>
      </c>
      <c r="AP5" s="7">
        <v>5162</v>
      </c>
      <c r="AQ5" s="7">
        <v>6809</v>
      </c>
      <c r="AR5" s="7">
        <v>7239</v>
      </c>
      <c r="AS5" s="7">
        <v>7060</v>
      </c>
      <c r="AT5" s="7">
        <v>6332</v>
      </c>
      <c r="AU5" s="7">
        <v>6406</v>
      </c>
      <c r="AV5" s="7">
        <v>6460</v>
      </c>
      <c r="AW5" s="7">
        <v>6334</v>
      </c>
      <c r="AY5">
        <v>375</v>
      </c>
      <c r="AZ5">
        <v>643</v>
      </c>
      <c r="BA5">
        <v>696</v>
      </c>
      <c r="BB5">
        <v>668</v>
      </c>
      <c r="BC5">
        <v>771</v>
      </c>
      <c r="BD5">
        <v>790</v>
      </c>
      <c r="BE5">
        <v>682</v>
      </c>
      <c r="BF5">
        <v>574</v>
      </c>
      <c r="BG5">
        <v>527</v>
      </c>
      <c r="BH5">
        <v>468</v>
      </c>
      <c r="BI5">
        <v>474</v>
      </c>
      <c r="BJ5">
        <v>482</v>
      </c>
      <c r="BK5">
        <v>459</v>
      </c>
      <c r="BM5">
        <v>1303</v>
      </c>
      <c r="BN5">
        <v>983</v>
      </c>
      <c r="BO5">
        <v>933</v>
      </c>
      <c r="BP5">
        <v>959</v>
      </c>
      <c r="BQ5">
        <v>919</v>
      </c>
      <c r="BR5">
        <v>848</v>
      </c>
      <c r="BS5">
        <v>794</v>
      </c>
      <c r="BT5">
        <v>995</v>
      </c>
      <c r="BU5">
        <v>1136</v>
      </c>
      <c r="BV5">
        <v>1133</v>
      </c>
      <c r="BW5">
        <v>1175</v>
      </c>
      <c r="BX5">
        <v>1231</v>
      </c>
      <c r="BY5">
        <v>1173</v>
      </c>
      <c r="CA5">
        <v>162</v>
      </c>
      <c r="CB5">
        <v>182</v>
      </c>
      <c r="CC5">
        <v>175</v>
      </c>
      <c r="CD5">
        <v>152</v>
      </c>
      <c r="CE5">
        <v>152</v>
      </c>
      <c r="CF5">
        <v>191</v>
      </c>
      <c r="CG5">
        <v>311</v>
      </c>
      <c r="CH5">
        <v>211</v>
      </c>
      <c r="CI5">
        <v>193</v>
      </c>
      <c r="CJ5">
        <v>185</v>
      </c>
      <c r="CK5">
        <v>167</v>
      </c>
      <c r="CL5">
        <v>163</v>
      </c>
      <c r="CM5">
        <v>185</v>
      </c>
    </row>
    <row r="6" spans="1:91">
      <c r="A6" s="22" t="s">
        <v>13</v>
      </c>
      <c r="B6" s="22"/>
      <c r="C6" s="2">
        <v>268607</v>
      </c>
      <c r="D6" s="3">
        <f t="shared" si="0"/>
        <v>0.26860699999999998</v>
      </c>
      <c r="F6" s="5" t="s">
        <v>14</v>
      </c>
      <c r="G6" s="7">
        <v>15109</v>
      </c>
      <c r="H6" s="7">
        <v>26363</v>
      </c>
      <c r="I6" s="7">
        <v>26654</v>
      </c>
      <c r="J6" s="7">
        <v>27024</v>
      </c>
      <c r="K6" s="7">
        <v>27801</v>
      </c>
      <c r="L6" s="7">
        <v>28982</v>
      </c>
      <c r="M6" s="7">
        <v>28410</v>
      </c>
      <c r="N6" s="7">
        <v>26022</v>
      </c>
      <c r="O6" s="7">
        <v>23067</v>
      </c>
      <c r="P6" s="7">
        <v>19795</v>
      </c>
      <c r="Q6" s="7">
        <v>20158</v>
      </c>
      <c r="R6" s="7">
        <v>20168</v>
      </c>
      <c r="S6" s="7">
        <v>19684</v>
      </c>
      <c r="U6" s="5" t="s">
        <v>14</v>
      </c>
      <c r="V6" s="7">
        <v>56619</v>
      </c>
      <c r="W6" s="7">
        <v>44876</v>
      </c>
      <c r="X6" s="7">
        <v>44539</v>
      </c>
      <c r="Y6" s="7">
        <v>44463</v>
      </c>
      <c r="Z6" s="7">
        <v>43777</v>
      </c>
      <c r="AA6" s="7">
        <v>42140</v>
      </c>
      <c r="AB6" s="7">
        <v>40757</v>
      </c>
      <c r="AC6" s="7">
        <v>44373</v>
      </c>
      <c r="AD6" s="7">
        <v>47562</v>
      </c>
      <c r="AE6" s="7">
        <v>50668</v>
      </c>
      <c r="AF6" s="7">
        <v>50637</v>
      </c>
      <c r="AG6" s="7">
        <v>50958</v>
      </c>
      <c r="AH6" s="7">
        <v>51215</v>
      </c>
      <c r="AJ6" s="5" t="s">
        <v>14</v>
      </c>
      <c r="AK6" s="7">
        <v>5272</v>
      </c>
      <c r="AL6" s="7">
        <v>5821</v>
      </c>
      <c r="AM6" s="7">
        <v>5524</v>
      </c>
      <c r="AN6" s="7">
        <v>5268</v>
      </c>
      <c r="AO6" s="7">
        <v>5158</v>
      </c>
      <c r="AP6" s="7">
        <v>5260</v>
      </c>
      <c r="AQ6" s="7">
        <v>7541</v>
      </c>
      <c r="AR6" s="7">
        <v>6789</v>
      </c>
      <c r="AS6" s="7">
        <v>6765</v>
      </c>
      <c r="AT6" s="7">
        <v>6226</v>
      </c>
      <c r="AU6" s="7">
        <v>6187</v>
      </c>
      <c r="AV6" s="7">
        <v>6121</v>
      </c>
      <c r="AW6" s="7">
        <v>6247</v>
      </c>
      <c r="AY6">
        <v>509</v>
      </c>
      <c r="AZ6">
        <v>892</v>
      </c>
      <c r="BA6">
        <v>958</v>
      </c>
      <c r="BB6">
        <v>973</v>
      </c>
      <c r="BC6">
        <v>1000</v>
      </c>
      <c r="BD6">
        <v>1050</v>
      </c>
      <c r="BE6">
        <v>1057</v>
      </c>
      <c r="BF6">
        <v>910</v>
      </c>
      <c r="BG6">
        <v>789</v>
      </c>
      <c r="BH6">
        <v>653</v>
      </c>
      <c r="BI6">
        <v>690</v>
      </c>
      <c r="BJ6">
        <v>672</v>
      </c>
      <c r="BK6">
        <v>681</v>
      </c>
      <c r="BM6">
        <v>1583</v>
      </c>
      <c r="BN6">
        <v>1069</v>
      </c>
      <c r="BO6">
        <v>1081</v>
      </c>
      <c r="BP6">
        <v>1059</v>
      </c>
      <c r="BQ6">
        <v>1060</v>
      </c>
      <c r="BR6">
        <v>962</v>
      </c>
      <c r="BS6">
        <v>862</v>
      </c>
      <c r="BT6">
        <v>953</v>
      </c>
      <c r="BU6">
        <v>1278</v>
      </c>
      <c r="BV6">
        <v>1421</v>
      </c>
      <c r="BW6">
        <v>1387</v>
      </c>
      <c r="BX6">
        <v>1386</v>
      </c>
      <c r="BY6">
        <v>1395</v>
      </c>
      <c r="CA6">
        <v>208</v>
      </c>
      <c r="CB6">
        <v>209</v>
      </c>
      <c r="CC6">
        <v>191</v>
      </c>
      <c r="CD6">
        <v>178</v>
      </c>
      <c r="CE6">
        <v>180</v>
      </c>
      <c r="CF6">
        <v>192</v>
      </c>
      <c r="CG6">
        <v>294</v>
      </c>
      <c r="CH6">
        <v>364</v>
      </c>
      <c r="CI6">
        <v>263</v>
      </c>
      <c r="CJ6">
        <v>183</v>
      </c>
      <c r="CK6">
        <v>182</v>
      </c>
      <c r="CL6">
        <v>218</v>
      </c>
      <c r="CM6">
        <v>223</v>
      </c>
    </row>
    <row r="7" spans="1:91">
      <c r="A7" s="21" t="s">
        <v>15</v>
      </c>
      <c r="B7" s="21"/>
      <c r="C7" s="8">
        <v>47509</v>
      </c>
      <c r="D7" s="9">
        <f t="shared" si="0"/>
        <v>4.7509000000000003E-2</v>
      </c>
      <c r="F7" s="5" t="s">
        <v>16</v>
      </c>
      <c r="G7" s="7">
        <v>14818</v>
      </c>
      <c r="H7" s="7">
        <v>28710</v>
      </c>
      <c r="I7" s="7">
        <v>29188</v>
      </c>
      <c r="J7" s="7">
        <v>30481</v>
      </c>
      <c r="K7" s="7">
        <v>31699</v>
      </c>
      <c r="L7" s="7">
        <v>32392</v>
      </c>
      <c r="M7" s="7">
        <v>28993</v>
      </c>
      <c r="N7" s="7">
        <v>25687</v>
      </c>
      <c r="O7" s="7">
        <v>23386</v>
      </c>
      <c r="P7" s="7">
        <v>20514</v>
      </c>
      <c r="Q7" s="7">
        <v>20330</v>
      </c>
      <c r="R7" s="7">
        <v>20480</v>
      </c>
      <c r="S7" s="7">
        <v>20401</v>
      </c>
      <c r="U7" s="5" t="s">
        <v>16</v>
      </c>
      <c r="V7" s="7">
        <v>55215</v>
      </c>
      <c r="W7" s="7">
        <v>41100</v>
      </c>
      <c r="X7" s="7">
        <v>40140</v>
      </c>
      <c r="Y7" s="7">
        <v>39059</v>
      </c>
      <c r="Z7" s="7">
        <v>38987</v>
      </c>
      <c r="AA7" s="7">
        <v>37137</v>
      </c>
      <c r="AB7" s="7">
        <v>34245</v>
      </c>
      <c r="AC7" s="7">
        <v>42051</v>
      </c>
      <c r="AD7" s="7">
        <v>45735</v>
      </c>
      <c r="AE7" s="7">
        <v>49049</v>
      </c>
      <c r="AF7" s="7">
        <v>49010</v>
      </c>
      <c r="AG7" s="7">
        <v>49257</v>
      </c>
      <c r="AH7" s="7">
        <v>48949</v>
      </c>
      <c r="AJ7" s="5" t="s">
        <v>16</v>
      </c>
      <c r="AK7" s="7">
        <v>6986</v>
      </c>
      <c r="AL7" s="7">
        <v>7687</v>
      </c>
      <c r="AM7" s="7">
        <v>7292</v>
      </c>
      <c r="AN7" s="7">
        <v>7104</v>
      </c>
      <c r="AO7" s="7">
        <v>6815</v>
      </c>
      <c r="AP7" s="7">
        <v>7650</v>
      </c>
      <c r="AQ7" s="7">
        <v>13056</v>
      </c>
      <c r="AR7" s="7">
        <v>9107</v>
      </c>
      <c r="AS7" s="7">
        <v>7958</v>
      </c>
      <c r="AT7" s="7">
        <v>7420</v>
      </c>
      <c r="AU7" s="7">
        <v>7314</v>
      </c>
      <c r="AV7" s="7">
        <v>7340</v>
      </c>
      <c r="AW7" s="7">
        <v>7258</v>
      </c>
      <c r="AY7">
        <v>749</v>
      </c>
      <c r="AZ7">
        <v>1338</v>
      </c>
      <c r="BA7">
        <v>1356</v>
      </c>
      <c r="BB7">
        <v>1338</v>
      </c>
      <c r="BC7">
        <v>1346</v>
      </c>
      <c r="BD7">
        <v>1441</v>
      </c>
      <c r="BE7">
        <v>1464</v>
      </c>
      <c r="BF7">
        <v>1338</v>
      </c>
      <c r="BG7">
        <v>1068</v>
      </c>
      <c r="BH7">
        <v>892</v>
      </c>
      <c r="BI7">
        <v>928</v>
      </c>
      <c r="BJ7">
        <v>940</v>
      </c>
      <c r="BK7">
        <v>899</v>
      </c>
      <c r="BM7">
        <v>1740</v>
      </c>
      <c r="BN7">
        <v>1094</v>
      </c>
      <c r="BO7">
        <v>1135</v>
      </c>
      <c r="BP7">
        <v>1153</v>
      </c>
      <c r="BQ7">
        <v>1098</v>
      </c>
      <c r="BR7">
        <v>1110</v>
      </c>
      <c r="BS7">
        <v>987</v>
      </c>
      <c r="BT7">
        <v>1110</v>
      </c>
      <c r="BU7">
        <v>1184</v>
      </c>
      <c r="BV7">
        <v>1535</v>
      </c>
      <c r="BW7">
        <v>1496</v>
      </c>
      <c r="BX7">
        <v>1554</v>
      </c>
      <c r="BY7">
        <v>1616</v>
      </c>
      <c r="CA7">
        <v>279</v>
      </c>
      <c r="CB7">
        <v>297</v>
      </c>
      <c r="CC7">
        <v>252</v>
      </c>
      <c r="CD7">
        <v>252</v>
      </c>
      <c r="CE7">
        <v>244</v>
      </c>
      <c r="CF7">
        <v>242</v>
      </c>
      <c r="CG7">
        <v>284</v>
      </c>
      <c r="CH7">
        <v>290</v>
      </c>
      <c r="CI7">
        <v>465</v>
      </c>
      <c r="CJ7">
        <v>282</v>
      </c>
      <c r="CK7">
        <v>342</v>
      </c>
      <c r="CL7">
        <v>307</v>
      </c>
      <c r="CM7">
        <v>293</v>
      </c>
    </row>
    <row r="8" spans="1:91">
      <c r="A8" s="22" t="s">
        <v>17</v>
      </c>
      <c r="B8" s="22"/>
      <c r="C8" s="2">
        <v>189120</v>
      </c>
      <c r="D8" s="3">
        <f t="shared" si="0"/>
        <v>0.18912000000000001</v>
      </c>
      <c r="F8" s="5" t="s">
        <v>18</v>
      </c>
      <c r="G8" s="7">
        <v>17865</v>
      </c>
      <c r="H8" s="7">
        <v>31864</v>
      </c>
      <c r="I8" s="7">
        <v>32821</v>
      </c>
      <c r="J8" s="7">
        <v>33543</v>
      </c>
      <c r="K8" s="7">
        <v>34519</v>
      </c>
      <c r="L8" s="7">
        <v>36456</v>
      </c>
      <c r="M8" s="7">
        <v>37211</v>
      </c>
      <c r="N8" s="7">
        <v>29747</v>
      </c>
      <c r="O8" s="7">
        <v>25816</v>
      </c>
      <c r="P8" s="7">
        <v>23196</v>
      </c>
      <c r="Q8" s="7">
        <v>23132</v>
      </c>
      <c r="R8" s="7">
        <v>22871</v>
      </c>
      <c r="S8" s="7">
        <v>23006</v>
      </c>
      <c r="U8" s="5" t="s">
        <v>18</v>
      </c>
      <c r="V8" s="7">
        <v>52045</v>
      </c>
      <c r="W8" s="7">
        <v>37072</v>
      </c>
      <c r="X8" s="7">
        <v>36501</v>
      </c>
      <c r="Y8" s="7">
        <v>36005</v>
      </c>
      <c r="Z8" s="7">
        <v>35330</v>
      </c>
      <c r="AA8" s="7">
        <v>33841</v>
      </c>
      <c r="AB8" s="7">
        <v>30989</v>
      </c>
      <c r="AC8" s="7">
        <v>34363</v>
      </c>
      <c r="AD8" s="7">
        <v>41996</v>
      </c>
      <c r="AE8" s="7">
        <v>46575</v>
      </c>
      <c r="AF8" s="7">
        <v>46561</v>
      </c>
      <c r="AG8" s="7">
        <v>46328</v>
      </c>
      <c r="AH8" s="7">
        <v>46556</v>
      </c>
      <c r="AJ8" s="5" t="s">
        <v>18</v>
      </c>
      <c r="AK8" s="7">
        <v>7133</v>
      </c>
      <c r="AL8" s="7">
        <v>7569</v>
      </c>
      <c r="AM8" s="7">
        <v>7525</v>
      </c>
      <c r="AN8" s="7">
        <v>7264</v>
      </c>
      <c r="AO8" s="7">
        <v>7018</v>
      </c>
      <c r="AP8" s="7">
        <v>6680</v>
      </c>
      <c r="AQ8" s="7">
        <v>9107</v>
      </c>
      <c r="AR8" s="7">
        <v>13236</v>
      </c>
      <c r="AS8" s="7">
        <v>8904</v>
      </c>
      <c r="AT8" s="7">
        <v>7466</v>
      </c>
      <c r="AU8" s="7">
        <v>7284</v>
      </c>
      <c r="AV8" s="7">
        <v>7342</v>
      </c>
      <c r="AW8" s="7">
        <v>7263</v>
      </c>
      <c r="AY8">
        <v>1062</v>
      </c>
      <c r="AZ8">
        <v>1626</v>
      </c>
      <c r="BA8">
        <v>1716</v>
      </c>
      <c r="BB8">
        <v>1748</v>
      </c>
      <c r="BC8">
        <v>1703</v>
      </c>
      <c r="BD8">
        <v>1862</v>
      </c>
      <c r="BE8">
        <v>1921</v>
      </c>
      <c r="BF8">
        <v>1728</v>
      </c>
      <c r="BG8">
        <v>1625</v>
      </c>
      <c r="BH8">
        <v>1292</v>
      </c>
      <c r="BI8">
        <v>1283</v>
      </c>
      <c r="BJ8">
        <v>1269</v>
      </c>
      <c r="BK8">
        <v>1239</v>
      </c>
      <c r="BM8">
        <v>1827</v>
      </c>
      <c r="BN8">
        <v>1165</v>
      </c>
      <c r="BO8">
        <v>1139</v>
      </c>
      <c r="BP8">
        <v>1095</v>
      </c>
      <c r="BQ8">
        <v>1155</v>
      </c>
      <c r="BR8">
        <v>1059</v>
      </c>
      <c r="BS8">
        <v>1013</v>
      </c>
      <c r="BT8">
        <v>1069</v>
      </c>
      <c r="BU8">
        <v>1250</v>
      </c>
      <c r="BV8">
        <v>1439</v>
      </c>
      <c r="BW8">
        <v>1436</v>
      </c>
      <c r="BX8">
        <v>1423</v>
      </c>
      <c r="BY8">
        <v>1474</v>
      </c>
      <c r="CA8">
        <v>298</v>
      </c>
      <c r="CB8">
        <v>327</v>
      </c>
      <c r="CC8">
        <v>316</v>
      </c>
      <c r="CD8">
        <v>300</v>
      </c>
      <c r="CE8">
        <v>288</v>
      </c>
      <c r="CF8">
        <v>296</v>
      </c>
      <c r="CG8">
        <v>326</v>
      </c>
      <c r="CH8">
        <v>318</v>
      </c>
      <c r="CI8">
        <v>369</v>
      </c>
      <c r="CJ8">
        <v>497</v>
      </c>
      <c r="CK8">
        <v>518</v>
      </c>
      <c r="CL8">
        <v>549</v>
      </c>
      <c r="CM8">
        <v>518</v>
      </c>
    </row>
    <row r="9" spans="1:91">
      <c r="A9" s="21" t="s">
        <v>19</v>
      </c>
      <c r="B9" s="21"/>
      <c r="C9" s="8">
        <v>47352</v>
      </c>
      <c r="D9" s="9">
        <f t="shared" si="0"/>
        <v>4.7351999999999998E-2</v>
      </c>
      <c r="F9" s="5" t="s">
        <v>20</v>
      </c>
      <c r="G9" s="7">
        <v>21095</v>
      </c>
      <c r="H9" s="7">
        <v>36000</v>
      </c>
      <c r="I9" s="7">
        <v>36496</v>
      </c>
      <c r="J9" s="7">
        <v>37222</v>
      </c>
      <c r="K9" s="7">
        <v>37921</v>
      </c>
      <c r="L9" s="7">
        <v>39858</v>
      </c>
      <c r="M9" s="7">
        <v>41123</v>
      </c>
      <c r="N9" s="7">
        <v>37865</v>
      </c>
      <c r="O9" s="7">
        <v>29781</v>
      </c>
      <c r="P9" s="7">
        <v>25984</v>
      </c>
      <c r="Q9" s="7">
        <v>25893</v>
      </c>
      <c r="R9" s="7">
        <v>26044</v>
      </c>
      <c r="S9" s="7">
        <v>26056</v>
      </c>
      <c r="U9" s="5" t="s">
        <v>20</v>
      </c>
      <c r="V9" s="7">
        <v>48758</v>
      </c>
      <c r="W9" s="7">
        <v>33137</v>
      </c>
      <c r="X9" s="7">
        <v>32731</v>
      </c>
      <c r="Y9" s="7">
        <v>32452</v>
      </c>
      <c r="Z9" s="7">
        <v>31917</v>
      </c>
      <c r="AA9" s="7">
        <v>30580</v>
      </c>
      <c r="AB9" s="7">
        <v>27804</v>
      </c>
      <c r="AC9" s="7">
        <v>30028</v>
      </c>
      <c r="AD9" s="7">
        <v>34364</v>
      </c>
      <c r="AE9" s="7">
        <v>42688</v>
      </c>
      <c r="AF9" s="7">
        <v>42408</v>
      </c>
      <c r="AG9" s="7">
        <v>42389</v>
      </c>
      <c r="AH9" s="7">
        <v>42567</v>
      </c>
      <c r="AJ9" s="5" t="s">
        <v>20</v>
      </c>
      <c r="AK9" s="7">
        <v>7561</v>
      </c>
      <c r="AL9" s="7">
        <v>7627</v>
      </c>
      <c r="AM9" s="7">
        <v>7325</v>
      </c>
      <c r="AN9" s="7">
        <v>7186</v>
      </c>
      <c r="AO9" s="7">
        <v>6993</v>
      </c>
      <c r="AP9" s="7">
        <v>6720</v>
      </c>
      <c r="AQ9" s="7">
        <v>7822</v>
      </c>
      <c r="AR9" s="7">
        <v>8985</v>
      </c>
      <c r="AS9" s="7">
        <v>12913</v>
      </c>
      <c r="AT9" s="7">
        <v>8481</v>
      </c>
      <c r="AU9" s="7">
        <v>8456</v>
      </c>
      <c r="AV9" s="7">
        <v>8388</v>
      </c>
      <c r="AW9" s="7">
        <v>8382</v>
      </c>
      <c r="AY9">
        <v>1294</v>
      </c>
      <c r="AZ9">
        <v>2015</v>
      </c>
      <c r="BA9">
        <v>2028</v>
      </c>
      <c r="BB9">
        <v>2043</v>
      </c>
      <c r="BC9">
        <v>2153</v>
      </c>
      <c r="BD9">
        <v>2121</v>
      </c>
      <c r="BE9">
        <v>2172</v>
      </c>
      <c r="BF9">
        <v>1960</v>
      </c>
      <c r="BG9">
        <v>1860</v>
      </c>
      <c r="BH9">
        <v>1712</v>
      </c>
      <c r="BI9">
        <v>1688</v>
      </c>
      <c r="BJ9">
        <v>1748</v>
      </c>
      <c r="BK9">
        <v>1790</v>
      </c>
      <c r="BM9">
        <v>2083</v>
      </c>
      <c r="BN9">
        <v>1255</v>
      </c>
      <c r="BO9">
        <v>1292</v>
      </c>
      <c r="BP9">
        <v>1226</v>
      </c>
      <c r="BQ9">
        <v>1267</v>
      </c>
      <c r="BR9">
        <v>1227</v>
      </c>
      <c r="BS9">
        <v>1049</v>
      </c>
      <c r="BT9">
        <v>1243</v>
      </c>
      <c r="BU9">
        <v>1314</v>
      </c>
      <c r="BV9">
        <v>1637</v>
      </c>
      <c r="BW9">
        <v>1614</v>
      </c>
      <c r="BX9">
        <v>1625</v>
      </c>
      <c r="BY9">
        <v>1631</v>
      </c>
      <c r="CA9">
        <v>286</v>
      </c>
      <c r="CB9">
        <v>372</v>
      </c>
      <c r="CC9">
        <v>327</v>
      </c>
      <c r="CD9">
        <v>354</v>
      </c>
      <c r="CE9">
        <v>321</v>
      </c>
      <c r="CF9">
        <v>312</v>
      </c>
      <c r="CG9">
        <v>340</v>
      </c>
      <c r="CH9">
        <v>324</v>
      </c>
      <c r="CI9">
        <v>377</v>
      </c>
      <c r="CJ9">
        <v>351</v>
      </c>
      <c r="CK9">
        <v>277</v>
      </c>
      <c r="CL9">
        <v>299</v>
      </c>
      <c r="CM9">
        <v>323</v>
      </c>
    </row>
    <row r="10" spans="1:91">
      <c r="A10" s="22" t="s">
        <v>21</v>
      </c>
      <c r="B10" s="22"/>
      <c r="C10" s="26">
        <v>-101787</v>
      </c>
      <c r="D10" s="26"/>
      <c r="F10" s="5" t="s">
        <v>22</v>
      </c>
      <c r="G10" s="7">
        <v>25071</v>
      </c>
      <c r="H10" s="7">
        <v>40408</v>
      </c>
      <c r="I10" s="7">
        <v>40976</v>
      </c>
      <c r="J10" s="7">
        <v>41414</v>
      </c>
      <c r="K10" s="7">
        <v>41954</v>
      </c>
      <c r="L10" s="7">
        <v>43478</v>
      </c>
      <c r="M10" s="7">
        <v>44613</v>
      </c>
      <c r="N10" s="7">
        <v>42517</v>
      </c>
      <c r="O10" s="7">
        <v>38793</v>
      </c>
      <c r="P10" s="7">
        <v>30273</v>
      </c>
      <c r="Q10" s="7">
        <v>30443</v>
      </c>
      <c r="R10" s="7">
        <v>30145</v>
      </c>
      <c r="S10" s="7">
        <v>30230</v>
      </c>
      <c r="U10" s="5" t="s">
        <v>22</v>
      </c>
      <c r="V10" s="7">
        <v>44284</v>
      </c>
      <c r="W10" s="7">
        <v>29109</v>
      </c>
      <c r="X10" s="7">
        <v>28645</v>
      </c>
      <c r="Y10" s="7">
        <v>28157</v>
      </c>
      <c r="Z10" s="7">
        <v>27766</v>
      </c>
      <c r="AA10" s="7">
        <v>26564</v>
      </c>
      <c r="AB10" s="7">
        <v>24944</v>
      </c>
      <c r="AC10" s="7">
        <v>27547</v>
      </c>
      <c r="AD10" s="7">
        <v>29687</v>
      </c>
      <c r="AE10" s="7">
        <v>34572</v>
      </c>
      <c r="AF10" s="7">
        <v>34463</v>
      </c>
      <c r="AG10" s="7">
        <v>34464</v>
      </c>
      <c r="AH10" s="7">
        <v>34437</v>
      </c>
      <c r="AJ10" s="5" t="s">
        <v>22</v>
      </c>
      <c r="AK10" s="7">
        <v>7450</v>
      </c>
      <c r="AL10" s="7">
        <v>7757</v>
      </c>
      <c r="AM10" s="7">
        <v>7472</v>
      </c>
      <c r="AN10" s="7">
        <v>7154</v>
      </c>
      <c r="AO10" s="7">
        <v>7033</v>
      </c>
      <c r="AP10" s="7">
        <v>6590</v>
      </c>
      <c r="AQ10" s="7">
        <v>7728</v>
      </c>
      <c r="AR10" s="7">
        <v>7517</v>
      </c>
      <c r="AS10" s="7">
        <v>8720</v>
      </c>
      <c r="AT10" s="7">
        <v>11994</v>
      </c>
      <c r="AU10" s="7">
        <v>11805</v>
      </c>
      <c r="AV10" s="7">
        <v>11775</v>
      </c>
      <c r="AW10" s="7">
        <v>12051</v>
      </c>
      <c r="AY10">
        <v>1350</v>
      </c>
      <c r="AZ10">
        <v>2129</v>
      </c>
      <c r="BA10">
        <v>2257</v>
      </c>
      <c r="BB10">
        <v>2313</v>
      </c>
      <c r="BC10">
        <v>2323</v>
      </c>
      <c r="BD10">
        <v>2401</v>
      </c>
      <c r="BE10">
        <v>2353</v>
      </c>
      <c r="BF10">
        <v>2121</v>
      </c>
      <c r="BG10">
        <v>1983</v>
      </c>
      <c r="BH10">
        <v>1729</v>
      </c>
      <c r="BI10">
        <v>1672</v>
      </c>
      <c r="BJ10">
        <v>1688</v>
      </c>
      <c r="BK10">
        <v>1728</v>
      </c>
      <c r="BM10">
        <v>5021</v>
      </c>
      <c r="BN10">
        <v>4147</v>
      </c>
      <c r="BO10">
        <v>4125</v>
      </c>
      <c r="BP10">
        <v>4186</v>
      </c>
      <c r="BQ10">
        <v>4170</v>
      </c>
      <c r="BR10">
        <v>4033</v>
      </c>
      <c r="BS10">
        <v>3905</v>
      </c>
      <c r="BT10">
        <v>4211</v>
      </c>
      <c r="BU10">
        <v>4244</v>
      </c>
      <c r="BV10">
        <v>4581</v>
      </c>
      <c r="BW10">
        <v>4645</v>
      </c>
      <c r="BX10">
        <v>4663</v>
      </c>
      <c r="BY10">
        <v>4578</v>
      </c>
      <c r="CA10">
        <v>408</v>
      </c>
      <c r="CB10">
        <v>455</v>
      </c>
      <c r="CC10">
        <v>397</v>
      </c>
      <c r="CD10">
        <v>457</v>
      </c>
      <c r="CE10">
        <v>413</v>
      </c>
      <c r="CF10">
        <v>443</v>
      </c>
      <c r="CG10">
        <v>521</v>
      </c>
      <c r="CH10">
        <v>530</v>
      </c>
      <c r="CI10">
        <v>575</v>
      </c>
      <c r="CJ10">
        <v>489</v>
      </c>
      <c r="CK10">
        <v>510</v>
      </c>
      <c r="CL10">
        <v>518</v>
      </c>
      <c r="CM10">
        <v>508</v>
      </c>
    </row>
    <row r="11" spans="1:91">
      <c r="F11" s="5" t="s">
        <v>23</v>
      </c>
      <c r="G11" s="7">
        <v>27774</v>
      </c>
      <c r="H11" s="7">
        <v>42133</v>
      </c>
      <c r="I11" s="7">
        <v>43344</v>
      </c>
      <c r="J11" s="7">
        <v>43619</v>
      </c>
      <c r="K11" s="7">
        <v>43810</v>
      </c>
      <c r="L11" s="7">
        <v>44959</v>
      </c>
      <c r="M11" s="7">
        <v>45670</v>
      </c>
      <c r="N11" s="7">
        <v>43252</v>
      </c>
      <c r="O11" s="7">
        <v>40546</v>
      </c>
      <c r="P11" s="7">
        <v>36564</v>
      </c>
      <c r="Q11" s="7">
        <v>36484</v>
      </c>
      <c r="R11" s="7">
        <v>36523</v>
      </c>
      <c r="S11" s="7">
        <v>36018</v>
      </c>
      <c r="U11" s="5" t="s">
        <v>23</v>
      </c>
      <c r="V11" s="7">
        <v>43452</v>
      </c>
      <c r="W11" s="7">
        <v>26962</v>
      </c>
      <c r="X11" s="7">
        <v>26490</v>
      </c>
      <c r="Y11" s="7">
        <v>26663</v>
      </c>
      <c r="Z11" s="7">
        <v>26020</v>
      </c>
      <c r="AA11" s="7">
        <v>24782</v>
      </c>
      <c r="AB11" s="7">
        <v>23497</v>
      </c>
      <c r="AC11" s="7">
        <v>25999</v>
      </c>
      <c r="AD11" s="7">
        <v>28707</v>
      </c>
      <c r="AE11" s="7">
        <v>33975</v>
      </c>
      <c r="AF11" s="7">
        <v>33904</v>
      </c>
      <c r="AG11" s="7">
        <v>33795</v>
      </c>
      <c r="AH11" s="7">
        <v>33464</v>
      </c>
      <c r="AJ11" s="5" t="s">
        <v>23</v>
      </c>
      <c r="AK11" s="7">
        <v>5951</v>
      </c>
      <c r="AL11" s="7">
        <v>7708</v>
      </c>
      <c r="AM11" s="7">
        <v>7445</v>
      </c>
      <c r="AN11" s="7">
        <v>7146</v>
      </c>
      <c r="AO11" s="7">
        <v>6894</v>
      </c>
      <c r="AP11" s="7">
        <v>6555</v>
      </c>
      <c r="AQ11" s="7">
        <v>7393</v>
      </c>
      <c r="AR11" s="7">
        <v>7635</v>
      </c>
      <c r="AS11" s="7">
        <v>7792</v>
      </c>
      <c r="AT11" s="7">
        <v>6919</v>
      </c>
      <c r="AU11" s="7">
        <v>6669</v>
      </c>
      <c r="AV11" s="7">
        <v>6693</v>
      </c>
      <c r="AW11" s="7">
        <v>6794</v>
      </c>
      <c r="AY11">
        <v>1146</v>
      </c>
      <c r="AZ11">
        <v>1952</v>
      </c>
      <c r="BA11">
        <v>1921</v>
      </c>
      <c r="BB11">
        <v>2014</v>
      </c>
      <c r="BC11">
        <v>1964</v>
      </c>
      <c r="BD11">
        <v>1992</v>
      </c>
      <c r="BE11">
        <v>2149</v>
      </c>
      <c r="BF11">
        <v>1903</v>
      </c>
      <c r="BG11">
        <v>1791</v>
      </c>
      <c r="BH11">
        <v>1519</v>
      </c>
      <c r="BI11">
        <v>1467</v>
      </c>
      <c r="BJ11">
        <v>1442</v>
      </c>
      <c r="BK11">
        <v>1454</v>
      </c>
      <c r="BM11">
        <v>4890</v>
      </c>
      <c r="BN11">
        <v>4156</v>
      </c>
      <c r="BO11">
        <v>3974</v>
      </c>
      <c r="BP11">
        <v>3940</v>
      </c>
      <c r="BQ11">
        <v>4062</v>
      </c>
      <c r="BR11">
        <v>3929</v>
      </c>
      <c r="BS11">
        <v>3718</v>
      </c>
      <c r="BT11">
        <v>4001</v>
      </c>
      <c r="BU11">
        <v>4270</v>
      </c>
      <c r="BV11">
        <v>4404</v>
      </c>
      <c r="BW11">
        <v>4561</v>
      </c>
      <c r="BX11">
        <v>4579</v>
      </c>
      <c r="BY11">
        <v>4427</v>
      </c>
      <c r="CA11">
        <v>354</v>
      </c>
      <c r="CB11">
        <v>382</v>
      </c>
      <c r="CC11">
        <v>411</v>
      </c>
      <c r="CD11">
        <v>376</v>
      </c>
      <c r="CE11">
        <v>360</v>
      </c>
      <c r="CF11">
        <v>367</v>
      </c>
      <c r="CG11">
        <v>475</v>
      </c>
      <c r="CH11">
        <v>451</v>
      </c>
      <c r="CI11">
        <v>485</v>
      </c>
      <c r="CJ11">
        <v>402</v>
      </c>
      <c r="CK11">
        <v>416</v>
      </c>
      <c r="CL11">
        <v>447</v>
      </c>
      <c r="CM11">
        <v>462</v>
      </c>
    </row>
    <row r="12" spans="1:91">
      <c r="B12" s="23" t="s">
        <v>24</v>
      </c>
      <c r="C12" s="24"/>
      <c r="D12" s="25"/>
      <c r="F12" s="5" t="s">
        <v>25</v>
      </c>
      <c r="G12" s="7">
        <v>15023</v>
      </c>
      <c r="H12" s="7">
        <v>24859</v>
      </c>
      <c r="I12" s="7">
        <v>25064</v>
      </c>
      <c r="J12" s="7">
        <v>25777</v>
      </c>
      <c r="K12" s="7">
        <v>26233</v>
      </c>
      <c r="L12" s="7">
        <v>26864</v>
      </c>
      <c r="M12" s="7">
        <v>27107</v>
      </c>
      <c r="N12" s="7">
        <v>24616</v>
      </c>
      <c r="O12" s="7">
        <v>21876</v>
      </c>
      <c r="P12" s="7">
        <v>19571</v>
      </c>
      <c r="Q12" s="7">
        <v>19287</v>
      </c>
      <c r="R12" s="7">
        <v>19157</v>
      </c>
      <c r="S12" s="7">
        <v>19136</v>
      </c>
      <c r="U12" s="5" t="s">
        <v>25</v>
      </c>
      <c r="V12" s="7">
        <v>57371</v>
      </c>
      <c r="W12" s="7">
        <v>47431</v>
      </c>
      <c r="X12" s="7">
        <v>46593</v>
      </c>
      <c r="Y12" s="7">
        <v>46335</v>
      </c>
      <c r="Z12" s="7">
        <v>46055</v>
      </c>
      <c r="AA12" s="7">
        <v>45693</v>
      </c>
      <c r="AB12" s="7">
        <v>43697</v>
      </c>
      <c r="AC12" s="7">
        <v>45739</v>
      </c>
      <c r="AD12" s="7">
        <v>48365</v>
      </c>
      <c r="AE12" s="7">
        <v>51984</v>
      </c>
      <c r="AF12" s="7">
        <v>51694</v>
      </c>
      <c r="AG12" s="7">
        <v>52439</v>
      </c>
      <c r="AH12" s="7">
        <v>52264</v>
      </c>
      <c r="AJ12" s="5" t="s">
        <v>25</v>
      </c>
      <c r="AK12" s="7">
        <v>4625</v>
      </c>
      <c r="AL12" s="7">
        <v>5133</v>
      </c>
      <c r="AM12" s="7">
        <v>5010</v>
      </c>
      <c r="AN12" s="7">
        <v>4878</v>
      </c>
      <c r="AO12" s="7">
        <v>4577</v>
      </c>
      <c r="AP12" s="7">
        <v>4570</v>
      </c>
      <c r="AQ12" s="7">
        <v>5734</v>
      </c>
      <c r="AR12" s="7">
        <v>6109</v>
      </c>
      <c r="AS12" s="7">
        <v>6064</v>
      </c>
      <c r="AT12" s="7">
        <v>5671</v>
      </c>
      <c r="AU12" s="7">
        <v>5861</v>
      </c>
      <c r="AV12" s="7">
        <v>5736</v>
      </c>
      <c r="AW12" s="7">
        <v>5802</v>
      </c>
      <c r="AY12">
        <v>987</v>
      </c>
      <c r="AZ12">
        <v>1591</v>
      </c>
      <c r="BA12">
        <v>1657</v>
      </c>
      <c r="BB12">
        <v>1697</v>
      </c>
      <c r="BC12">
        <v>1733</v>
      </c>
      <c r="BD12">
        <v>1768</v>
      </c>
      <c r="BE12">
        <v>1836</v>
      </c>
      <c r="BF12">
        <v>1630</v>
      </c>
      <c r="BG12">
        <v>1453</v>
      </c>
      <c r="BH12">
        <v>1352</v>
      </c>
      <c r="BI12">
        <v>1335</v>
      </c>
      <c r="BJ12">
        <v>1273</v>
      </c>
      <c r="BK12">
        <v>1247</v>
      </c>
      <c r="BM12">
        <v>4613</v>
      </c>
      <c r="BN12">
        <v>3974</v>
      </c>
      <c r="BO12">
        <v>3978</v>
      </c>
      <c r="BP12">
        <v>3842</v>
      </c>
      <c r="BQ12">
        <v>3929</v>
      </c>
      <c r="BR12">
        <v>3896</v>
      </c>
      <c r="BS12">
        <v>3801</v>
      </c>
      <c r="BT12">
        <v>3946</v>
      </c>
      <c r="BU12">
        <v>3980</v>
      </c>
      <c r="BV12">
        <v>4248</v>
      </c>
      <c r="BW12">
        <v>4321</v>
      </c>
      <c r="BX12">
        <v>4229</v>
      </c>
      <c r="BY12">
        <v>4317</v>
      </c>
      <c r="CA12">
        <v>315</v>
      </c>
      <c r="CB12">
        <v>337</v>
      </c>
      <c r="CC12">
        <v>335</v>
      </c>
      <c r="CD12">
        <v>291</v>
      </c>
      <c r="CE12">
        <v>282</v>
      </c>
      <c r="CF12">
        <v>318</v>
      </c>
      <c r="CG12">
        <v>403</v>
      </c>
      <c r="CH12">
        <v>386</v>
      </c>
      <c r="CI12">
        <v>428</v>
      </c>
      <c r="CJ12">
        <v>381</v>
      </c>
      <c r="CK12">
        <v>407</v>
      </c>
      <c r="CL12">
        <v>402</v>
      </c>
      <c r="CM12">
        <v>356</v>
      </c>
    </row>
    <row r="13" spans="1:91">
      <c r="B13" s="18" t="s">
        <v>10</v>
      </c>
      <c r="C13" s="19">
        <f>SUM(AY2:CM2)</f>
        <v>5655</v>
      </c>
      <c r="D13" s="3">
        <f>C13/1000000</f>
        <v>5.6550000000000003E-3</v>
      </c>
      <c r="F13" s="5" t="s">
        <v>26</v>
      </c>
      <c r="G13" s="7">
        <v>14002</v>
      </c>
      <c r="H13" s="7">
        <v>22805</v>
      </c>
      <c r="I13" s="7">
        <v>23482</v>
      </c>
      <c r="J13" s="7">
        <v>23848</v>
      </c>
      <c r="K13" s="7">
        <v>24279</v>
      </c>
      <c r="L13" s="7">
        <v>25124</v>
      </c>
      <c r="M13" s="7">
        <v>25079</v>
      </c>
      <c r="N13" s="7">
        <v>22795</v>
      </c>
      <c r="O13" s="7">
        <v>20790</v>
      </c>
      <c r="P13" s="7">
        <v>17588</v>
      </c>
      <c r="Q13" s="7">
        <v>17831</v>
      </c>
      <c r="R13" s="7">
        <v>18111</v>
      </c>
      <c r="S13" s="7">
        <v>17690</v>
      </c>
      <c r="U13" s="5" t="s">
        <v>26</v>
      </c>
      <c r="V13" s="7">
        <v>58861</v>
      </c>
      <c r="W13" s="7">
        <v>49307</v>
      </c>
      <c r="X13" s="7">
        <v>48920</v>
      </c>
      <c r="Y13" s="7">
        <v>48558</v>
      </c>
      <c r="Z13" s="7">
        <v>48574</v>
      </c>
      <c r="AA13" s="7">
        <v>47879</v>
      </c>
      <c r="AB13" s="7">
        <v>46087</v>
      </c>
      <c r="AC13" s="7">
        <v>48034</v>
      </c>
      <c r="AD13" s="7">
        <v>50481</v>
      </c>
      <c r="AE13" s="7">
        <v>53995</v>
      </c>
      <c r="AF13" s="7">
        <v>54217</v>
      </c>
      <c r="AG13" s="7">
        <v>53957</v>
      </c>
      <c r="AH13" s="7">
        <v>53302</v>
      </c>
      <c r="AJ13" s="5" t="s">
        <v>26</v>
      </c>
      <c r="AK13" s="7">
        <v>4163</v>
      </c>
      <c r="AL13" s="7">
        <v>4775</v>
      </c>
      <c r="AM13" s="7">
        <v>4529</v>
      </c>
      <c r="AN13" s="7">
        <v>4460</v>
      </c>
      <c r="AO13" s="7">
        <v>4297</v>
      </c>
      <c r="AP13" s="7">
        <v>4240</v>
      </c>
      <c r="AQ13" s="7">
        <v>5401</v>
      </c>
      <c r="AR13" s="7">
        <v>5511</v>
      </c>
      <c r="AS13" s="7">
        <v>5830</v>
      </c>
      <c r="AT13" s="7">
        <v>5234</v>
      </c>
      <c r="AU13" s="7">
        <v>5332</v>
      </c>
      <c r="AV13" s="7">
        <v>5207</v>
      </c>
      <c r="AW13" s="7">
        <v>5425</v>
      </c>
      <c r="AY13">
        <v>840</v>
      </c>
      <c r="AZ13">
        <v>1416</v>
      </c>
      <c r="BA13">
        <v>1437</v>
      </c>
      <c r="BB13">
        <v>1496</v>
      </c>
      <c r="BC13">
        <v>1482</v>
      </c>
      <c r="BD13">
        <v>1544</v>
      </c>
      <c r="BE13">
        <v>1512</v>
      </c>
      <c r="BF13">
        <v>1469</v>
      </c>
      <c r="BG13">
        <v>1264</v>
      </c>
      <c r="BH13">
        <v>1056</v>
      </c>
      <c r="BI13">
        <v>1099</v>
      </c>
      <c r="BJ13">
        <v>1085</v>
      </c>
      <c r="BK13">
        <v>1113</v>
      </c>
      <c r="BM13">
        <v>4302</v>
      </c>
      <c r="BN13">
        <v>3788</v>
      </c>
      <c r="BO13">
        <v>3822</v>
      </c>
      <c r="BP13">
        <v>3685</v>
      </c>
      <c r="BQ13">
        <v>3642</v>
      </c>
      <c r="BR13">
        <v>3731</v>
      </c>
      <c r="BS13">
        <v>3573</v>
      </c>
      <c r="BT13">
        <v>3756</v>
      </c>
      <c r="BU13">
        <v>3738</v>
      </c>
      <c r="BV13">
        <v>4072</v>
      </c>
      <c r="BW13">
        <v>4078</v>
      </c>
      <c r="BX13">
        <v>4156</v>
      </c>
      <c r="BY13">
        <v>4033</v>
      </c>
      <c r="CA13">
        <v>270</v>
      </c>
      <c r="CB13">
        <v>278</v>
      </c>
      <c r="CC13">
        <v>287</v>
      </c>
      <c r="CD13">
        <v>283</v>
      </c>
      <c r="CE13">
        <v>229</v>
      </c>
      <c r="CF13">
        <v>280</v>
      </c>
      <c r="CG13">
        <v>355</v>
      </c>
      <c r="CH13">
        <v>319</v>
      </c>
      <c r="CI13">
        <v>337</v>
      </c>
      <c r="CJ13">
        <v>321</v>
      </c>
      <c r="CK13">
        <v>314</v>
      </c>
      <c r="CL13">
        <v>340</v>
      </c>
      <c r="CM13">
        <v>289</v>
      </c>
    </row>
    <row r="14" spans="1:91">
      <c r="B14" s="1" t="s">
        <v>12</v>
      </c>
      <c r="C14" s="2">
        <f>SUM(AY3:CM3)</f>
        <v>11842</v>
      </c>
      <c r="D14" s="3">
        <f t="shared" ref="D14:D39" si="1">C14/1000000</f>
        <v>1.1842E-2</v>
      </c>
      <c r="F14" s="5" t="s">
        <v>27</v>
      </c>
      <c r="G14" s="7">
        <v>12956</v>
      </c>
      <c r="H14" s="7">
        <v>21636</v>
      </c>
      <c r="I14" s="7">
        <v>21853</v>
      </c>
      <c r="J14" s="7">
        <v>21933</v>
      </c>
      <c r="K14" s="7">
        <v>22614</v>
      </c>
      <c r="L14" s="7">
        <v>23218</v>
      </c>
      <c r="M14" s="7">
        <v>23417</v>
      </c>
      <c r="N14" s="7">
        <v>21771</v>
      </c>
      <c r="O14" s="7">
        <v>19367</v>
      </c>
      <c r="P14" s="7">
        <v>16725</v>
      </c>
      <c r="Q14" s="7">
        <v>16389</v>
      </c>
      <c r="R14" s="7">
        <v>16606</v>
      </c>
      <c r="S14" s="7">
        <v>16457</v>
      </c>
      <c r="U14" s="5" t="s">
        <v>27</v>
      </c>
      <c r="V14" s="7">
        <v>60372</v>
      </c>
      <c r="W14" s="7">
        <v>50752</v>
      </c>
      <c r="X14" s="7">
        <v>51022</v>
      </c>
      <c r="Y14" s="7">
        <v>50840</v>
      </c>
      <c r="Z14" s="7">
        <v>50419</v>
      </c>
      <c r="AA14" s="7">
        <v>49419</v>
      </c>
      <c r="AB14" s="7">
        <v>48512</v>
      </c>
      <c r="AC14" s="7">
        <v>50153</v>
      </c>
      <c r="AD14" s="7">
        <v>52134</v>
      </c>
      <c r="AE14" s="7">
        <v>55137</v>
      </c>
      <c r="AF14" s="7">
        <v>55773</v>
      </c>
      <c r="AG14" s="7">
        <v>55470</v>
      </c>
      <c r="AH14" s="7">
        <v>55263</v>
      </c>
      <c r="AJ14" s="5" t="s">
        <v>27</v>
      </c>
      <c r="AK14" s="7">
        <v>3973</v>
      </c>
      <c r="AL14" s="7">
        <v>4388</v>
      </c>
      <c r="AM14" s="7">
        <v>4280</v>
      </c>
      <c r="AN14" s="7">
        <v>4057</v>
      </c>
      <c r="AO14" s="7">
        <v>3907</v>
      </c>
      <c r="AP14" s="7">
        <v>3838</v>
      </c>
      <c r="AQ14" s="7">
        <v>5123</v>
      </c>
      <c r="AR14" s="7">
        <v>5318</v>
      </c>
      <c r="AS14" s="7">
        <v>5213</v>
      </c>
      <c r="AT14" s="7">
        <v>4897</v>
      </c>
      <c r="AU14" s="7">
        <v>4942</v>
      </c>
      <c r="AV14" s="7">
        <v>5030</v>
      </c>
      <c r="AW14" s="7">
        <v>4826</v>
      </c>
      <c r="AY14">
        <v>762</v>
      </c>
      <c r="AZ14">
        <v>1197</v>
      </c>
      <c r="BA14">
        <v>1273</v>
      </c>
      <c r="BB14">
        <v>1250</v>
      </c>
      <c r="BC14">
        <v>1308</v>
      </c>
      <c r="BD14">
        <v>1242</v>
      </c>
      <c r="BE14">
        <v>1313</v>
      </c>
      <c r="BF14">
        <v>1242</v>
      </c>
      <c r="BG14">
        <v>1143</v>
      </c>
      <c r="BH14">
        <v>969</v>
      </c>
      <c r="BI14">
        <v>924</v>
      </c>
      <c r="BJ14">
        <v>880</v>
      </c>
      <c r="BK14">
        <v>907</v>
      </c>
      <c r="BM14">
        <v>4047</v>
      </c>
      <c r="BN14">
        <v>3573</v>
      </c>
      <c r="BO14">
        <v>3600</v>
      </c>
      <c r="BP14">
        <v>3649</v>
      </c>
      <c r="BQ14">
        <v>3399</v>
      </c>
      <c r="BR14">
        <v>3355</v>
      </c>
      <c r="BS14">
        <v>3307</v>
      </c>
      <c r="BT14">
        <v>3412</v>
      </c>
      <c r="BU14">
        <v>3523</v>
      </c>
      <c r="BV14">
        <v>3868</v>
      </c>
      <c r="BW14">
        <v>3808</v>
      </c>
      <c r="BX14">
        <v>3923</v>
      </c>
      <c r="BY14">
        <v>3779</v>
      </c>
      <c r="CA14">
        <v>219</v>
      </c>
      <c r="CB14">
        <v>251</v>
      </c>
      <c r="CC14">
        <v>212</v>
      </c>
      <c r="CD14">
        <v>226</v>
      </c>
      <c r="CE14">
        <v>248</v>
      </c>
      <c r="CF14">
        <v>203</v>
      </c>
      <c r="CG14">
        <v>278</v>
      </c>
      <c r="CH14">
        <v>308</v>
      </c>
      <c r="CI14">
        <v>283</v>
      </c>
      <c r="CJ14">
        <v>287</v>
      </c>
      <c r="CK14">
        <v>290</v>
      </c>
      <c r="CL14">
        <v>271</v>
      </c>
      <c r="CM14">
        <v>255</v>
      </c>
    </row>
    <row r="15" spans="1:91">
      <c r="B15" s="1" t="s">
        <v>14</v>
      </c>
      <c r="C15" s="2">
        <f>SUM(AY4:CM4)</f>
        <v>17598</v>
      </c>
      <c r="D15" s="3">
        <f t="shared" si="1"/>
        <v>1.7597999999999999E-2</v>
      </c>
      <c r="F15" s="5" t="s">
        <v>28</v>
      </c>
      <c r="G15" s="7">
        <v>11979</v>
      </c>
      <c r="H15" s="7">
        <v>19850</v>
      </c>
      <c r="I15" s="7">
        <v>19807</v>
      </c>
      <c r="J15" s="7">
        <v>20369</v>
      </c>
      <c r="K15" s="7">
        <v>20936</v>
      </c>
      <c r="L15" s="7">
        <v>21557</v>
      </c>
      <c r="M15" s="7">
        <v>21867</v>
      </c>
      <c r="N15" s="7">
        <v>20087</v>
      </c>
      <c r="O15" s="7">
        <v>18040</v>
      </c>
      <c r="P15" s="7">
        <v>15488</v>
      </c>
      <c r="Q15" s="7">
        <v>15501</v>
      </c>
      <c r="R15" s="7">
        <v>15401</v>
      </c>
      <c r="S15" s="7">
        <v>15531</v>
      </c>
      <c r="U15" s="5" t="s">
        <v>28</v>
      </c>
      <c r="V15" s="7">
        <v>61336</v>
      </c>
      <c r="W15" s="7">
        <v>52585</v>
      </c>
      <c r="X15" s="7">
        <v>52847</v>
      </c>
      <c r="Y15" s="7">
        <v>53029</v>
      </c>
      <c r="Z15" s="7">
        <v>52693</v>
      </c>
      <c r="AA15" s="7">
        <v>51439</v>
      </c>
      <c r="AB15" s="7">
        <v>50519</v>
      </c>
      <c r="AC15" s="7">
        <v>51879</v>
      </c>
      <c r="AD15" s="7">
        <v>53659</v>
      </c>
      <c r="AE15" s="7">
        <v>56758</v>
      </c>
      <c r="AF15" s="7">
        <v>57332</v>
      </c>
      <c r="AG15" s="7">
        <v>57284</v>
      </c>
      <c r="AH15" s="7">
        <v>57020</v>
      </c>
      <c r="AJ15" s="5" t="s">
        <v>28</v>
      </c>
      <c r="AK15" s="7">
        <v>3686</v>
      </c>
      <c r="AL15" s="7">
        <v>4118</v>
      </c>
      <c r="AM15" s="7">
        <v>3787</v>
      </c>
      <c r="AN15" s="7">
        <v>3825</v>
      </c>
      <c r="AO15" s="7">
        <v>3588</v>
      </c>
      <c r="AP15" s="7">
        <v>3609</v>
      </c>
      <c r="AQ15" s="7">
        <v>4791</v>
      </c>
      <c r="AR15" s="7">
        <v>4777</v>
      </c>
      <c r="AS15" s="7">
        <v>4874</v>
      </c>
      <c r="AT15" s="7">
        <v>4602</v>
      </c>
      <c r="AU15" s="7">
        <v>4570</v>
      </c>
      <c r="AV15" s="7">
        <v>4511</v>
      </c>
      <c r="AW15" s="7">
        <v>4469</v>
      </c>
      <c r="AY15">
        <v>535</v>
      </c>
      <c r="AZ15">
        <v>1632</v>
      </c>
      <c r="BA15">
        <v>1738</v>
      </c>
      <c r="BB15">
        <v>1825</v>
      </c>
      <c r="BC15">
        <v>1936</v>
      </c>
      <c r="BD15">
        <v>2031</v>
      </c>
      <c r="BE15">
        <v>1145</v>
      </c>
      <c r="BF15">
        <v>1085</v>
      </c>
      <c r="BG15">
        <v>1058</v>
      </c>
      <c r="BH15">
        <v>957</v>
      </c>
      <c r="BI15">
        <v>974</v>
      </c>
      <c r="BJ15">
        <v>986</v>
      </c>
      <c r="BK15">
        <v>951</v>
      </c>
      <c r="BM15">
        <v>3392</v>
      </c>
      <c r="BN15">
        <v>2389</v>
      </c>
      <c r="BO15">
        <v>2307</v>
      </c>
      <c r="BP15">
        <v>2168</v>
      </c>
      <c r="BQ15">
        <v>2141</v>
      </c>
      <c r="BR15">
        <v>1846</v>
      </c>
      <c r="BS15">
        <v>1666</v>
      </c>
      <c r="BT15">
        <v>2786</v>
      </c>
      <c r="BU15">
        <v>2968</v>
      </c>
      <c r="BV15">
        <v>3169</v>
      </c>
      <c r="BW15">
        <v>3060</v>
      </c>
      <c r="BX15">
        <v>3053</v>
      </c>
      <c r="BY15">
        <v>3195</v>
      </c>
      <c r="CA15">
        <v>599</v>
      </c>
      <c r="CB15">
        <v>632</v>
      </c>
      <c r="CC15">
        <v>614</v>
      </c>
      <c r="CD15">
        <v>566</v>
      </c>
      <c r="CE15">
        <v>535</v>
      </c>
      <c r="CF15">
        <v>730</v>
      </c>
      <c r="CG15">
        <v>1632</v>
      </c>
      <c r="CH15">
        <v>624</v>
      </c>
      <c r="CI15">
        <v>564</v>
      </c>
      <c r="CJ15">
        <v>494</v>
      </c>
      <c r="CK15">
        <v>496</v>
      </c>
      <c r="CL15">
        <v>515</v>
      </c>
      <c r="CM15">
        <v>446</v>
      </c>
    </row>
    <row r="16" spans="1:91">
      <c r="B16" s="1" t="s">
        <v>16</v>
      </c>
      <c r="C16" s="2">
        <f>SUM(AY5:CM5)</f>
        <v>23620</v>
      </c>
      <c r="D16" s="3">
        <f t="shared" si="1"/>
        <v>2.3619999999999999E-2</v>
      </c>
      <c r="F16" s="5" t="s">
        <v>29</v>
      </c>
      <c r="G16" s="10">
        <v>11074</v>
      </c>
      <c r="H16" s="10">
        <v>18262</v>
      </c>
      <c r="I16" s="10">
        <v>18633</v>
      </c>
      <c r="J16" s="10">
        <v>19134</v>
      </c>
      <c r="K16" s="10">
        <v>19428</v>
      </c>
      <c r="L16" s="10">
        <v>20288</v>
      </c>
      <c r="M16" s="10">
        <v>20564</v>
      </c>
      <c r="N16" s="10">
        <v>18855</v>
      </c>
      <c r="O16" s="10">
        <v>16620</v>
      </c>
      <c r="P16" s="10">
        <v>14299</v>
      </c>
      <c r="Q16" s="10">
        <v>14178</v>
      </c>
      <c r="R16" s="10">
        <v>14265</v>
      </c>
      <c r="S16" s="10">
        <v>14412</v>
      </c>
      <c r="U16" s="5" t="s">
        <v>29</v>
      </c>
      <c r="V16" s="10">
        <v>62662</v>
      </c>
      <c r="W16" s="10">
        <v>54973</v>
      </c>
      <c r="X16" s="10">
        <v>54403</v>
      </c>
      <c r="Y16" s="10">
        <v>54361</v>
      </c>
      <c r="Z16" s="10">
        <v>54423</v>
      </c>
      <c r="AA16" s="10">
        <v>53080</v>
      </c>
      <c r="AB16" s="10">
        <v>51857</v>
      </c>
      <c r="AC16" s="10">
        <v>53821</v>
      </c>
      <c r="AD16" s="10">
        <v>55656</v>
      </c>
      <c r="AE16" s="10">
        <v>57766</v>
      </c>
      <c r="AF16" s="10">
        <v>58039</v>
      </c>
      <c r="AG16" s="10">
        <v>58378</v>
      </c>
      <c r="AH16" s="10">
        <v>58582</v>
      </c>
      <c r="AJ16" s="5" t="s">
        <v>29</v>
      </c>
      <c r="AK16" s="10">
        <v>3558</v>
      </c>
      <c r="AL16" s="10">
        <v>3784</v>
      </c>
      <c r="AM16" s="10">
        <v>3693</v>
      </c>
      <c r="AN16" s="10">
        <v>3516</v>
      </c>
      <c r="AO16" s="10">
        <v>3361</v>
      </c>
      <c r="AP16" s="10">
        <v>3353</v>
      </c>
      <c r="AQ16" s="10">
        <v>4429</v>
      </c>
      <c r="AR16" s="10">
        <v>4562</v>
      </c>
      <c r="AS16" s="10">
        <v>4676</v>
      </c>
      <c r="AT16" s="10">
        <v>4231</v>
      </c>
      <c r="AU16" s="10">
        <v>4282</v>
      </c>
      <c r="AV16" s="10">
        <v>4255</v>
      </c>
      <c r="AW16" s="10">
        <v>4287</v>
      </c>
      <c r="AY16">
        <v>1033</v>
      </c>
      <c r="AZ16">
        <v>2046</v>
      </c>
      <c r="BA16">
        <v>2143</v>
      </c>
      <c r="BB16">
        <v>2146</v>
      </c>
      <c r="BC16">
        <v>2127</v>
      </c>
      <c r="BD16">
        <v>2459</v>
      </c>
      <c r="BE16">
        <v>2566</v>
      </c>
      <c r="BF16">
        <v>1490</v>
      </c>
      <c r="BG16">
        <v>1414</v>
      </c>
      <c r="BH16">
        <v>1316</v>
      </c>
      <c r="BI16">
        <v>1366</v>
      </c>
      <c r="BJ16">
        <v>1314</v>
      </c>
      <c r="BK16">
        <v>1390</v>
      </c>
      <c r="BM16">
        <v>2602</v>
      </c>
      <c r="BN16">
        <v>1554</v>
      </c>
      <c r="BO16">
        <v>1489</v>
      </c>
      <c r="BP16">
        <v>1429</v>
      </c>
      <c r="BQ16">
        <v>1386</v>
      </c>
      <c r="BR16">
        <v>1221</v>
      </c>
      <c r="BS16">
        <v>920</v>
      </c>
      <c r="BT16">
        <v>1046</v>
      </c>
      <c r="BU16">
        <v>2175</v>
      </c>
      <c r="BV16">
        <v>2240</v>
      </c>
      <c r="BW16">
        <v>2253</v>
      </c>
      <c r="BX16">
        <v>2337</v>
      </c>
      <c r="BY16">
        <v>2187</v>
      </c>
      <c r="CA16">
        <v>518</v>
      </c>
      <c r="CB16">
        <v>576</v>
      </c>
      <c r="CC16">
        <v>529</v>
      </c>
      <c r="CD16">
        <v>480</v>
      </c>
      <c r="CE16">
        <v>486</v>
      </c>
      <c r="CF16">
        <v>402</v>
      </c>
      <c r="CG16">
        <v>595</v>
      </c>
      <c r="CH16">
        <v>1410</v>
      </c>
      <c r="CI16">
        <v>473</v>
      </c>
      <c r="CJ16">
        <v>423</v>
      </c>
      <c r="CK16">
        <v>453</v>
      </c>
      <c r="CL16">
        <v>492</v>
      </c>
      <c r="CM16">
        <v>439</v>
      </c>
    </row>
    <row r="17" spans="2:91">
      <c r="B17" s="1" t="s">
        <v>18</v>
      </c>
      <c r="C17" s="2">
        <f>SUM(AY6:CM6)</f>
        <v>29215</v>
      </c>
      <c r="D17" s="3">
        <f t="shared" si="1"/>
        <v>2.9215000000000001E-2</v>
      </c>
      <c r="F17" s="5" t="s">
        <v>30</v>
      </c>
      <c r="G17" s="6">
        <v>8992</v>
      </c>
      <c r="H17" s="6">
        <v>27318</v>
      </c>
      <c r="I17" s="6">
        <v>29075</v>
      </c>
      <c r="J17" s="6">
        <v>30221</v>
      </c>
      <c r="K17" s="6">
        <v>32205</v>
      </c>
      <c r="L17" s="6">
        <v>32578</v>
      </c>
      <c r="M17" s="6">
        <v>20177</v>
      </c>
      <c r="N17" s="6">
        <v>18723</v>
      </c>
      <c r="O17" s="6">
        <v>17699</v>
      </c>
      <c r="P17" s="6">
        <v>16469</v>
      </c>
      <c r="Q17" s="6">
        <v>16411</v>
      </c>
      <c r="R17" s="6">
        <v>16560</v>
      </c>
      <c r="S17" s="6">
        <v>16449</v>
      </c>
      <c r="U17" s="5" t="s">
        <v>30</v>
      </c>
      <c r="V17" s="6">
        <v>58000</v>
      </c>
      <c r="W17" s="6">
        <v>39060</v>
      </c>
      <c r="X17" s="6">
        <v>37549</v>
      </c>
      <c r="Y17" s="6">
        <v>36125</v>
      </c>
      <c r="Z17" s="6">
        <v>35485</v>
      </c>
      <c r="AA17" s="6">
        <v>31764</v>
      </c>
      <c r="AB17" s="6">
        <v>28207</v>
      </c>
      <c r="AC17" s="6">
        <v>48339</v>
      </c>
      <c r="AD17" s="6">
        <v>50078</v>
      </c>
      <c r="AE17" s="6">
        <v>51716</v>
      </c>
      <c r="AF17" s="6">
        <v>51975</v>
      </c>
      <c r="AG17" s="6">
        <v>51740</v>
      </c>
      <c r="AH17" s="6">
        <v>51452</v>
      </c>
      <c r="AJ17" s="5" t="s">
        <v>30</v>
      </c>
      <c r="AK17" s="6">
        <v>9935</v>
      </c>
      <c r="AL17" s="6">
        <v>11008</v>
      </c>
      <c r="AM17" s="6">
        <v>10428</v>
      </c>
      <c r="AN17" s="6">
        <v>10143</v>
      </c>
      <c r="AO17" s="6">
        <v>9564</v>
      </c>
      <c r="AP17" s="6">
        <v>12745</v>
      </c>
      <c r="AQ17" s="6">
        <v>28361</v>
      </c>
      <c r="AR17" s="6">
        <v>9872</v>
      </c>
      <c r="AS17" s="6">
        <v>9317</v>
      </c>
      <c r="AT17" s="6">
        <v>8589</v>
      </c>
      <c r="AU17" s="6">
        <v>8505</v>
      </c>
      <c r="AV17" s="6">
        <v>8569</v>
      </c>
      <c r="AW17" s="6">
        <v>8597</v>
      </c>
      <c r="AY17">
        <v>1374</v>
      </c>
      <c r="AZ17">
        <v>2322</v>
      </c>
      <c r="BA17">
        <v>2338</v>
      </c>
      <c r="BB17">
        <v>2419</v>
      </c>
      <c r="BC17">
        <v>2495</v>
      </c>
      <c r="BD17">
        <v>2673</v>
      </c>
      <c r="BE17">
        <v>2835</v>
      </c>
      <c r="BF17">
        <v>2747</v>
      </c>
      <c r="BG17">
        <v>1601</v>
      </c>
      <c r="BH17">
        <v>1579</v>
      </c>
      <c r="BI17">
        <v>1544</v>
      </c>
      <c r="BJ17">
        <v>1579</v>
      </c>
      <c r="BK17">
        <v>1586</v>
      </c>
      <c r="BM17">
        <v>1774</v>
      </c>
      <c r="BN17">
        <v>902</v>
      </c>
      <c r="BO17">
        <v>826</v>
      </c>
      <c r="BP17">
        <v>830</v>
      </c>
      <c r="BQ17">
        <v>775</v>
      </c>
      <c r="BR17">
        <v>751</v>
      </c>
      <c r="BS17">
        <v>560</v>
      </c>
      <c r="BT17">
        <v>503</v>
      </c>
      <c r="BU17">
        <v>661</v>
      </c>
      <c r="BV17">
        <v>1631</v>
      </c>
      <c r="BW17">
        <v>1659</v>
      </c>
      <c r="BX17">
        <v>1625</v>
      </c>
      <c r="BY17">
        <v>1639</v>
      </c>
      <c r="CA17">
        <v>463</v>
      </c>
      <c r="CB17">
        <v>446</v>
      </c>
      <c r="CC17">
        <v>459</v>
      </c>
      <c r="CD17">
        <v>435</v>
      </c>
      <c r="CE17">
        <v>419</v>
      </c>
      <c r="CF17">
        <v>386</v>
      </c>
      <c r="CG17">
        <v>294</v>
      </c>
      <c r="CH17">
        <v>470</v>
      </c>
      <c r="CI17">
        <v>1243</v>
      </c>
      <c r="CJ17">
        <v>407</v>
      </c>
      <c r="CK17">
        <v>385</v>
      </c>
      <c r="CL17">
        <v>411</v>
      </c>
      <c r="CM17">
        <v>418</v>
      </c>
    </row>
    <row r="18" spans="2:91">
      <c r="B18" s="1" t="s">
        <v>20</v>
      </c>
      <c r="C18" s="2">
        <f>SUM(AY7:CM7)</f>
        <v>35738</v>
      </c>
      <c r="D18" s="3">
        <f t="shared" si="1"/>
        <v>3.5737999999999999E-2</v>
      </c>
      <c r="F18" s="5" t="s">
        <v>31</v>
      </c>
      <c r="G18" s="6">
        <v>18808</v>
      </c>
      <c r="H18" s="6">
        <v>37781</v>
      </c>
      <c r="I18" s="6">
        <v>39206</v>
      </c>
      <c r="J18" s="6">
        <v>40509</v>
      </c>
      <c r="K18" s="6">
        <v>41617</v>
      </c>
      <c r="L18" s="6">
        <v>45468</v>
      </c>
      <c r="M18" s="6">
        <v>48429</v>
      </c>
      <c r="N18" s="6">
        <v>28672</v>
      </c>
      <c r="O18" s="6">
        <v>26743</v>
      </c>
      <c r="P18" s="6">
        <v>24854</v>
      </c>
      <c r="Q18" s="6">
        <v>24851</v>
      </c>
      <c r="R18" s="6">
        <v>25252</v>
      </c>
      <c r="S18" s="6">
        <v>25314</v>
      </c>
      <c r="U18" s="5" t="s">
        <v>31</v>
      </c>
      <c r="V18" s="6">
        <v>47853</v>
      </c>
      <c r="W18" s="6">
        <v>28596</v>
      </c>
      <c r="X18" s="6">
        <v>27777</v>
      </c>
      <c r="Y18" s="6">
        <v>26838</v>
      </c>
      <c r="Z18" s="6">
        <v>25779</v>
      </c>
      <c r="AA18" s="6">
        <v>23406</v>
      </c>
      <c r="AB18" s="6">
        <v>17575</v>
      </c>
      <c r="AC18" s="6">
        <v>20486</v>
      </c>
      <c r="AD18" s="6">
        <v>40904</v>
      </c>
      <c r="AE18" s="6">
        <v>43499</v>
      </c>
      <c r="AF18" s="6">
        <v>43310</v>
      </c>
      <c r="AG18" s="6">
        <v>43304</v>
      </c>
      <c r="AH18" s="6">
        <v>43185</v>
      </c>
      <c r="AJ18" s="5" t="s">
        <v>31</v>
      </c>
      <c r="AK18" s="6">
        <v>10101</v>
      </c>
      <c r="AL18" s="6">
        <v>10453</v>
      </c>
      <c r="AM18" s="6">
        <v>10111</v>
      </c>
      <c r="AN18" s="6">
        <v>9605</v>
      </c>
      <c r="AO18" s="6">
        <v>9343</v>
      </c>
      <c r="AP18" s="6">
        <v>8148</v>
      </c>
      <c r="AQ18" s="6">
        <v>10742</v>
      </c>
      <c r="AR18" s="6">
        <v>27796</v>
      </c>
      <c r="AS18" s="6">
        <v>9165</v>
      </c>
      <c r="AT18" s="6">
        <v>8573</v>
      </c>
      <c r="AU18" s="6">
        <v>8603</v>
      </c>
      <c r="AV18" s="6">
        <v>8656</v>
      </c>
      <c r="AW18" s="6">
        <v>8688</v>
      </c>
      <c r="AY18">
        <v>3779</v>
      </c>
      <c r="AZ18">
        <v>5429</v>
      </c>
      <c r="BA18">
        <v>5526</v>
      </c>
      <c r="BB18">
        <v>5663</v>
      </c>
      <c r="BC18">
        <v>5606</v>
      </c>
      <c r="BD18">
        <v>5925</v>
      </c>
      <c r="BE18">
        <v>6148</v>
      </c>
      <c r="BF18">
        <v>6104</v>
      </c>
      <c r="BG18">
        <v>5929</v>
      </c>
      <c r="BH18">
        <v>3915</v>
      </c>
      <c r="BI18">
        <v>3901</v>
      </c>
      <c r="BJ18">
        <v>3956</v>
      </c>
      <c r="BK18">
        <v>3909</v>
      </c>
      <c r="BM18">
        <v>2599</v>
      </c>
      <c r="BN18">
        <v>919</v>
      </c>
      <c r="BO18">
        <v>872</v>
      </c>
      <c r="BP18">
        <v>804</v>
      </c>
      <c r="BQ18">
        <v>816</v>
      </c>
      <c r="BR18">
        <v>717</v>
      </c>
      <c r="BS18">
        <v>552</v>
      </c>
      <c r="BT18">
        <v>508</v>
      </c>
      <c r="BU18">
        <v>481</v>
      </c>
      <c r="BV18">
        <v>785</v>
      </c>
      <c r="BW18">
        <v>818</v>
      </c>
      <c r="BX18">
        <v>809</v>
      </c>
      <c r="BY18">
        <v>818</v>
      </c>
      <c r="CA18">
        <v>922</v>
      </c>
      <c r="CB18">
        <v>877</v>
      </c>
      <c r="CC18">
        <v>911</v>
      </c>
      <c r="CD18">
        <v>936</v>
      </c>
      <c r="CE18">
        <v>855</v>
      </c>
      <c r="CF18">
        <v>683</v>
      </c>
      <c r="CG18">
        <v>557</v>
      </c>
      <c r="CH18">
        <v>545</v>
      </c>
      <c r="CI18">
        <v>881</v>
      </c>
      <c r="CJ18">
        <v>2321</v>
      </c>
      <c r="CK18">
        <v>2397</v>
      </c>
      <c r="CL18">
        <v>2469</v>
      </c>
      <c r="CM18">
        <v>2381</v>
      </c>
    </row>
    <row r="19" spans="2:91">
      <c r="B19" s="1" t="s">
        <v>22</v>
      </c>
      <c r="C19" s="2">
        <f>SUM(AY8:CM8)</f>
        <v>41538</v>
      </c>
      <c r="D19" s="3">
        <f t="shared" si="1"/>
        <v>4.1537999999999999E-2</v>
      </c>
      <c r="F19" s="5" t="s">
        <v>32</v>
      </c>
      <c r="G19" s="6">
        <v>28691</v>
      </c>
      <c r="H19" s="6">
        <v>47836</v>
      </c>
      <c r="I19" s="6">
        <v>49193</v>
      </c>
      <c r="J19" s="6">
        <v>49946</v>
      </c>
      <c r="K19" s="6">
        <v>50761</v>
      </c>
      <c r="L19" s="6">
        <v>53607</v>
      </c>
      <c r="M19" s="6">
        <v>59159</v>
      </c>
      <c r="N19" s="6">
        <v>56327</v>
      </c>
      <c r="O19" s="6">
        <v>36101</v>
      </c>
      <c r="P19" s="6">
        <v>33404</v>
      </c>
      <c r="Q19" s="6">
        <v>33277</v>
      </c>
      <c r="R19" s="6">
        <v>33535</v>
      </c>
      <c r="S19" s="6">
        <v>33719</v>
      </c>
      <c r="U19" s="5" t="s">
        <v>32</v>
      </c>
      <c r="V19" s="6">
        <v>37812</v>
      </c>
      <c r="W19" s="6">
        <v>18691</v>
      </c>
      <c r="X19" s="6">
        <v>18284</v>
      </c>
      <c r="Y19" s="6">
        <v>17644</v>
      </c>
      <c r="Z19" s="6">
        <v>17047</v>
      </c>
      <c r="AA19" s="6">
        <v>15269</v>
      </c>
      <c r="AB19" s="6">
        <v>11480</v>
      </c>
      <c r="AC19" s="6">
        <v>10600</v>
      </c>
      <c r="AD19" s="6">
        <v>13969</v>
      </c>
      <c r="AE19" s="6">
        <v>34867</v>
      </c>
      <c r="AF19" s="6">
        <v>34746</v>
      </c>
      <c r="AG19" s="6">
        <v>35022</v>
      </c>
      <c r="AH19" s="6">
        <v>34916</v>
      </c>
      <c r="AJ19" s="5" t="s">
        <v>32</v>
      </c>
      <c r="AK19" s="6">
        <v>9893</v>
      </c>
      <c r="AL19" s="6">
        <v>10009</v>
      </c>
      <c r="AM19" s="6">
        <v>9562</v>
      </c>
      <c r="AN19" s="6">
        <v>9359</v>
      </c>
      <c r="AO19" s="6">
        <v>9081</v>
      </c>
      <c r="AP19" s="6">
        <v>8358</v>
      </c>
      <c r="AQ19" s="6">
        <v>5855</v>
      </c>
      <c r="AR19" s="6">
        <v>9909</v>
      </c>
      <c r="AS19" s="6">
        <v>27407</v>
      </c>
      <c r="AT19" s="6">
        <v>8824</v>
      </c>
      <c r="AU19" s="6">
        <v>8598</v>
      </c>
      <c r="AV19" s="6">
        <v>8645</v>
      </c>
      <c r="AW19" s="6">
        <v>8597</v>
      </c>
      <c r="AY19">
        <v>122</v>
      </c>
      <c r="AZ19">
        <v>210</v>
      </c>
      <c r="BA19">
        <v>237</v>
      </c>
      <c r="BB19">
        <v>232</v>
      </c>
      <c r="BC19">
        <v>245</v>
      </c>
      <c r="BD19">
        <v>236</v>
      </c>
      <c r="BE19">
        <v>212</v>
      </c>
      <c r="BF19">
        <v>215</v>
      </c>
      <c r="BG19">
        <v>205</v>
      </c>
      <c r="BH19">
        <v>147</v>
      </c>
      <c r="BI19">
        <v>161</v>
      </c>
      <c r="BJ19">
        <v>195</v>
      </c>
      <c r="BK19">
        <v>164</v>
      </c>
      <c r="BM19">
        <v>249</v>
      </c>
      <c r="BN19">
        <v>233</v>
      </c>
      <c r="BO19">
        <v>176</v>
      </c>
      <c r="BP19">
        <v>192</v>
      </c>
      <c r="BQ19">
        <v>186</v>
      </c>
      <c r="BR19">
        <v>190</v>
      </c>
      <c r="BS19">
        <v>180</v>
      </c>
      <c r="BT19">
        <v>178</v>
      </c>
      <c r="BU19">
        <v>190</v>
      </c>
      <c r="BV19">
        <v>238</v>
      </c>
      <c r="BW19">
        <v>242</v>
      </c>
      <c r="BX19">
        <v>214</v>
      </c>
      <c r="BY19">
        <v>228</v>
      </c>
      <c r="CA19">
        <v>44</v>
      </c>
      <c r="CB19">
        <v>44</v>
      </c>
      <c r="CC19">
        <v>39</v>
      </c>
      <c r="CD19">
        <v>34</v>
      </c>
      <c r="CE19">
        <v>46</v>
      </c>
      <c r="CF19">
        <v>37</v>
      </c>
      <c r="CG19">
        <v>60</v>
      </c>
      <c r="CH19">
        <v>48</v>
      </c>
      <c r="CI19">
        <v>62</v>
      </c>
      <c r="CJ19">
        <v>47</v>
      </c>
      <c r="CK19">
        <v>40</v>
      </c>
      <c r="CL19">
        <v>53</v>
      </c>
      <c r="CM19">
        <v>58</v>
      </c>
    </row>
    <row r="20" spans="2:91">
      <c r="B20" s="1" t="s">
        <v>23</v>
      </c>
      <c r="C20" s="2">
        <f>SUM(AY9:CM9)</f>
        <v>47310</v>
      </c>
      <c r="D20" s="3">
        <f t="shared" si="1"/>
        <v>4.7309999999999998E-2</v>
      </c>
      <c r="F20" s="5" t="s">
        <v>33</v>
      </c>
      <c r="G20" s="2">
        <v>38919</v>
      </c>
      <c r="H20" s="2">
        <v>57943</v>
      </c>
      <c r="I20" s="2">
        <v>58579</v>
      </c>
      <c r="J20" s="2">
        <v>59137</v>
      </c>
      <c r="K20" s="2">
        <v>59394</v>
      </c>
      <c r="L20" s="2">
        <v>61748</v>
      </c>
      <c r="M20" s="2">
        <v>65522</v>
      </c>
      <c r="N20" s="2">
        <v>66678</v>
      </c>
      <c r="O20" s="2">
        <v>62975</v>
      </c>
      <c r="P20" s="2">
        <v>42191</v>
      </c>
      <c r="Q20" s="2">
        <v>41993</v>
      </c>
      <c r="R20" s="2">
        <v>42007</v>
      </c>
      <c r="S20" s="2">
        <v>42400</v>
      </c>
      <c r="U20" s="5" t="s">
        <v>33</v>
      </c>
      <c r="V20" s="2">
        <v>28014</v>
      </c>
      <c r="W20" s="2">
        <v>9094</v>
      </c>
      <c r="X20" s="2">
        <v>8833</v>
      </c>
      <c r="Y20" s="2">
        <v>8582</v>
      </c>
      <c r="Z20" s="2">
        <v>8482</v>
      </c>
      <c r="AA20" s="2">
        <v>7484</v>
      </c>
      <c r="AB20" s="2">
        <v>5517</v>
      </c>
      <c r="AC20" s="2">
        <v>5338</v>
      </c>
      <c r="AD20" s="2">
        <v>4715</v>
      </c>
      <c r="AE20" s="2">
        <v>8568</v>
      </c>
      <c r="AF20" s="2">
        <v>8665</v>
      </c>
      <c r="AG20" s="2">
        <v>8612</v>
      </c>
      <c r="AH20" s="2">
        <v>8643</v>
      </c>
      <c r="AJ20" s="5" t="s">
        <v>33</v>
      </c>
      <c r="AK20" s="2">
        <v>9966</v>
      </c>
      <c r="AL20" s="2">
        <v>9694</v>
      </c>
      <c r="AM20" s="2">
        <v>9379</v>
      </c>
      <c r="AN20" s="2">
        <v>8973</v>
      </c>
      <c r="AO20" s="2">
        <v>8534</v>
      </c>
      <c r="AP20" s="2">
        <v>7767</v>
      </c>
      <c r="AQ20" s="2">
        <v>6129</v>
      </c>
      <c r="AR20" s="2">
        <v>5373</v>
      </c>
      <c r="AS20" s="2">
        <v>9232</v>
      </c>
      <c r="AT20" s="2">
        <v>26223</v>
      </c>
      <c r="AU20" s="2">
        <v>26009</v>
      </c>
      <c r="AV20" s="2">
        <v>26267</v>
      </c>
      <c r="AW20" s="2">
        <v>26421</v>
      </c>
      <c r="AY20">
        <v>250</v>
      </c>
      <c r="AZ20">
        <v>399</v>
      </c>
      <c r="BA20">
        <v>433</v>
      </c>
      <c r="BB20">
        <v>407</v>
      </c>
      <c r="BC20">
        <v>455</v>
      </c>
      <c r="BD20">
        <v>453</v>
      </c>
      <c r="BE20">
        <v>477</v>
      </c>
      <c r="BF20">
        <v>450</v>
      </c>
      <c r="BG20">
        <v>355</v>
      </c>
      <c r="BH20">
        <v>316</v>
      </c>
      <c r="BI20">
        <v>317</v>
      </c>
      <c r="BJ20">
        <v>313</v>
      </c>
      <c r="BK20">
        <v>371</v>
      </c>
      <c r="BM20">
        <v>548</v>
      </c>
      <c r="BN20">
        <v>447</v>
      </c>
      <c r="BO20">
        <v>408</v>
      </c>
      <c r="BP20">
        <v>406</v>
      </c>
      <c r="BQ20">
        <v>449</v>
      </c>
      <c r="BR20">
        <v>375</v>
      </c>
      <c r="BS20">
        <v>345</v>
      </c>
      <c r="BT20">
        <v>423</v>
      </c>
      <c r="BU20">
        <v>406</v>
      </c>
      <c r="BV20">
        <v>496</v>
      </c>
      <c r="BW20">
        <v>484</v>
      </c>
      <c r="BX20">
        <v>518</v>
      </c>
      <c r="BY20">
        <v>490</v>
      </c>
      <c r="CA20">
        <v>87</v>
      </c>
      <c r="CB20">
        <v>97</v>
      </c>
      <c r="CC20">
        <v>88</v>
      </c>
      <c r="CD20">
        <v>76</v>
      </c>
      <c r="CE20">
        <v>69</v>
      </c>
      <c r="CF20">
        <v>88</v>
      </c>
      <c r="CG20">
        <v>117</v>
      </c>
      <c r="CH20">
        <v>97</v>
      </c>
      <c r="CI20">
        <v>102</v>
      </c>
      <c r="CJ20">
        <v>123</v>
      </c>
      <c r="CK20">
        <v>87</v>
      </c>
      <c r="CL20">
        <v>104</v>
      </c>
      <c r="CM20">
        <v>102</v>
      </c>
    </row>
    <row r="21" spans="2:91">
      <c r="B21" s="1" t="s">
        <v>25</v>
      </c>
      <c r="C21" s="2">
        <f>SUM(AY10:CM10)</f>
        <v>88780</v>
      </c>
      <c r="D21" s="3">
        <f t="shared" si="1"/>
        <v>8.8779999999999998E-2</v>
      </c>
      <c r="F21" s="5" t="s">
        <v>34</v>
      </c>
      <c r="G21" s="7">
        <v>21483</v>
      </c>
      <c r="H21" s="7">
        <v>36423</v>
      </c>
      <c r="I21" s="7">
        <v>36670</v>
      </c>
      <c r="J21" s="7">
        <v>37298</v>
      </c>
      <c r="K21" s="7">
        <v>38376</v>
      </c>
      <c r="L21" s="7">
        <v>39494</v>
      </c>
      <c r="M21" s="7">
        <v>39529</v>
      </c>
      <c r="N21" s="7">
        <v>36211</v>
      </c>
      <c r="O21" s="7">
        <v>32216</v>
      </c>
      <c r="P21" s="7">
        <v>28548</v>
      </c>
      <c r="Q21" s="7">
        <v>27966</v>
      </c>
      <c r="R21" s="7">
        <v>27959</v>
      </c>
      <c r="S21" s="7">
        <v>28258</v>
      </c>
      <c r="U21" s="5" t="s">
        <v>34</v>
      </c>
      <c r="V21" s="7">
        <v>48299</v>
      </c>
      <c r="W21" s="7">
        <v>33504</v>
      </c>
      <c r="X21" s="7">
        <v>32809</v>
      </c>
      <c r="Y21" s="7">
        <v>32327</v>
      </c>
      <c r="Z21" s="7">
        <v>32174</v>
      </c>
      <c r="AA21" s="7">
        <v>30705</v>
      </c>
      <c r="AB21" s="7">
        <v>28496</v>
      </c>
      <c r="AC21" s="7">
        <v>31820</v>
      </c>
      <c r="AD21" s="7">
        <v>35330</v>
      </c>
      <c r="AE21" s="7">
        <v>40775</v>
      </c>
      <c r="AF21" s="7">
        <v>40513</v>
      </c>
      <c r="AG21" s="7">
        <v>40759</v>
      </c>
      <c r="AH21" s="7">
        <v>40710</v>
      </c>
      <c r="AJ21" s="5" t="s">
        <v>34</v>
      </c>
      <c r="AK21" s="7">
        <v>6687</v>
      </c>
      <c r="AL21" s="7">
        <v>7330</v>
      </c>
      <c r="AM21" s="7">
        <v>7258</v>
      </c>
      <c r="AN21" s="7">
        <v>6955</v>
      </c>
      <c r="AO21" s="7">
        <v>6645</v>
      </c>
      <c r="AP21" s="7">
        <v>6751</v>
      </c>
      <c r="AQ21" s="7">
        <v>8729</v>
      </c>
      <c r="AR21" s="7">
        <v>8774</v>
      </c>
      <c r="AS21" s="7">
        <v>8953</v>
      </c>
      <c r="AT21" s="7">
        <v>8380</v>
      </c>
      <c r="AU21" s="7">
        <v>8290</v>
      </c>
      <c r="AV21" s="7">
        <v>8301</v>
      </c>
      <c r="AW21" s="7">
        <v>8295</v>
      </c>
      <c r="AY21">
        <v>222</v>
      </c>
      <c r="AZ21">
        <v>359</v>
      </c>
      <c r="BA21">
        <v>417</v>
      </c>
      <c r="BB21">
        <v>429</v>
      </c>
      <c r="BC21">
        <v>397</v>
      </c>
      <c r="BD21">
        <v>453</v>
      </c>
      <c r="BE21">
        <v>470</v>
      </c>
      <c r="BF21">
        <v>427</v>
      </c>
      <c r="BG21">
        <v>368</v>
      </c>
      <c r="BH21">
        <v>301</v>
      </c>
      <c r="BI21">
        <v>324</v>
      </c>
      <c r="BJ21">
        <v>287</v>
      </c>
      <c r="BK21">
        <v>306</v>
      </c>
      <c r="BM21">
        <v>563</v>
      </c>
      <c r="BN21">
        <v>450</v>
      </c>
      <c r="BO21">
        <v>412</v>
      </c>
      <c r="BP21">
        <v>404</v>
      </c>
      <c r="BQ21">
        <v>413</v>
      </c>
      <c r="BR21">
        <v>374</v>
      </c>
      <c r="BS21">
        <v>360</v>
      </c>
      <c r="BT21">
        <v>432</v>
      </c>
      <c r="BU21">
        <v>439</v>
      </c>
      <c r="BV21">
        <v>510</v>
      </c>
      <c r="BW21">
        <v>502</v>
      </c>
      <c r="BX21">
        <v>534</v>
      </c>
      <c r="BY21">
        <v>509</v>
      </c>
      <c r="CA21">
        <v>74</v>
      </c>
      <c r="CB21">
        <v>90</v>
      </c>
      <c r="CC21">
        <v>75</v>
      </c>
      <c r="CD21">
        <v>69</v>
      </c>
      <c r="CE21">
        <v>77</v>
      </c>
      <c r="CF21">
        <v>78</v>
      </c>
      <c r="CG21">
        <v>93</v>
      </c>
      <c r="CH21">
        <v>93</v>
      </c>
      <c r="CI21">
        <v>96</v>
      </c>
      <c r="CJ21">
        <v>85</v>
      </c>
      <c r="CK21">
        <v>70</v>
      </c>
      <c r="CL21">
        <v>96</v>
      </c>
      <c r="CM21">
        <v>95</v>
      </c>
    </row>
    <row r="22" spans="2:91">
      <c r="B22" s="1" t="s">
        <v>26</v>
      </c>
      <c r="C22" s="2">
        <f>SUM(AY11:CM11)</f>
        <v>83013</v>
      </c>
      <c r="D22" s="3">
        <f t="shared" si="1"/>
        <v>8.3013000000000003E-2</v>
      </c>
      <c r="F22" s="5" t="s">
        <v>35</v>
      </c>
      <c r="G22" s="7">
        <v>20827</v>
      </c>
      <c r="H22" s="7">
        <v>34957</v>
      </c>
      <c r="I22" s="7">
        <v>35497</v>
      </c>
      <c r="J22" s="7">
        <v>35915</v>
      </c>
      <c r="K22" s="7">
        <v>36831</v>
      </c>
      <c r="L22" s="7">
        <v>38007</v>
      </c>
      <c r="M22" s="7">
        <v>38222</v>
      </c>
      <c r="N22" s="7">
        <v>35104</v>
      </c>
      <c r="O22" s="7">
        <v>31127</v>
      </c>
      <c r="P22" s="7">
        <v>26763</v>
      </c>
      <c r="Q22" s="7">
        <v>27299</v>
      </c>
      <c r="R22" s="7">
        <v>27262</v>
      </c>
      <c r="S22" s="7">
        <v>27247</v>
      </c>
      <c r="U22" s="5" t="s">
        <v>35</v>
      </c>
      <c r="V22" s="7">
        <v>49417</v>
      </c>
      <c r="W22" s="7">
        <v>34854</v>
      </c>
      <c r="X22" s="7">
        <v>34497</v>
      </c>
      <c r="Y22" s="7">
        <v>34179</v>
      </c>
      <c r="Z22" s="7">
        <v>34023</v>
      </c>
      <c r="AA22" s="7">
        <v>32478</v>
      </c>
      <c r="AB22" s="7">
        <v>30140</v>
      </c>
      <c r="AC22" s="7">
        <v>33257</v>
      </c>
      <c r="AD22" s="7">
        <v>36829</v>
      </c>
      <c r="AE22" s="7">
        <v>41966</v>
      </c>
      <c r="AF22" s="7">
        <v>41742</v>
      </c>
      <c r="AG22" s="7">
        <v>41937</v>
      </c>
      <c r="AH22" s="7">
        <v>41856</v>
      </c>
      <c r="AJ22" s="5" t="s">
        <v>35</v>
      </c>
      <c r="AK22" s="7">
        <v>6369</v>
      </c>
      <c r="AL22" s="7">
        <v>7289</v>
      </c>
      <c r="AM22" s="7">
        <v>6971</v>
      </c>
      <c r="AN22" s="7">
        <v>6797</v>
      </c>
      <c r="AO22" s="7">
        <v>6443</v>
      </c>
      <c r="AP22" s="7">
        <v>6502</v>
      </c>
      <c r="AQ22" s="7">
        <v>8227</v>
      </c>
      <c r="AR22" s="7">
        <v>8743</v>
      </c>
      <c r="AS22" s="7">
        <v>8505</v>
      </c>
      <c r="AT22" s="7">
        <v>8084</v>
      </c>
      <c r="AU22" s="7">
        <v>8064</v>
      </c>
      <c r="AV22" s="7">
        <v>7904</v>
      </c>
      <c r="AW22" s="7">
        <v>7869</v>
      </c>
      <c r="AY22">
        <v>215</v>
      </c>
      <c r="AZ22">
        <v>380</v>
      </c>
      <c r="BA22">
        <v>386</v>
      </c>
      <c r="BB22">
        <v>385</v>
      </c>
      <c r="BC22">
        <v>409</v>
      </c>
      <c r="BD22">
        <v>402</v>
      </c>
      <c r="BE22">
        <v>421</v>
      </c>
      <c r="BF22">
        <v>406</v>
      </c>
      <c r="BG22">
        <v>357</v>
      </c>
      <c r="BH22">
        <v>276</v>
      </c>
      <c r="BI22">
        <v>308</v>
      </c>
      <c r="BJ22">
        <v>290</v>
      </c>
      <c r="BK22">
        <v>299</v>
      </c>
      <c r="BM22">
        <v>591</v>
      </c>
      <c r="BN22">
        <v>454</v>
      </c>
      <c r="BO22">
        <v>439</v>
      </c>
      <c r="BP22">
        <v>401</v>
      </c>
      <c r="BQ22">
        <v>407</v>
      </c>
      <c r="BR22">
        <v>452</v>
      </c>
      <c r="BS22">
        <v>429</v>
      </c>
      <c r="BT22">
        <v>461</v>
      </c>
      <c r="BU22">
        <v>462</v>
      </c>
      <c r="BV22">
        <v>524</v>
      </c>
      <c r="BW22">
        <v>550</v>
      </c>
      <c r="BX22">
        <v>499</v>
      </c>
      <c r="BY22">
        <v>570</v>
      </c>
      <c r="CA22">
        <v>54</v>
      </c>
      <c r="CB22">
        <v>93</v>
      </c>
      <c r="CC22">
        <v>74</v>
      </c>
      <c r="CD22">
        <v>78</v>
      </c>
      <c r="CE22">
        <v>66</v>
      </c>
      <c r="CF22">
        <v>77</v>
      </c>
      <c r="CG22">
        <v>85</v>
      </c>
      <c r="CH22">
        <v>96</v>
      </c>
      <c r="CI22">
        <v>98</v>
      </c>
      <c r="CJ22">
        <v>85</v>
      </c>
      <c r="CK22">
        <v>63</v>
      </c>
      <c r="CL22">
        <v>78</v>
      </c>
      <c r="CM22">
        <v>91</v>
      </c>
    </row>
    <row r="23" spans="2:91">
      <c r="B23" s="1" t="s">
        <v>27</v>
      </c>
      <c r="C23" s="2">
        <f>SUM(AY12:CM12)</f>
        <v>77274</v>
      </c>
      <c r="D23" s="3">
        <f t="shared" si="1"/>
        <v>7.7273999999999995E-2</v>
      </c>
      <c r="F23" s="5" t="s">
        <v>36</v>
      </c>
      <c r="G23" s="7">
        <v>20322</v>
      </c>
      <c r="H23" s="7">
        <v>33517</v>
      </c>
      <c r="I23" s="7">
        <v>34110</v>
      </c>
      <c r="J23" s="7">
        <v>34499</v>
      </c>
      <c r="K23" s="7">
        <v>35506</v>
      </c>
      <c r="L23" s="7">
        <v>36587</v>
      </c>
      <c r="M23" s="7">
        <v>36963</v>
      </c>
      <c r="N23" s="7">
        <v>33873</v>
      </c>
      <c r="O23" s="7">
        <v>30444</v>
      </c>
      <c r="P23" s="7">
        <v>26034</v>
      </c>
      <c r="Q23" s="7">
        <v>26345</v>
      </c>
      <c r="R23" s="7">
        <v>26029</v>
      </c>
      <c r="S23" s="7">
        <v>25776</v>
      </c>
      <c r="U23" s="5" t="s">
        <v>36</v>
      </c>
      <c r="V23" s="7">
        <v>50183</v>
      </c>
      <c r="W23" s="7">
        <v>36525</v>
      </c>
      <c r="X23" s="7">
        <v>36154</v>
      </c>
      <c r="Y23" s="7">
        <v>35639</v>
      </c>
      <c r="Z23" s="7">
        <v>35415</v>
      </c>
      <c r="AA23" s="7">
        <v>33993</v>
      </c>
      <c r="AB23" s="7">
        <v>32006</v>
      </c>
      <c r="AC23" s="7">
        <v>34511</v>
      </c>
      <c r="AD23" s="7">
        <v>38303</v>
      </c>
      <c r="AE23" s="7">
        <v>43268</v>
      </c>
      <c r="AF23" s="7">
        <v>43035</v>
      </c>
      <c r="AG23" s="7">
        <v>43355</v>
      </c>
      <c r="AH23" s="7">
        <v>43283</v>
      </c>
      <c r="AJ23" s="5" t="s">
        <v>36</v>
      </c>
      <c r="AK23" s="7">
        <v>6189</v>
      </c>
      <c r="AL23" s="7">
        <v>6965</v>
      </c>
      <c r="AM23" s="7">
        <v>6763</v>
      </c>
      <c r="AN23" s="7">
        <v>6432</v>
      </c>
      <c r="AO23" s="7">
        <v>6306</v>
      </c>
      <c r="AP23" s="7">
        <v>6091</v>
      </c>
      <c r="AQ23" s="7">
        <v>8219</v>
      </c>
      <c r="AR23" s="7">
        <v>8195</v>
      </c>
      <c r="AS23" s="7">
        <v>8181</v>
      </c>
      <c r="AT23" s="7">
        <v>7710</v>
      </c>
      <c r="AU23" s="7">
        <v>7735</v>
      </c>
      <c r="AV23" s="7">
        <v>7809</v>
      </c>
      <c r="AW23" s="7">
        <v>7730</v>
      </c>
      <c r="AY23">
        <v>233</v>
      </c>
      <c r="AZ23">
        <v>346</v>
      </c>
      <c r="BA23">
        <v>409</v>
      </c>
      <c r="BB23">
        <v>388</v>
      </c>
      <c r="BC23">
        <v>389</v>
      </c>
      <c r="BD23">
        <v>372</v>
      </c>
      <c r="BE23">
        <v>431</v>
      </c>
      <c r="BF23">
        <v>361</v>
      </c>
      <c r="BG23">
        <v>342</v>
      </c>
      <c r="BH23">
        <v>270</v>
      </c>
      <c r="BI23">
        <v>284</v>
      </c>
      <c r="BJ23">
        <v>305</v>
      </c>
      <c r="BK23">
        <v>282</v>
      </c>
      <c r="BM23">
        <v>660</v>
      </c>
      <c r="BN23">
        <v>476</v>
      </c>
      <c r="BO23">
        <v>501</v>
      </c>
      <c r="BP23">
        <v>503</v>
      </c>
      <c r="BQ23">
        <v>481</v>
      </c>
      <c r="BR23">
        <v>421</v>
      </c>
      <c r="BS23">
        <v>408</v>
      </c>
      <c r="BT23">
        <v>490</v>
      </c>
      <c r="BU23">
        <v>481</v>
      </c>
      <c r="BV23">
        <v>524</v>
      </c>
      <c r="BW23">
        <v>525</v>
      </c>
      <c r="BX23">
        <v>515</v>
      </c>
      <c r="BY23">
        <v>526</v>
      </c>
      <c r="CA23">
        <v>67</v>
      </c>
      <c r="CB23">
        <v>69</v>
      </c>
      <c r="CC23">
        <v>93</v>
      </c>
      <c r="CD23">
        <v>67</v>
      </c>
      <c r="CE23">
        <v>71</v>
      </c>
      <c r="CF23">
        <v>70</v>
      </c>
      <c r="CG23">
        <v>82</v>
      </c>
      <c r="CH23">
        <v>94</v>
      </c>
      <c r="CI23">
        <v>85</v>
      </c>
      <c r="CJ23">
        <v>77</v>
      </c>
      <c r="CK23">
        <v>93</v>
      </c>
      <c r="CL23">
        <v>93</v>
      </c>
      <c r="CM23">
        <v>71</v>
      </c>
    </row>
    <row r="24" spans="2:91">
      <c r="B24" s="1" t="s">
        <v>28</v>
      </c>
      <c r="C24" s="2">
        <f>SUM(AY13:CM13)</f>
        <v>71091</v>
      </c>
      <c r="D24" s="3">
        <f t="shared" si="1"/>
        <v>7.1091000000000001E-2</v>
      </c>
      <c r="F24" s="5" t="s">
        <v>37</v>
      </c>
      <c r="G24" s="7">
        <v>19375</v>
      </c>
      <c r="H24" s="7">
        <v>32523</v>
      </c>
      <c r="I24" s="7">
        <v>32677</v>
      </c>
      <c r="J24" s="7">
        <v>33065</v>
      </c>
      <c r="K24" s="7">
        <v>34306</v>
      </c>
      <c r="L24" s="7">
        <v>35235</v>
      </c>
      <c r="M24" s="7">
        <v>35897</v>
      </c>
      <c r="N24" s="7">
        <v>32403</v>
      </c>
      <c r="O24" s="7">
        <v>28635</v>
      </c>
      <c r="P24" s="7">
        <v>24845</v>
      </c>
      <c r="Q24" s="7">
        <v>25070</v>
      </c>
      <c r="R24" s="7">
        <v>25087</v>
      </c>
      <c r="S24" s="7">
        <v>24986</v>
      </c>
      <c r="U24" s="5" t="s">
        <v>37</v>
      </c>
      <c r="V24" s="7">
        <v>51443</v>
      </c>
      <c r="W24" s="7">
        <v>37988</v>
      </c>
      <c r="X24" s="7">
        <v>37842</v>
      </c>
      <c r="Y24" s="7">
        <v>37689</v>
      </c>
      <c r="Z24" s="7">
        <v>36946</v>
      </c>
      <c r="AA24" s="7">
        <v>35644</v>
      </c>
      <c r="AB24" s="7">
        <v>33534</v>
      </c>
      <c r="AC24" s="7">
        <v>36789</v>
      </c>
      <c r="AD24" s="7">
        <v>39374</v>
      </c>
      <c r="AE24" s="7">
        <v>44965</v>
      </c>
      <c r="AF24" s="7">
        <v>44688</v>
      </c>
      <c r="AG24" s="7">
        <v>44342</v>
      </c>
      <c r="AH24" s="7">
        <v>44395</v>
      </c>
      <c r="AJ24" s="5" t="s">
        <v>37</v>
      </c>
      <c r="AK24" s="7">
        <v>5935</v>
      </c>
      <c r="AL24" s="7">
        <v>6639</v>
      </c>
      <c r="AM24" s="7">
        <v>6461</v>
      </c>
      <c r="AN24" s="7">
        <v>6255</v>
      </c>
      <c r="AO24" s="7">
        <v>5882</v>
      </c>
      <c r="AP24" s="7">
        <v>6094</v>
      </c>
      <c r="AQ24" s="7">
        <v>7569</v>
      </c>
      <c r="AR24" s="7">
        <v>7773</v>
      </c>
      <c r="AS24" s="7">
        <v>8022</v>
      </c>
      <c r="AT24" s="7">
        <v>7472</v>
      </c>
      <c r="AU24" s="7">
        <v>7315</v>
      </c>
      <c r="AV24" s="7">
        <v>7445</v>
      </c>
      <c r="AW24" s="7">
        <v>7395</v>
      </c>
      <c r="AY24">
        <v>95</v>
      </c>
      <c r="AZ24">
        <v>345</v>
      </c>
      <c r="BA24">
        <v>317</v>
      </c>
      <c r="BB24">
        <v>330</v>
      </c>
      <c r="BC24">
        <v>396</v>
      </c>
      <c r="BD24">
        <v>400</v>
      </c>
      <c r="BE24">
        <v>268</v>
      </c>
      <c r="BF24">
        <v>236</v>
      </c>
      <c r="BG24">
        <v>219</v>
      </c>
      <c r="BH24">
        <v>196</v>
      </c>
      <c r="BI24">
        <v>218</v>
      </c>
      <c r="BJ24">
        <v>197</v>
      </c>
      <c r="BK24">
        <v>202</v>
      </c>
      <c r="BM24">
        <v>715</v>
      </c>
      <c r="BN24">
        <v>467</v>
      </c>
      <c r="BO24">
        <v>427</v>
      </c>
      <c r="BP24">
        <v>397</v>
      </c>
      <c r="BQ24">
        <v>407</v>
      </c>
      <c r="BR24">
        <v>384</v>
      </c>
      <c r="BS24">
        <v>351</v>
      </c>
      <c r="BT24">
        <v>594</v>
      </c>
      <c r="BU24">
        <v>578</v>
      </c>
      <c r="BV24">
        <v>649</v>
      </c>
      <c r="BW24">
        <v>626</v>
      </c>
      <c r="BX24">
        <v>647</v>
      </c>
      <c r="BY24">
        <v>632</v>
      </c>
      <c r="CA24">
        <v>108</v>
      </c>
      <c r="CB24">
        <v>118</v>
      </c>
      <c r="CC24">
        <v>110</v>
      </c>
      <c r="CD24">
        <v>138</v>
      </c>
      <c r="CE24">
        <v>113</v>
      </c>
      <c r="CF24">
        <v>161</v>
      </c>
      <c r="CG24">
        <v>335</v>
      </c>
      <c r="CH24">
        <v>131</v>
      </c>
      <c r="CI24">
        <v>103</v>
      </c>
      <c r="CJ24">
        <v>97</v>
      </c>
      <c r="CK24">
        <v>106</v>
      </c>
      <c r="CL24">
        <v>112</v>
      </c>
      <c r="CM24">
        <v>108</v>
      </c>
    </row>
    <row r="25" spans="2:91">
      <c r="B25" s="1" t="s">
        <v>29</v>
      </c>
      <c r="C25" s="2">
        <f>SUM(AY14:CM14)</f>
        <v>64984</v>
      </c>
      <c r="D25" s="3">
        <f t="shared" si="1"/>
        <v>6.4984E-2</v>
      </c>
      <c r="F25" s="5" t="s">
        <v>38</v>
      </c>
      <c r="G25" s="10">
        <v>18679</v>
      </c>
      <c r="H25" s="10">
        <v>30983</v>
      </c>
      <c r="I25" s="10">
        <v>31299</v>
      </c>
      <c r="J25" s="10">
        <v>31866</v>
      </c>
      <c r="K25" s="10">
        <v>32651</v>
      </c>
      <c r="L25" s="10">
        <v>34156</v>
      </c>
      <c r="M25" s="10">
        <v>34264</v>
      </c>
      <c r="N25" s="10">
        <v>31118</v>
      </c>
      <c r="O25" s="10">
        <v>27862</v>
      </c>
      <c r="P25" s="10">
        <v>23797</v>
      </c>
      <c r="Q25" s="10">
        <v>23910</v>
      </c>
      <c r="R25" s="10">
        <v>24152</v>
      </c>
      <c r="S25" s="10">
        <v>24167</v>
      </c>
      <c r="U25" s="5" t="s">
        <v>38</v>
      </c>
      <c r="V25" s="10">
        <v>52373</v>
      </c>
      <c r="W25" s="10">
        <v>39377</v>
      </c>
      <c r="X25" s="10">
        <v>39291</v>
      </c>
      <c r="Y25" s="10">
        <v>38781</v>
      </c>
      <c r="Z25" s="10">
        <v>38714</v>
      </c>
      <c r="AA25" s="10">
        <v>37319</v>
      </c>
      <c r="AB25" s="10">
        <v>35628</v>
      </c>
      <c r="AC25" s="10">
        <v>38276</v>
      </c>
      <c r="AD25" s="10">
        <v>41585</v>
      </c>
      <c r="AE25" s="10">
        <v>46414</v>
      </c>
      <c r="AF25" s="10">
        <v>45598</v>
      </c>
      <c r="AG25" s="10">
        <v>45910</v>
      </c>
      <c r="AH25" s="10">
        <v>45702</v>
      </c>
      <c r="AJ25" s="5" t="s">
        <v>38</v>
      </c>
      <c r="AK25" s="10">
        <v>5574</v>
      </c>
      <c r="AL25" s="10">
        <v>6429</v>
      </c>
      <c r="AM25" s="10">
        <v>6169</v>
      </c>
      <c r="AN25" s="10">
        <v>6052</v>
      </c>
      <c r="AO25" s="10">
        <v>5711</v>
      </c>
      <c r="AP25" s="10">
        <v>5631</v>
      </c>
      <c r="AQ25" s="10">
        <v>7304</v>
      </c>
      <c r="AR25" s="10">
        <v>7551</v>
      </c>
      <c r="AS25" s="10">
        <v>7584</v>
      </c>
      <c r="AT25" s="10">
        <v>6929</v>
      </c>
      <c r="AU25" s="10">
        <v>7077</v>
      </c>
      <c r="AV25" s="10">
        <v>7106</v>
      </c>
      <c r="AW25" s="10">
        <v>7011</v>
      </c>
      <c r="AY25">
        <v>214</v>
      </c>
      <c r="AZ25">
        <v>462</v>
      </c>
      <c r="BA25">
        <v>454</v>
      </c>
      <c r="BB25">
        <v>499</v>
      </c>
      <c r="BC25">
        <v>482</v>
      </c>
      <c r="BD25">
        <v>552</v>
      </c>
      <c r="BE25">
        <v>565</v>
      </c>
      <c r="BF25">
        <v>375</v>
      </c>
      <c r="BG25">
        <v>312</v>
      </c>
      <c r="BH25">
        <v>293</v>
      </c>
      <c r="BI25">
        <v>291</v>
      </c>
      <c r="BJ25">
        <v>334</v>
      </c>
      <c r="BK25">
        <v>282</v>
      </c>
      <c r="BM25">
        <v>494</v>
      </c>
      <c r="BN25">
        <v>331</v>
      </c>
      <c r="BO25">
        <v>333</v>
      </c>
      <c r="BP25">
        <v>344</v>
      </c>
      <c r="BQ25">
        <v>302</v>
      </c>
      <c r="BR25">
        <v>292</v>
      </c>
      <c r="BS25">
        <v>212</v>
      </c>
      <c r="BT25">
        <v>220</v>
      </c>
      <c r="BU25">
        <v>457</v>
      </c>
      <c r="BV25">
        <v>483</v>
      </c>
      <c r="BW25">
        <v>487</v>
      </c>
      <c r="BX25">
        <v>506</v>
      </c>
      <c r="BY25">
        <v>518</v>
      </c>
      <c r="CA25">
        <v>115</v>
      </c>
      <c r="CB25">
        <v>109</v>
      </c>
      <c r="CC25">
        <v>122</v>
      </c>
      <c r="CD25">
        <v>116</v>
      </c>
      <c r="CE25">
        <v>109</v>
      </c>
      <c r="CF25">
        <v>104</v>
      </c>
      <c r="CG25">
        <v>105</v>
      </c>
      <c r="CH25">
        <v>278</v>
      </c>
      <c r="CI25">
        <v>111</v>
      </c>
      <c r="CJ25">
        <v>117</v>
      </c>
      <c r="CK25">
        <v>107</v>
      </c>
      <c r="CL25">
        <v>89</v>
      </c>
      <c r="CM25">
        <v>108</v>
      </c>
    </row>
    <row r="26" spans="2:91">
      <c r="B26" s="1" t="s">
        <v>30</v>
      </c>
      <c r="C26" s="2">
        <f>SUM(AY15:CM15)</f>
        <v>59440</v>
      </c>
      <c r="D26" s="3">
        <f t="shared" si="1"/>
        <v>5.944E-2</v>
      </c>
      <c r="F26" s="5" t="s">
        <v>39</v>
      </c>
      <c r="G26" s="6">
        <v>8926</v>
      </c>
      <c r="H26" s="6">
        <v>26957</v>
      </c>
      <c r="I26" s="6">
        <v>28880</v>
      </c>
      <c r="J26" s="6">
        <v>30282</v>
      </c>
      <c r="K26" s="6">
        <v>31894</v>
      </c>
      <c r="L26" s="6">
        <v>32573</v>
      </c>
      <c r="M26" s="6">
        <v>20142</v>
      </c>
      <c r="N26" s="6">
        <v>18739</v>
      </c>
      <c r="O26" s="6">
        <v>17611</v>
      </c>
      <c r="P26" s="6">
        <v>16556</v>
      </c>
      <c r="Q26" s="6">
        <v>16469</v>
      </c>
      <c r="R26" s="6">
        <v>16391</v>
      </c>
      <c r="S26" s="6">
        <v>16247</v>
      </c>
      <c r="U26" s="5" t="s">
        <v>39</v>
      </c>
      <c r="V26" s="6">
        <v>58419</v>
      </c>
      <c r="W26" s="6">
        <v>38893</v>
      </c>
      <c r="X26" s="6">
        <v>37511</v>
      </c>
      <c r="Y26" s="6">
        <v>36368</v>
      </c>
      <c r="Z26" s="6">
        <v>35234</v>
      </c>
      <c r="AA26" s="6">
        <v>31401</v>
      </c>
      <c r="AB26" s="6">
        <v>28520</v>
      </c>
      <c r="AC26" s="6">
        <v>47742</v>
      </c>
      <c r="AD26" s="6">
        <v>49959</v>
      </c>
      <c r="AE26" s="6">
        <v>52039</v>
      </c>
      <c r="AF26" s="6">
        <v>52240</v>
      </c>
      <c r="AG26" s="6">
        <v>51917</v>
      </c>
      <c r="AH26" s="6">
        <v>52268</v>
      </c>
      <c r="AJ26" s="5" t="s">
        <v>39</v>
      </c>
      <c r="AK26" s="6">
        <v>10044</v>
      </c>
      <c r="AL26" s="6">
        <v>10819</v>
      </c>
      <c r="AM26" s="6">
        <v>10440</v>
      </c>
      <c r="AN26" s="6">
        <v>10093</v>
      </c>
      <c r="AO26" s="6">
        <v>9361</v>
      </c>
      <c r="AP26" s="6">
        <v>12896</v>
      </c>
      <c r="AQ26" s="6">
        <v>28570</v>
      </c>
      <c r="AR26" s="6">
        <v>9923</v>
      </c>
      <c r="AS26" s="6">
        <v>9332</v>
      </c>
      <c r="AT26" s="6">
        <v>8559</v>
      </c>
      <c r="AU26" s="6">
        <v>8560</v>
      </c>
      <c r="AV26" s="6">
        <v>8625</v>
      </c>
      <c r="AW26" s="6">
        <v>8600</v>
      </c>
      <c r="AY26">
        <v>322</v>
      </c>
      <c r="AZ26">
        <v>607</v>
      </c>
      <c r="BA26">
        <v>570</v>
      </c>
      <c r="BB26">
        <v>587</v>
      </c>
      <c r="BC26">
        <v>597</v>
      </c>
      <c r="BD26">
        <v>649</v>
      </c>
      <c r="BE26">
        <v>751</v>
      </c>
      <c r="BF26">
        <v>662</v>
      </c>
      <c r="BG26">
        <v>429</v>
      </c>
      <c r="BH26">
        <v>410</v>
      </c>
      <c r="BI26">
        <v>379</v>
      </c>
      <c r="BJ26">
        <v>357</v>
      </c>
      <c r="BK26">
        <v>430</v>
      </c>
      <c r="BM26">
        <v>415</v>
      </c>
      <c r="BN26">
        <v>227</v>
      </c>
      <c r="BO26">
        <v>205</v>
      </c>
      <c r="BP26">
        <v>230</v>
      </c>
      <c r="BQ26">
        <v>220</v>
      </c>
      <c r="BR26">
        <v>186</v>
      </c>
      <c r="BS26">
        <v>149</v>
      </c>
      <c r="BT26">
        <v>128</v>
      </c>
      <c r="BU26">
        <v>195</v>
      </c>
      <c r="BV26">
        <v>399</v>
      </c>
      <c r="BW26">
        <v>435</v>
      </c>
      <c r="BX26">
        <v>409</v>
      </c>
      <c r="BY26">
        <v>429</v>
      </c>
      <c r="CA26">
        <v>115</v>
      </c>
      <c r="CB26">
        <v>130</v>
      </c>
      <c r="CC26">
        <v>116</v>
      </c>
      <c r="CD26">
        <v>108</v>
      </c>
      <c r="CE26">
        <v>105</v>
      </c>
      <c r="CF26">
        <v>110</v>
      </c>
      <c r="CG26">
        <v>76</v>
      </c>
      <c r="CH26">
        <v>127</v>
      </c>
      <c r="CI26">
        <v>323</v>
      </c>
      <c r="CJ26">
        <v>115</v>
      </c>
      <c r="CK26">
        <v>98</v>
      </c>
      <c r="CL26">
        <v>100</v>
      </c>
      <c r="CM26">
        <v>103</v>
      </c>
    </row>
    <row r="27" spans="2:91">
      <c r="B27" s="1" t="s">
        <v>31</v>
      </c>
      <c r="C27" s="2">
        <f>SUM(AY16:CM16)</f>
        <v>52925</v>
      </c>
      <c r="D27" s="3">
        <f t="shared" si="1"/>
        <v>5.2925E-2</v>
      </c>
      <c r="F27" s="5" t="s">
        <v>40</v>
      </c>
      <c r="G27" s="6">
        <v>18891</v>
      </c>
      <c r="H27" s="6">
        <v>37988</v>
      </c>
      <c r="I27" s="6">
        <v>38472</v>
      </c>
      <c r="J27" s="6">
        <v>40766</v>
      </c>
      <c r="K27" s="6">
        <v>41746</v>
      </c>
      <c r="L27" s="6">
        <v>45235</v>
      </c>
      <c r="M27" s="6">
        <v>48642</v>
      </c>
      <c r="N27" s="6">
        <v>28856</v>
      </c>
      <c r="O27" s="6">
        <v>26828</v>
      </c>
      <c r="P27" s="6">
        <v>25079</v>
      </c>
      <c r="Q27" s="6">
        <v>24542</v>
      </c>
      <c r="R27" s="6">
        <v>25041</v>
      </c>
      <c r="S27" s="6">
        <v>24787</v>
      </c>
      <c r="U27" s="5" t="s">
        <v>40</v>
      </c>
      <c r="V27" s="6">
        <v>48157</v>
      </c>
      <c r="W27" s="6">
        <v>28469</v>
      </c>
      <c r="X27" s="6">
        <v>27644</v>
      </c>
      <c r="Y27" s="6">
        <v>26933</v>
      </c>
      <c r="Z27" s="6">
        <v>25838</v>
      </c>
      <c r="AA27" s="6">
        <v>23584</v>
      </c>
      <c r="AB27" s="6">
        <v>17828</v>
      </c>
      <c r="AC27" s="6">
        <v>20496</v>
      </c>
      <c r="AD27" s="6">
        <v>40966</v>
      </c>
      <c r="AE27" s="6">
        <v>43480</v>
      </c>
      <c r="AF27" s="6">
        <v>43463</v>
      </c>
      <c r="AG27" s="6">
        <v>43628</v>
      </c>
      <c r="AH27" s="6">
        <v>43530</v>
      </c>
      <c r="AJ27" s="5" t="s">
        <v>40</v>
      </c>
      <c r="AK27" s="6">
        <v>10003</v>
      </c>
      <c r="AL27" s="6">
        <v>10309</v>
      </c>
      <c r="AM27" s="6">
        <v>10066</v>
      </c>
      <c r="AN27" s="6">
        <v>9435</v>
      </c>
      <c r="AO27" s="6">
        <v>9410</v>
      </c>
      <c r="AP27" s="6">
        <v>8104</v>
      </c>
      <c r="AQ27" s="6">
        <v>10727</v>
      </c>
      <c r="AR27" s="6">
        <v>27695</v>
      </c>
      <c r="AS27" s="6">
        <v>8982</v>
      </c>
      <c r="AT27" s="6">
        <v>8516</v>
      </c>
      <c r="AU27" s="6">
        <v>8674</v>
      </c>
      <c r="AV27" s="6">
        <v>8617</v>
      </c>
      <c r="AW27" s="6">
        <v>8573</v>
      </c>
      <c r="AY27">
        <v>471</v>
      </c>
      <c r="AZ27">
        <v>659</v>
      </c>
      <c r="BA27">
        <v>697</v>
      </c>
      <c r="BB27">
        <v>730</v>
      </c>
      <c r="BC27">
        <v>696</v>
      </c>
      <c r="BD27">
        <v>706</v>
      </c>
      <c r="BE27">
        <v>747</v>
      </c>
      <c r="BF27">
        <v>809</v>
      </c>
      <c r="BG27">
        <v>695</v>
      </c>
      <c r="BH27">
        <v>544</v>
      </c>
      <c r="BI27">
        <v>502</v>
      </c>
      <c r="BJ27">
        <v>524</v>
      </c>
      <c r="BK27">
        <v>537</v>
      </c>
      <c r="BM27">
        <v>316</v>
      </c>
      <c r="BN27">
        <v>120</v>
      </c>
      <c r="BO27">
        <v>123</v>
      </c>
      <c r="BP27">
        <v>94</v>
      </c>
      <c r="BQ27">
        <v>101</v>
      </c>
      <c r="BR27">
        <v>78</v>
      </c>
      <c r="BS27">
        <v>70</v>
      </c>
      <c r="BT27">
        <v>65</v>
      </c>
      <c r="BU27">
        <v>44</v>
      </c>
      <c r="BV27">
        <v>87</v>
      </c>
      <c r="BW27">
        <v>98</v>
      </c>
      <c r="BX27">
        <v>84</v>
      </c>
      <c r="BY27">
        <v>74</v>
      </c>
      <c r="CA27">
        <v>110</v>
      </c>
      <c r="CB27">
        <v>112</v>
      </c>
      <c r="CC27">
        <v>133</v>
      </c>
      <c r="CD27">
        <v>112</v>
      </c>
      <c r="CE27">
        <v>100</v>
      </c>
      <c r="CF27">
        <v>87</v>
      </c>
      <c r="CG27">
        <v>60</v>
      </c>
      <c r="CH27">
        <v>52</v>
      </c>
      <c r="CI27">
        <v>112</v>
      </c>
      <c r="CJ27">
        <v>303</v>
      </c>
      <c r="CK27">
        <v>355</v>
      </c>
      <c r="CL27">
        <v>317</v>
      </c>
      <c r="CM27">
        <v>301</v>
      </c>
    </row>
    <row r="28" spans="2:91">
      <c r="B28" s="1" t="s">
        <v>32</v>
      </c>
      <c r="C28" s="2">
        <f>SUM(AY17:CM17)</f>
        <v>47464</v>
      </c>
      <c r="D28" s="3">
        <f t="shared" si="1"/>
        <v>4.7463999999999999E-2</v>
      </c>
      <c r="F28" s="5" t="s">
        <v>41</v>
      </c>
      <c r="G28" s="6">
        <v>28835</v>
      </c>
      <c r="H28" s="6">
        <v>48204</v>
      </c>
      <c r="I28" s="6">
        <v>49554</v>
      </c>
      <c r="J28" s="6">
        <v>49965</v>
      </c>
      <c r="K28" s="6">
        <v>50886</v>
      </c>
      <c r="L28" s="6">
        <v>53717</v>
      </c>
      <c r="M28" s="6">
        <v>59163</v>
      </c>
      <c r="N28" s="6">
        <v>56190</v>
      </c>
      <c r="O28" s="6">
        <v>36289</v>
      </c>
      <c r="P28" s="6">
        <v>33697</v>
      </c>
      <c r="Q28" s="6">
        <v>33232</v>
      </c>
      <c r="R28" s="6">
        <v>33753</v>
      </c>
      <c r="S28" s="6">
        <v>33656</v>
      </c>
      <c r="U28" s="5" t="s">
        <v>41</v>
      </c>
      <c r="V28" s="6">
        <v>37712</v>
      </c>
      <c r="W28" s="6">
        <v>18373</v>
      </c>
      <c r="X28" s="6">
        <v>18413</v>
      </c>
      <c r="Y28" s="6">
        <v>17495</v>
      </c>
      <c r="Z28" s="6">
        <v>16947</v>
      </c>
      <c r="AA28" s="6">
        <v>15098</v>
      </c>
      <c r="AB28" s="6">
        <v>11762</v>
      </c>
      <c r="AC28" s="6">
        <v>10750</v>
      </c>
      <c r="AD28" s="6">
        <v>14028</v>
      </c>
      <c r="AE28" s="6">
        <v>34658</v>
      </c>
      <c r="AF28" s="6">
        <v>34705</v>
      </c>
      <c r="AG28" s="6">
        <v>34651</v>
      </c>
      <c r="AH28" s="6">
        <v>34559</v>
      </c>
      <c r="AJ28" s="5" t="s">
        <v>41</v>
      </c>
      <c r="AK28" s="6">
        <v>10066</v>
      </c>
      <c r="AL28" s="6">
        <v>9967</v>
      </c>
      <c r="AM28" s="6">
        <v>9622</v>
      </c>
      <c r="AN28" s="6">
        <v>9320</v>
      </c>
      <c r="AO28" s="6">
        <v>8991</v>
      </c>
      <c r="AP28" s="6">
        <v>8295</v>
      </c>
      <c r="AQ28" s="6">
        <v>6115</v>
      </c>
      <c r="AR28" s="6">
        <v>9977</v>
      </c>
      <c r="AS28" s="6">
        <v>27134</v>
      </c>
      <c r="AT28" s="6">
        <v>8475</v>
      </c>
      <c r="AU28" s="6">
        <v>8663</v>
      </c>
      <c r="AV28" s="6">
        <v>8484</v>
      </c>
      <c r="AW28" s="6">
        <v>8599</v>
      </c>
      <c r="AY28">
        <v>2458</v>
      </c>
      <c r="AZ28">
        <v>3560</v>
      </c>
      <c r="BA28">
        <v>3641</v>
      </c>
      <c r="BB28">
        <v>3659</v>
      </c>
      <c r="BC28">
        <v>3730</v>
      </c>
      <c r="BD28">
        <v>3684</v>
      </c>
      <c r="BE28">
        <v>3699</v>
      </c>
      <c r="BF28">
        <v>3637</v>
      </c>
      <c r="BG28">
        <v>3675</v>
      </c>
      <c r="BH28">
        <v>3342</v>
      </c>
      <c r="BI28">
        <v>3483</v>
      </c>
      <c r="BJ28">
        <v>3311</v>
      </c>
      <c r="BK28">
        <v>3351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CA28">
        <v>1100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298</v>
      </c>
      <c r="CK28">
        <v>277</v>
      </c>
      <c r="CL28">
        <v>298</v>
      </c>
      <c r="CM28">
        <v>306</v>
      </c>
    </row>
    <row r="29" spans="2:91">
      <c r="B29" s="1" t="s">
        <v>33</v>
      </c>
      <c r="C29" s="2">
        <f>SUM(AY18:CM18)</f>
        <v>94023</v>
      </c>
      <c r="D29" s="3">
        <f t="shared" si="1"/>
        <v>9.4022999999999995E-2</v>
      </c>
      <c r="F29" s="5" t="s">
        <v>42</v>
      </c>
      <c r="G29" s="6">
        <v>39065</v>
      </c>
      <c r="H29" s="6">
        <v>57961</v>
      </c>
      <c r="I29" s="6">
        <v>58595</v>
      </c>
      <c r="J29" s="6">
        <v>59531</v>
      </c>
      <c r="K29" s="6">
        <v>60236</v>
      </c>
      <c r="L29" s="6">
        <v>61655</v>
      </c>
      <c r="M29" s="6">
        <v>65412</v>
      </c>
      <c r="N29" s="6">
        <v>65931</v>
      </c>
      <c r="O29" s="6">
        <v>62812</v>
      </c>
      <c r="P29" s="6">
        <v>42086</v>
      </c>
      <c r="Q29" s="6">
        <v>42477</v>
      </c>
      <c r="R29" s="6">
        <v>41869</v>
      </c>
      <c r="S29" s="6">
        <v>41963</v>
      </c>
      <c r="U29" s="5" t="s">
        <v>42</v>
      </c>
      <c r="V29" s="2">
        <v>27734</v>
      </c>
      <c r="W29" s="2">
        <v>9154</v>
      </c>
      <c r="X29" s="2">
        <v>8950</v>
      </c>
      <c r="Y29" s="2">
        <v>8702</v>
      </c>
      <c r="Z29" s="2">
        <v>8314</v>
      </c>
      <c r="AA29" s="2">
        <v>7466</v>
      </c>
      <c r="AB29" s="2">
        <v>5682</v>
      </c>
      <c r="AC29" s="2">
        <v>5301</v>
      </c>
      <c r="AD29" s="2">
        <v>4677</v>
      </c>
      <c r="AE29" s="2">
        <v>8667</v>
      </c>
      <c r="AF29" s="2">
        <v>8601</v>
      </c>
      <c r="AG29" s="2">
        <v>8684</v>
      </c>
      <c r="AH29" s="2">
        <v>8895</v>
      </c>
      <c r="AJ29" s="5" t="s">
        <v>42</v>
      </c>
      <c r="AK29" s="6">
        <v>9891</v>
      </c>
      <c r="AL29" s="6">
        <v>9642</v>
      </c>
      <c r="AM29" s="6">
        <v>9421</v>
      </c>
      <c r="AN29" s="6">
        <v>8929</v>
      </c>
      <c r="AO29" s="6">
        <v>8583</v>
      </c>
      <c r="AP29" s="6">
        <v>7758</v>
      </c>
      <c r="AQ29" s="6">
        <v>6046</v>
      </c>
      <c r="AR29" s="6">
        <v>5296</v>
      </c>
      <c r="AS29" s="6">
        <v>9218</v>
      </c>
      <c r="AT29" s="6">
        <v>26216</v>
      </c>
      <c r="AU29" s="6">
        <v>26113</v>
      </c>
      <c r="AV29" s="6">
        <v>26090</v>
      </c>
      <c r="AW29" s="6">
        <v>26377</v>
      </c>
    </row>
    <row r="30" spans="2:91">
      <c r="B30" s="1" t="s">
        <v>34</v>
      </c>
      <c r="C30" s="2">
        <f>SUM(AY19:CM19)</f>
        <v>5889</v>
      </c>
      <c r="D30" s="3">
        <f t="shared" si="1"/>
        <v>5.8890000000000001E-3</v>
      </c>
      <c r="F30" s="5" t="s">
        <v>43</v>
      </c>
      <c r="G30" s="2">
        <v>53032</v>
      </c>
      <c r="H30" s="2">
        <v>76540</v>
      </c>
      <c r="I30" s="2">
        <v>76929</v>
      </c>
      <c r="J30" s="2">
        <v>77185</v>
      </c>
      <c r="K30" s="2">
        <v>77001</v>
      </c>
      <c r="L30" s="2">
        <v>76901</v>
      </c>
      <c r="M30" s="2">
        <v>76901</v>
      </c>
      <c r="N30" s="2">
        <v>77193</v>
      </c>
      <c r="O30" s="2">
        <v>77239</v>
      </c>
      <c r="P30" s="2">
        <v>71034</v>
      </c>
      <c r="Q30" s="2">
        <v>70230</v>
      </c>
      <c r="R30" s="2">
        <v>70796</v>
      </c>
      <c r="S30" s="2">
        <v>71388</v>
      </c>
      <c r="U30" s="1" t="s">
        <v>43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J30" s="5" t="s">
        <v>43</v>
      </c>
      <c r="AK30" s="2">
        <v>23720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5897</v>
      </c>
      <c r="AU30" s="2">
        <v>5868</v>
      </c>
      <c r="AV30" s="2">
        <v>6006</v>
      </c>
      <c r="AW30" s="2">
        <v>6140</v>
      </c>
    </row>
    <row r="31" spans="2:91">
      <c r="B31" s="1" t="s">
        <v>35</v>
      </c>
      <c r="C31" s="2">
        <f>SUM(AY20:CM20)</f>
        <v>12028</v>
      </c>
      <c r="D31" s="3">
        <f t="shared" si="1"/>
        <v>1.2028E-2</v>
      </c>
    </row>
    <row r="32" spans="2:91">
      <c r="B32" s="1" t="s">
        <v>36</v>
      </c>
      <c r="C32" s="2">
        <f>SUM(AY21:CM21)</f>
        <v>11753</v>
      </c>
      <c r="D32" s="3">
        <f t="shared" si="1"/>
        <v>1.1753E-2</v>
      </c>
      <c r="F32" s="20" t="s">
        <v>44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U32" s="20" t="s">
        <v>45</v>
      </c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J32" s="20" t="s">
        <v>46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2:49">
      <c r="B33" s="1" t="s">
        <v>37</v>
      </c>
      <c r="C33" s="2">
        <f>SUM(AY22:CM22)</f>
        <v>11811</v>
      </c>
      <c r="D33" s="3">
        <f t="shared" si="1"/>
        <v>1.1811E-2</v>
      </c>
      <c r="F33" s="17"/>
      <c r="G33" s="17" t="s">
        <v>5</v>
      </c>
      <c r="H33" s="17">
        <v>2</v>
      </c>
      <c r="I33" s="17">
        <v>3</v>
      </c>
      <c r="J33" s="17">
        <v>4</v>
      </c>
      <c r="K33" s="17">
        <v>5</v>
      </c>
      <c r="L33" s="17">
        <v>6</v>
      </c>
      <c r="M33" s="17">
        <v>7</v>
      </c>
      <c r="N33" s="17">
        <v>8</v>
      </c>
      <c r="O33" s="17">
        <v>9</v>
      </c>
      <c r="P33" s="17">
        <v>10</v>
      </c>
      <c r="Q33" s="17" t="s">
        <v>6</v>
      </c>
      <c r="R33" s="17" t="s">
        <v>7</v>
      </c>
      <c r="S33" s="17" t="s">
        <v>8</v>
      </c>
      <c r="U33" s="17"/>
      <c r="V33" s="17" t="s">
        <v>5</v>
      </c>
      <c r="W33" s="17">
        <v>2</v>
      </c>
      <c r="X33" s="17">
        <v>3</v>
      </c>
      <c r="Y33" s="17">
        <v>4</v>
      </c>
      <c r="Z33" s="17">
        <v>5</v>
      </c>
      <c r="AA33" s="17">
        <v>6</v>
      </c>
      <c r="AB33" s="17">
        <v>7</v>
      </c>
      <c r="AC33" s="17">
        <v>8</v>
      </c>
      <c r="AD33" s="17">
        <v>9</v>
      </c>
      <c r="AE33" s="17">
        <v>10</v>
      </c>
      <c r="AF33" s="17" t="s">
        <v>6</v>
      </c>
      <c r="AG33" s="17" t="s">
        <v>7</v>
      </c>
      <c r="AH33" s="17" t="s">
        <v>8</v>
      </c>
      <c r="AJ33" s="17"/>
      <c r="AK33" s="17" t="s">
        <v>5</v>
      </c>
      <c r="AL33" s="17">
        <v>2</v>
      </c>
      <c r="AM33" s="17">
        <v>3</v>
      </c>
      <c r="AN33" s="17">
        <v>4</v>
      </c>
      <c r="AO33" s="17">
        <v>5</v>
      </c>
      <c r="AP33" s="17">
        <v>6</v>
      </c>
      <c r="AQ33" s="17">
        <v>7</v>
      </c>
      <c r="AR33" s="17">
        <v>8</v>
      </c>
      <c r="AS33" s="17">
        <v>9</v>
      </c>
      <c r="AT33" s="17">
        <v>10</v>
      </c>
      <c r="AU33" s="17" t="s">
        <v>6</v>
      </c>
      <c r="AV33" s="17" t="s">
        <v>7</v>
      </c>
      <c r="AW33" s="17" t="s">
        <v>8</v>
      </c>
    </row>
    <row r="34" spans="2:49">
      <c r="B34" s="1" t="s">
        <v>38</v>
      </c>
      <c r="C34" s="2">
        <f>SUM(AY23:CM23)</f>
        <v>11955</v>
      </c>
      <c r="D34" s="3">
        <f t="shared" si="1"/>
        <v>1.1955E-2</v>
      </c>
      <c r="F34" s="1" t="s">
        <v>10</v>
      </c>
      <c r="G34" s="3">
        <f t="shared" ref="G34:G44" si="2">G4/SUM(G4,V4,AK4)</f>
        <v>0.21991615072102591</v>
      </c>
      <c r="H34" s="3">
        <f t="shared" ref="H34:H44" si="3">H4/SUM(H4,W4,AL4)</f>
        <v>0.36985141874910471</v>
      </c>
      <c r="I34" s="3">
        <f t="shared" ref="I34:I44" si="4">I4/SUM(I4,X4,AM4)</f>
        <v>0.37815564364698517</v>
      </c>
      <c r="J34" s="3">
        <f t="shared" ref="J34:J44" si="5">J4/SUM(J4,Y4,AN4)</f>
        <v>0.38306808134394343</v>
      </c>
      <c r="K34" s="3">
        <f t="shared" ref="K34:K44" si="6">K4/SUM(K4,Z4,AO4)</f>
        <v>0.3907842499186463</v>
      </c>
      <c r="L34" s="3">
        <f t="shared" ref="L34:L44" si="7">L4/SUM(L4,AA4,AP4)</f>
        <v>0.40458795081013282</v>
      </c>
      <c r="M34" s="3">
        <f t="shared" ref="M34:M44" si="8">M4/SUM(M4,AB4,AQ4)</f>
        <v>0.40748294900941862</v>
      </c>
      <c r="N34" s="3">
        <f t="shared" ref="N34:N44" si="9">N4/SUM(N4,AC4,AR4)</f>
        <v>0.37423296829820363</v>
      </c>
      <c r="O34" s="3">
        <f t="shared" ref="O34:O44" si="10">O4/SUM(O4,AD4,AS4)</f>
        <v>0.33465020789347566</v>
      </c>
      <c r="P34" s="3">
        <f t="shared" ref="P34:P44" si="11">P4/SUM(P4,AE4,AT4)</f>
        <v>0.28721893796628545</v>
      </c>
      <c r="Q34" s="3">
        <f t="shared" ref="Q34:Q44" si="12">Q4/SUM(Q4,AF4,AU4)</f>
        <v>0.28599926984458118</v>
      </c>
      <c r="R34" s="3">
        <f t="shared" ref="R34:R44" si="13">R4/SUM(R4,AG4,AV4)</f>
        <v>0.2850022832539631</v>
      </c>
      <c r="S34" s="3">
        <f t="shared" ref="S34:S44" si="14">S4/SUM(S4,AH4,AW4)</f>
        <v>0.28580521133712622</v>
      </c>
      <c r="U34" s="1" t="s">
        <v>10</v>
      </c>
      <c r="V34" s="3">
        <f t="shared" ref="V34:V44" si="15">V4/SUM(G4,V4,AK4)</f>
        <v>0.71053827083576704</v>
      </c>
      <c r="W34" s="3">
        <f t="shared" ref="W34:W44" si="16">W4/SUM(H4,W4,AL4)</f>
        <v>0.55162579922649202</v>
      </c>
      <c r="X34" s="3">
        <f t="shared" ref="X34:X44" si="17">X4/SUM(I4,X4,AM4)</f>
        <v>0.54567859378259964</v>
      </c>
      <c r="Y34" s="3">
        <f t="shared" ref="Y34:Y44" si="18">Y4/SUM(J4,Y4,AN4)</f>
        <v>0.5439616164768295</v>
      </c>
      <c r="Z34" s="3">
        <f t="shared" ref="Z34:Z44" si="19">Z4/SUM(K4,Z4,AO4)</f>
        <v>0.53934266189391478</v>
      </c>
      <c r="AA34" s="3">
        <f t="shared" ref="AA34:AA44" si="20">AA4/SUM(L4,AA4,AP4)</f>
        <v>0.52497640076034813</v>
      </c>
      <c r="AB34" s="3">
        <f t="shared" ref="AB34:AB44" si="21">AB4/SUM(M4,AB4,AQ4)</f>
        <v>0.49883728483273793</v>
      </c>
      <c r="AC34" s="3">
        <f t="shared" ref="AC34:AC44" si="22">AC4/SUM(N4,AC4,AR4)</f>
        <v>0.53241485784563858</v>
      </c>
      <c r="AD34" s="3">
        <f t="shared" ref="AD34:AD44" si="23">AD4/SUM(O4,AD4,AS4)</f>
        <v>0.57214097897750082</v>
      </c>
      <c r="AE34" s="3">
        <f t="shared" ref="AE34:AE44" si="24">AE4/SUM(P4,AE4,AT4)</f>
        <v>0.6276170069958954</v>
      </c>
      <c r="AF34" s="3">
        <f t="shared" ref="AF34:AF44" si="25">AF4/SUM(Q4,AF4,AU4)</f>
        <v>0.62711223531866067</v>
      </c>
      <c r="AG34" s="3">
        <f t="shared" ref="AG34:AG44" si="26">AG4/SUM(R4,AG4,AV4)</f>
        <v>0.62719029290886552</v>
      </c>
      <c r="AH34" s="3">
        <f t="shared" ref="AH34:AH44" si="27">AH4/SUM(S4,AH4,AW4)</f>
        <v>0.62862078819525624</v>
      </c>
      <c r="AJ34" s="1" t="s">
        <v>10</v>
      </c>
      <c r="AK34" s="3">
        <f t="shared" ref="AK34:AK44" si="28">AK4/SUM(G4,V4,AK4)</f>
        <v>6.9545578443207037E-2</v>
      </c>
      <c r="AL34" s="3">
        <f t="shared" ref="AL34:AL44" si="29">AL4/SUM(H4,W4,AL4)</f>
        <v>7.852278202440327E-2</v>
      </c>
      <c r="AM34" s="3">
        <f t="shared" ref="AM34:AM44" si="30">AM4/SUM(I4,X4,AM4)</f>
        <v>7.6165762570415185E-2</v>
      </c>
      <c r="AN34" s="3">
        <f t="shared" ref="AN34:AN44" si="31">AN4/SUM(J4,Y4,AN4)</f>
        <v>7.2970302179227134E-2</v>
      </c>
      <c r="AO34" s="3">
        <f t="shared" ref="AO34:AO44" si="32">AO4/SUM(K4,Z4,AO4)</f>
        <v>6.9873088187438981E-2</v>
      </c>
      <c r="AP34" s="3">
        <f t="shared" ref="AP34:AP44" si="33">AP4/SUM(L4,AA4,AP4)</f>
        <v>7.043564842951909E-2</v>
      </c>
      <c r="AQ34" s="3">
        <f t="shared" ref="AQ34:AQ44" si="34">AQ4/SUM(M4,AB4,AQ4)</f>
        <v>9.3679766157843458E-2</v>
      </c>
      <c r="AR34" s="3">
        <f t="shared" ref="AR34:AR44" si="35">AR4/SUM(N4,AC4,AR4)</f>
        <v>9.3352173856157836E-2</v>
      </c>
      <c r="AS34" s="3">
        <f t="shared" ref="AS34:AS44" si="36">AS4/SUM(O4,AD4,AS4)</f>
        <v>9.3208813129023488E-2</v>
      </c>
      <c r="AT34" s="3">
        <f t="shared" ref="AT34:AT44" si="37">AT4/SUM(P4,AE4,AT4)</f>
        <v>8.5164055037819139E-2</v>
      </c>
      <c r="AU34" s="3">
        <f t="shared" ref="AU34:AU44" si="38">AU4/SUM(Q4,AF4,AU4)</f>
        <v>8.6888494836758104E-2</v>
      </c>
      <c r="AV34" s="3">
        <f t="shared" ref="AV34:AV44" si="39">AV4/SUM(R4,AG4,AV4)</f>
        <v>8.7807423837171369E-2</v>
      </c>
      <c r="AW34" s="3">
        <f t="shared" ref="AW34:AW44" si="40">AW4/SUM(S4,AH4,AW4)</f>
        <v>8.5574000467617484E-2</v>
      </c>
    </row>
    <row r="35" spans="2:49">
      <c r="B35" s="1" t="s">
        <v>39</v>
      </c>
      <c r="C35" s="2">
        <f>SUM(AY24:CM24)</f>
        <v>12033</v>
      </c>
      <c r="D35" s="3">
        <f t="shared" si="1"/>
        <v>1.2033E-2</v>
      </c>
      <c r="F35" s="1" t="s">
        <v>12</v>
      </c>
      <c r="G35" s="3">
        <f t="shared" si="2"/>
        <v>0.2124254499049405</v>
      </c>
      <c r="H35" s="3">
        <f t="shared" si="3"/>
        <v>0.3555837132444189</v>
      </c>
      <c r="I35" s="3">
        <f t="shared" si="4"/>
        <v>0.36813457401311528</v>
      </c>
      <c r="J35" s="3">
        <f t="shared" si="5"/>
        <v>0.3724806453711535</v>
      </c>
      <c r="K35" s="3">
        <f t="shared" si="6"/>
        <v>0.38175331294597348</v>
      </c>
      <c r="L35" s="3">
        <f t="shared" si="7"/>
        <v>0.39522511832892182</v>
      </c>
      <c r="M35" s="3">
        <f t="shared" si="8"/>
        <v>0.39538168482979358</v>
      </c>
      <c r="N35" s="3">
        <f t="shared" si="9"/>
        <v>0.35760399854219815</v>
      </c>
      <c r="O35" s="3">
        <f t="shared" si="10"/>
        <v>0.3183540457008367</v>
      </c>
      <c r="P35" s="3">
        <f t="shared" si="11"/>
        <v>0.2766167218006097</v>
      </c>
      <c r="Q35" s="3">
        <f t="shared" si="12"/>
        <v>0.27588040728970753</v>
      </c>
      <c r="R35" s="3">
        <f t="shared" si="13"/>
        <v>0.27717970720545027</v>
      </c>
      <c r="S35" s="3">
        <f t="shared" si="14"/>
        <v>0.27461267742815215</v>
      </c>
      <c r="U35" s="1" t="s">
        <v>12</v>
      </c>
      <c r="V35" s="3">
        <f t="shared" si="15"/>
        <v>0.72032971325884831</v>
      </c>
      <c r="W35" s="3">
        <f t="shared" si="16"/>
        <v>0.56861259519548546</v>
      </c>
      <c r="X35" s="3">
        <f t="shared" si="17"/>
        <v>0.55883725149685082</v>
      </c>
      <c r="Y35" s="3">
        <f t="shared" si="18"/>
        <v>0.55849326654088871</v>
      </c>
      <c r="Z35" s="3">
        <f t="shared" si="19"/>
        <v>0.54977913693510028</v>
      </c>
      <c r="AA35" s="3">
        <f t="shared" si="20"/>
        <v>0.53746756548837571</v>
      </c>
      <c r="AB35" s="3">
        <f t="shared" si="21"/>
        <v>0.51638568892459602</v>
      </c>
      <c r="AC35" s="3">
        <f t="shared" si="22"/>
        <v>0.54817254126099857</v>
      </c>
      <c r="AD35" s="3">
        <f t="shared" si="23"/>
        <v>0.59034773500239235</v>
      </c>
      <c r="AE35" s="3">
        <f t="shared" si="24"/>
        <v>0.64124018940131022</v>
      </c>
      <c r="AF35" s="3">
        <f t="shared" si="25"/>
        <v>0.64102730397561447</v>
      </c>
      <c r="AG35" s="3">
        <f t="shared" si="26"/>
        <v>0.63883038198507425</v>
      </c>
      <c r="AH35" s="3">
        <f t="shared" si="27"/>
        <v>0.64313078711219041</v>
      </c>
      <c r="AJ35" s="1" t="s">
        <v>12</v>
      </c>
      <c r="AK35" s="3">
        <f t="shared" si="28"/>
        <v>6.7244836836211158E-2</v>
      </c>
      <c r="AL35" s="3">
        <f t="shared" si="29"/>
        <v>7.5803691560095615E-2</v>
      </c>
      <c r="AM35" s="3">
        <f t="shared" si="30"/>
        <v>7.3028174490033959E-2</v>
      </c>
      <c r="AN35" s="3">
        <f t="shared" si="31"/>
        <v>6.9026088087957849E-2</v>
      </c>
      <c r="AO35" s="3">
        <f t="shared" si="32"/>
        <v>6.846755011892626E-2</v>
      </c>
      <c r="AP35" s="3">
        <f t="shared" si="33"/>
        <v>6.7307316182702456E-2</v>
      </c>
      <c r="AQ35" s="3">
        <f t="shared" si="34"/>
        <v>8.8232626245610402E-2</v>
      </c>
      <c r="AR35" s="3">
        <f t="shared" si="35"/>
        <v>9.4223460196803249E-2</v>
      </c>
      <c r="AS35" s="3">
        <f t="shared" si="36"/>
        <v>9.1298219296770941E-2</v>
      </c>
      <c r="AT35" s="3">
        <f t="shared" si="37"/>
        <v>8.2143088798080036E-2</v>
      </c>
      <c r="AU35" s="3">
        <f t="shared" si="38"/>
        <v>8.3092288734677999E-2</v>
      </c>
      <c r="AV35" s="3">
        <f t="shared" si="39"/>
        <v>8.3989910809475515E-2</v>
      </c>
      <c r="AW35" s="3">
        <f t="shared" si="40"/>
        <v>8.2256535459657415E-2</v>
      </c>
    </row>
    <row r="36" spans="2:49">
      <c r="B36" s="1" t="s">
        <v>40</v>
      </c>
      <c r="C36" s="2">
        <f>SUM(AY25:CM25)</f>
        <v>11684</v>
      </c>
      <c r="D36" s="3">
        <f t="shared" si="1"/>
        <v>1.1684E-2</v>
      </c>
      <c r="F36" s="1" t="s">
        <v>14</v>
      </c>
      <c r="G36" s="3">
        <f t="shared" si="2"/>
        <v>0.19622077922077921</v>
      </c>
      <c r="H36" s="3">
        <f t="shared" si="3"/>
        <v>0.34211004412146379</v>
      </c>
      <c r="I36" s="3">
        <f t="shared" si="4"/>
        <v>0.34743277239725223</v>
      </c>
      <c r="J36" s="3">
        <f t="shared" si="5"/>
        <v>0.35208129763533319</v>
      </c>
      <c r="K36" s="3">
        <f t="shared" si="6"/>
        <v>0.3622940992493745</v>
      </c>
      <c r="L36" s="3">
        <f t="shared" si="7"/>
        <v>0.37943494540598571</v>
      </c>
      <c r="M36" s="3">
        <f t="shared" si="8"/>
        <v>0.37036554205558742</v>
      </c>
      <c r="N36" s="3">
        <f t="shared" si="9"/>
        <v>0.33714241293532338</v>
      </c>
      <c r="O36" s="3">
        <f t="shared" si="10"/>
        <v>0.29804636018295994</v>
      </c>
      <c r="P36" s="3">
        <f t="shared" si="11"/>
        <v>0.25812046056148863</v>
      </c>
      <c r="Q36" s="3">
        <f t="shared" si="12"/>
        <v>0.26185342028006547</v>
      </c>
      <c r="R36" s="3">
        <f t="shared" si="13"/>
        <v>0.26108457286367109</v>
      </c>
      <c r="S36" s="3">
        <f t="shared" si="14"/>
        <v>0.2551525678583465</v>
      </c>
      <c r="U36" s="1" t="s">
        <v>14</v>
      </c>
      <c r="V36" s="3">
        <f t="shared" si="15"/>
        <v>0.73531168831168836</v>
      </c>
      <c r="W36" s="3">
        <f t="shared" si="16"/>
        <v>0.58235141448222161</v>
      </c>
      <c r="X36" s="3">
        <f t="shared" si="17"/>
        <v>0.58056232647262018</v>
      </c>
      <c r="Y36" s="3">
        <f t="shared" si="18"/>
        <v>0.57928473715067419</v>
      </c>
      <c r="Z36" s="3">
        <f t="shared" si="19"/>
        <v>0.57048842785654708</v>
      </c>
      <c r="AA36" s="3">
        <f t="shared" si="20"/>
        <v>0.55170066245974181</v>
      </c>
      <c r="AB36" s="3">
        <f t="shared" si="21"/>
        <v>0.53132658914324449</v>
      </c>
      <c r="AC36" s="3">
        <f t="shared" si="22"/>
        <v>0.57489894278606968</v>
      </c>
      <c r="AD36" s="3">
        <f t="shared" si="23"/>
        <v>0.61454376308240954</v>
      </c>
      <c r="AE36" s="3">
        <f t="shared" si="24"/>
        <v>0.66069449334324348</v>
      </c>
      <c r="AF36" s="3">
        <f t="shared" si="25"/>
        <v>0.65777714270868515</v>
      </c>
      <c r="AG36" s="3">
        <f t="shared" si="26"/>
        <v>0.65967610392636611</v>
      </c>
      <c r="AH36" s="3">
        <f t="shared" si="27"/>
        <v>0.66387110154771467</v>
      </c>
      <c r="AJ36" s="1" t="s">
        <v>14</v>
      </c>
      <c r="AK36" s="3">
        <f t="shared" si="28"/>
        <v>6.8467532467532469E-2</v>
      </c>
      <c r="AL36" s="3">
        <f t="shared" si="29"/>
        <v>7.5538541396314565E-2</v>
      </c>
      <c r="AM36" s="3">
        <f t="shared" si="30"/>
        <v>7.2004901130127613E-2</v>
      </c>
      <c r="AN36" s="3">
        <f t="shared" si="31"/>
        <v>6.8633965213992579E-2</v>
      </c>
      <c r="AO36" s="3">
        <f t="shared" si="32"/>
        <v>6.7217472894078395E-2</v>
      </c>
      <c r="AP36" s="3">
        <f t="shared" si="33"/>
        <v>6.8864392134272479E-2</v>
      </c>
      <c r="AQ36" s="3">
        <f t="shared" si="34"/>
        <v>9.8307868801168069E-2</v>
      </c>
      <c r="AR36" s="3">
        <f t="shared" si="35"/>
        <v>8.7958644278606959E-2</v>
      </c>
      <c r="AS36" s="3">
        <f t="shared" si="36"/>
        <v>8.740987673463059E-2</v>
      </c>
      <c r="AT36" s="3">
        <f t="shared" si="37"/>
        <v>8.1185046095267902E-2</v>
      </c>
      <c r="AU36" s="3">
        <f t="shared" si="38"/>
        <v>8.0369437011249378E-2</v>
      </c>
      <c r="AV36" s="3">
        <f t="shared" si="39"/>
        <v>7.9239323209962853E-2</v>
      </c>
      <c r="AW36" s="3">
        <f t="shared" si="40"/>
        <v>8.0976330593938772E-2</v>
      </c>
    </row>
    <row r="37" spans="2:49">
      <c r="B37" s="1" t="s">
        <v>41</v>
      </c>
      <c r="C37" s="2">
        <f>SUM(AY26:CM26)</f>
        <v>12003</v>
      </c>
      <c r="D37" s="3">
        <f t="shared" si="1"/>
        <v>1.2003E-2</v>
      </c>
      <c r="F37" s="1" t="s">
        <v>16</v>
      </c>
      <c r="G37" s="3">
        <f t="shared" si="2"/>
        <v>0.19239408457653306</v>
      </c>
      <c r="H37" s="3">
        <f t="shared" si="3"/>
        <v>0.37046595352078143</v>
      </c>
      <c r="I37" s="3">
        <f t="shared" si="4"/>
        <v>0.38094492299660665</v>
      </c>
      <c r="J37" s="3">
        <f t="shared" si="5"/>
        <v>0.39769584050936796</v>
      </c>
      <c r="K37" s="3">
        <f t="shared" si="6"/>
        <v>0.40901407723771305</v>
      </c>
      <c r="L37" s="3">
        <f t="shared" si="7"/>
        <v>0.41969965923372937</v>
      </c>
      <c r="M37" s="3">
        <f t="shared" si="8"/>
        <v>0.38001677720397409</v>
      </c>
      <c r="N37" s="3">
        <f t="shared" si="9"/>
        <v>0.33427028433860367</v>
      </c>
      <c r="O37" s="3">
        <f t="shared" si="10"/>
        <v>0.30340300211471349</v>
      </c>
      <c r="P37" s="3">
        <f t="shared" si="11"/>
        <v>0.26647441642960135</v>
      </c>
      <c r="Q37" s="3">
        <f t="shared" si="12"/>
        <v>0.26521773162522505</v>
      </c>
      <c r="R37" s="3">
        <f t="shared" si="13"/>
        <v>0.2657083176563696</v>
      </c>
      <c r="S37" s="3">
        <f t="shared" si="14"/>
        <v>0.26630378028404345</v>
      </c>
      <c r="U37" s="1" t="s">
        <v>16</v>
      </c>
      <c r="V37" s="3">
        <f t="shared" si="15"/>
        <v>0.71690102442254511</v>
      </c>
      <c r="W37" s="3">
        <f t="shared" si="16"/>
        <v>0.53034311005587309</v>
      </c>
      <c r="X37" s="3">
        <f t="shared" si="17"/>
        <v>0.52388410336726698</v>
      </c>
      <c r="Y37" s="3">
        <f t="shared" si="18"/>
        <v>0.50961588643598976</v>
      </c>
      <c r="Z37" s="3">
        <f>Z7/SUM(K7,Z7,AO7)</f>
        <v>0.5030515735280835</v>
      </c>
      <c r="AA37" s="3">
        <f t="shared" si="20"/>
        <v>0.48118011376151543</v>
      </c>
      <c r="AB37" s="3">
        <f t="shared" si="21"/>
        <v>0.44885574226020397</v>
      </c>
      <c r="AC37" s="3">
        <f t="shared" si="22"/>
        <v>0.54721842670310361</v>
      </c>
      <c r="AD37" s="3">
        <f t="shared" si="23"/>
        <v>0.59335227493869924</v>
      </c>
      <c r="AE37" s="3">
        <f t="shared" si="24"/>
        <v>0.6371406674200798</v>
      </c>
      <c r="AF37" s="3">
        <f t="shared" si="25"/>
        <v>0.63936650403110074</v>
      </c>
      <c r="AG37" s="3">
        <f t="shared" si="26"/>
        <v>0.63906223646483384</v>
      </c>
      <c r="AH37" s="3">
        <f t="shared" si="27"/>
        <v>0.63895415622389307</v>
      </c>
      <c r="AJ37" s="1" t="s">
        <v>16</v>
      </c>
      <c r="AK37" s="3">
        <f t="shared" si="28"/>
        <v>9.0704891000921856E-2</v>
      </c>
      <c r="AL37" s="3">
        <f t="shared" si="29"/>
        <v>9.9190936423345422E-2</v>
      </c>
      <c r="AM37" s="3">
        <f t="shared" si="30"/>
        <v>9.5170973636126338E-2</v>
      </c>
      <c r="AN37" s="3">
        <f t="shared" si="31"/>
        <v>9.2688273054642237E-2</v>
      </c>
      <c r="AO37" s="3">
        <f t="shared" si="32"/>
        <v>8.7934349234203429E-2</v>
      </c>
      <c r="AP37" s="3">
        <f t="shared" si="33"/>
        <v>9.9120227004755174E-2</v>
      </c>
      <c r="AQ37" s="3">
        <f t="shared" si="34"/>
        <v>0.17112748053582194</v>
      </c>
      <c r="AR37" s="3">
        <f t="shared" si="35"/>
        <v>0.11851128895829267</v>
      </c>
      <c r="AS37" s="3">
        <f t="shared" si="36"/>
        <v>0.10324472294658726</v>
      </c>
      <c r="AT37" s="3">
        <f t="shared" si="37"/>
        <v>9.6384916150318897E-2</v>
      </c>
      <c r="AU37" s="3">
        <f t="shared" si="38"/>
        <v>9.5415764343674173E-2</v>
      </c>
      <c r="AV37" s="3">
        <f t="shared" si="39"/>
        <v>9.5229445878796531E-2</v>
      </c>
      <c r="AW37" s="3">
        <f t="shared" si="40"/>
        <v>9.4742063492063489E-2</v>
      </c>
    </row>
    <row r="38" spans="2:49">
      <c r="B38" s="1" t="s">
        <v>42</v>
      </c>
      <c r="C38" s="2">
        <f>SUM(AY27:CM27)</f>
        <v>11825</v>
      </c>
      <c r="D38" s="3">
        <f t="shared" si="1"/>
        <v>1.1825E-2</v>
      </c>
      <c r="F38" s="1" t="s">
        <v>18</v>
      </c>
      <c r="G38" s="3">
        <f t="shared" si="2"/>
        <v>0.2318834936334255</v>
      </c>
      <c r="H38" s="3">
        <f t="shared" si="3"/>
        <v>0.41649565387883147</v>
      </c>
      <c r="I38" s="3">
        <f t="shared" si="4"/>
        <v>0.42709539734797713</v>
      </c>
      <c r="J38" s="3">
        <f t="shared" si="5"/>
        <v>0.43668957975316358</v>
      </c>
      <c r="K38" s="3">
        <f t="shared" si="6"/>
        <v>0.44907437521953503</v>
      </c>
      <c r="L38" s="3">
        <f t="shared" si="7"/>
        <v>0.47359600919755251</v>
      </c>
      <c r="M38" s="3">
        <f t="shared" si="8"/>
        <v>0.481340628921055</v>
      </c>
      <c r="N38" s="3">
        <f t="shared" si="9"/>
        <v>0.38459648850619294</v>
      </c>
      <c r="O38" s="3">
        <f t="shared" si="10"/>
        <v>0.33651389540643412</v>
      </c>
      <c r="P38" s="3">
        <f t="shared" si="11"/>
        <v>0.30032238434946984</v>
      </c>
      <c r="Q38" s="3">
        <f t="shared" si="12"/>
        <v>0.30050534575262738</v>
      </c>
      <c r="R38" s="3">
        <f t="shared" si="13"/>
        <v>0.29880717523941419</v>
      </c>
      <c r="S38" s="3">
        <f t="shared" si="14"/>
        <v>0.29945981125935567</v>
      </c>
      <c r="U38" s="1" t="s">
        <v>18</v>
      </c>
      <c r="V38" s="3">
        <f t="shared" si="15"/>
        <v>0.67553184585231629</v>
      </c>
      <c r="W38" s="3">
        <f t="shared" si="16"/>
        <v>0.48456963597150515</v>
      </c>
      <c r="X38" s="3">
        <f t="shared" si="17"/>
        <v>0.47498275794761019</v>
      </c>
      <c r="Y38" s="3">
        <f t="shared" si="18"/>
        <v>0.4687418632505338</v>
      </c>
      <c r="Z38" s="3">
        <f t="shared" si="19"/>
        <v>0.45962506667360503</v>
      </c>
      <c r="AA38" s="3">
        <f t="shared" si="20"/>
        <v>0.43962482299907762</v>
      </c>
      <c r="AB38" s="3">
        <f t="shared" si="21"/>
        <v>0.40085632607655192</v>
      </c>
      <c r="AC38" s="3">
        <f t="shared" si="22"/>
        <v>0.4442763685258449</v>
      </c>
      <c r="AD38" s="3">
        <f t="shared" si="23"/>
        <v>0.54742165910631424</v>
      </c>
      <c r="AE38" s="3">
        <f t="shared" si="24"/>
        <v>0.60301409946010331</v>
      </c>
      <c r="AF38" s="3">
        <f t="shared" si="25"/>
        <v>0.60486898684022505</v>
      </c>
      <c r="AG38" s="3">
        <f t="shared" si="26"/>
        <v>0.60527037796736394</v>
      </c>
      <c r="AH38" s="3">
        <f t="shared" si="27"/>
        <v>0.60600065082980803</v>
      </c>
      <c r="AJ38" s="1" t="s">
        <v>18</v>
      </c>
      <c r="AK38" s="3">
        <f t="shared" si="28"/>
        <v>9.2584660514258274E-2</v>
      </c>
      <c r="AL38" s="3">
        <f t="shared" si="29"/>
        <v>9.8934710149663416E-2</v>
      </c>
      <c r="AM38" s="3">
        <f t="shared" si="30"/>
        <v>9.7921844704412661E-2</v>
      </c>
      <c r="AN38" s="3">
        <f t="shared" si="31"/>
        <v>9.4568556996302663E-2</v>
      </c>
      <c r="AO38" s="3">
        <f t="shared" si="32"/>
        <v>9.13005581068599E-2</v>
      </c>
      <c r="AP38" s="3">
        <f t="shared" si="33"/>
        <v>8.6779167803369833E-2</v>
      </c>
      <c r="AQ38" s="3">
        <f t="shared" si="34"/>
        <v>0.11780304500239305</v>
      </c>
      <c r="AR38" s="3">
        <f t="shared" si="35"/>
        <v>0.17112714296796214</v>
      </c>
      <c r="AS38" s="3">
        <f t="shared" si="36"/>
        <v>0.11606444548725169</v>
      </c>
      <c r="AT38" s="3">
        <f t="shared" si="37"/>
        <v>9.6663516190426874E-2</v>
      </c>
      <c r="AU38" s="3">
        <f t="shared" si="38"/>
        <v>9.462566740714759E-2</v>
      </c>
      <c r="AV38" s="3">
        <f t="shared" si="39"/>
        <v>9.5922446793221927E-2</v>
      </c>
      <c r="AW38" s="3">
        <f t="shared" si="40"/>
        <v>9.4539537910836316E-2</v>
      </c>
    </row>
    <row r="39" spans="2:49">
      <c r="B39" s="1" t="s">
        <v>43</v>
      </c>
      <c r="C39" s="2">
        <f>SUM(AY28:CM28)</f>
        <v>47509</v>
      </c>
      <c r="D39" s="3">
        <f t="shared" si="1"/>
        <v>4.7509000000000003E-2</v>
      </c>
      <c r="F39" s="1" t="s">
        <v>20</v>
      </c>
      <c r="G39" s="3">
        <f t="shared" si="2"/>
        <v>0.27249593096855868</v>
      </c>
      <c r="H39" s="3">
        <f t="shared" si="3"/>
        <v>0.46896982960762856</v>
      </c>
      <c r="I39" s="3">
        <f t="shared" si="4"/>
        <v>0.4767478315393458</v>
      </c>
      <c r="J39" s="3">
        <f t="shared" si="5"/>
        <v>0.48428311215196462</v>
      </c>
      <c r="K39" s="3">
        <f t="shared" si="6"/>
        <v>0.49356379586364879</v>
      </c>
      <c r="L39" s="3">
        <f t="shared" si="7"/>
        <v>0.51657637574846416</v>
      </c>
      <c r="M39" s="3">
        <f t="shared" si="8"/>
        <v>0.53581154151845622</v>
      </c>
      <c r="N39" s="3">
        <f t="shared" si="9"/>
        <v>0.49253362470407658</v>
      </c>
      <c r="O39" s="3">
        <f t="shared" si="10"/>
        <v>0.38647512263489842</v>
      </c>
      <c r="P39" s="3">
        <f t="shared" si="11"/>
        <v>0.33678534859305537</v>
      </c>
      <c r="Q39" s="3">
        <f t="shared" si="12"/>
        <v>0.33733731125499955</v>
      </c>
      <c r="R39" s="3">
        <f t="shared" si="13"/>
        <v>0.3390218820374637</v>
      </c>
      <c r="S39" s="3">
        <f t="shared" si="14"/>
        <v>0.33836763846503476</v>
      </c>
      <c r="U39" s="1" t="s">
        <v>20</v>
      </c>
      <c r="V39" s="3">
        <f t="shared" si="15"/>
        <v>0.62983439687911746</v>
      </c>
      <c r="W39" s="3">
        <f t="shared" si="16"/>
        <v>0.43167370121411081</v>
      </c>
      <c r="X39" s="3">
        <f t="shared" si="17"/>
        <v>0.42756557634026543</v>
      </c>
      <c r="Y39" s="3">
        <f t="shared" si="18"/>
        <v>0.42222222222222222</v>
      </c>
      <c r="Z39" s="3">
        <f t="shared" si="19"/>
        <v>0.41541825565201546</v>
      </c>
      <c r="AA39" s="3">
        <f t="shared" si="20"/>
        <v>0.39632960937297496</v>
      </c>
      <c r="AB39" s="3">
        <f t="shared" si="21"/>
        <v>0.36227182113121997</v>
      </c>
      <c r="AC39" s="3">
        <f t="shared" si="22"/>
        <v>0.39059288743203519</v>
      </c>
      <c r="AD39" s="3">
        <f t="shared" si="23"/>
        <v>0.44594980404370732</v>
      </c>
      <c r="AE39" s="3">
        <f t="shared" si="24"/>
        <v>0.55329021554573377</v>
      </c>
      <c r="AF39" s="3">
        <f t="shared" si="25"/>
        <v>0.55249684067902605</v>
      </c>
      <c r="AG39" s="3">
        <f t="shared" si="26"/>
        <v>0.55178922430064692</v>
      </c>
      <c r="AH39" s="3">
        <f t="shared" si="27"/>
        <v>0.55278228686448927</v>
      </c>
      <c r="AJ39" s="1" t="s">
        <v>20</v>
      </c>
      <c r="AK39" s="3">
        <f t="shared" si="28"/>
        <v>9.7669672152323875E-2</v>
      </c>
      <c r="AL39" s="3">
        <f t="shared" si="29"/>
        <v>9.9356469178260645E-2</v>
      </c>
      <c r="AM39" s="3">
        <f t="shared" si="30"/>
        <v>9.5686592120388755E-2</v>
      </c>
      <c r="AN39" s="3">
        <f t="shared" si="31"/>
        <v>9.349466562581317E-2</v>
      </c>
      <c r="AO39" s="3">
        <f t="shared" si="32"/>
        <v>9.1017948484335753E-2</v>
      </c>
      <c r="AP39" s="3">
        <f t="shared" si="33"/>
        <v>8.7094014878560874E-2</v>
      </c>
      <c r="AQ39" s="3">
        <f t="shared" si="34"/>
        <v>0.10191663735032379</v>
      </c>
      <c r="AR39" s="3">
        <f t="shared" si="35"/>
        <v>0.11687348786388824</v>
      </c>
      <c r="AS39" s="3">
        <f t="shared" si="36"/>
        <v>0.16757507332139426</v>
      </c>
      <c r="AT39" s="3">
        <f t="shared" si="37"/>
        <v>0.10992443586121084</v>
      </c>
      <c r="AU39" s="3">
        <f t="shared" si="38"/>
        <v>0.11016584806597444</v>
      </c>
      <c r="AV39" s="3">
        <f t="shared" si="39"/>
        <v>0.10918889366188933</v>
      </c>
      <c r="AW39" s="3">
        <f t="shared" si="40"/>
        <v>0.10885007467047594</v>
      </c>
    </row>
    <row r="40" spans="2:49">
      <c r="F40" s="1" t="s">
        <v>22</v>
      </c>
      <c r="G40" s="3">
        <f t="shared" si="2"/>
        <v>0.32642406093353299</v>
      </c>
      <c r="H40" s="3">
        <f t="shared" si="3"/>
        <v>0.52291844604912385</v>
      </c>
      <c r="I40" s="3">
        <f t="shared" si="4"/>
        <v>0.53151388582620995</v>
      </c>
      <c r="J40" s="3">
        <f t="shared" si="5"/>
        <v>0.53977191267513847</v>
      </c>
      <c r="K40" s="3">
        <f t="shared" si="6"/>
        <v>0.54661055593918151</v>
      </c>
      <c r="L40" s="3">
        <f t="shared" si="7"/>
        <v>0.56736089362146358</v>
      </c>
      <c r="M40" s="3">
        <f t="shared" si="8"/>
        <v>0.57725302451963512</v>
      </c>
      <c r="N40" s="3">
        <f t="shared" si="9"/>
        <v>0.54803366803727716</v>
      </c>
      <c r="O40" s="3">
        <f t="shared" si="10"/>
        <v>0.50249999999999995</v>
      </c>
      <c r="P40" s="3">
        <f t="shared" si="11"/>
        <v>0.39397961972435874</v>
      </c>
      <c r="Q40" s="3">
        <f t="shared" si="12"/>
        <v>0.3968531240630418</v>
      </c>
      <c r="R40" s="3">
        <f t="shared" si="13"/>
        <v>0.39465071219103476</v>
      </c>
      <c r="S40" s="3">
        <f t="shared" si="14"/>
        <v>0.39404051200500534</v>
      </c>
      <c r="U40" s="1" t="s">
        <v>22</v>
      </c>
      <c r="V40" s="3">
        <f t="shared" si="15"/>
        <v>0.57657704576524971</v>
      </c>
      <c r="W40" s="3">
        <f t="shared" si="16"/>
        <v>0.37669850143644695</v>
      </c>
      <c r="X40" s="3">
        <f t="shared" si="17"/>
        <v>0.37156421464983852</v>
      </c>
      <c r="Y40" s="3">
        <f t="shared" si="18"/>
        <v>0.36698598892147277</v>
      </c>
      <c r="Z40" s="3">
        <f t="shared" si="19"/>
        <v>0.36175784659883004</v>
      </c>
      <c r="AA40" s="3">
        <f t="shared" si="20"/>
        <v>0.34664369975989145</v>
      </c>
      <c r="AB40" s="3">
        <f t="shared" si="21"/>
        <v>0.32275344504108172</v>
      </c>
      <c r="AC40" s="3">
        <f t="shared" si="22"/>
        <v>0.35507405163635425</v>
      </c>
      <c r="AD40" s="3">
        <f t="shared" si="23"/>
        <v>0.38454663212435231</v>
      </c>
      <c r="AE40" s="3">
        <f t="shared" si="24"/>
        <v>0.44992777105376175</v>
      </c>
      <c r="AF40" s="3">
        <f t="shared" si="25"/>
        <v>0.44925760321205566</v>
      </c>
      <c r="AG40" s="3">
        <f t="shared" si="26"/>
        <v>0.4511939673229996</v>
      </c>
      <c r="AH40" s="3">
        <f t="shared" si="27"/>
        <v>0.44887770796944654</v>
      </c>
      <c r="AJ40" s="1" t="s">
        <v>22</v>
      </c>
      <c r="AK40" s="3">
        <f t="shared" si="28"/>
        <v>9.6998893301217373E-2</v>
      </c>
      <c r="AL40" s="3">
        <f t="shared" si="29"/>
        <v>0.10038305251442918</v>
      </c>
      <c r="AM40" s="3">
        <f t="shared" si="30"/>
        <v>9.6921899523951596E-2</v>
      </c>
      <c r="AN40" s="3">
        <f t="shared" si="31"/>
        <v>9.3242098403388721E-2</v>
      </c>
      <c r="AO40" s="3">
        <f t="shared" si="32"/>
        <v>9.1631597461988457E-2</v>
      </c>
      <c r="AP40" s="3">
        <f t="shared" si="33"/>
        <v>8.5995406618644951E-2</v>
      </c>
      <c r="AQ40" s="3">
        <f t="shared" si="34"/>
        <v>9.9993530439283176E-2</v>
      </c>
      <c r="AR40" s="3">
        <f t="shared" si="35"/>
        <v>9.6892280326368568E-2</v>
      </c>
      <c r="AS40" s="3">
        <f t="shared" si="36"/>
        <v>0.11295336787564766</v>
      </c>
      <c r="AT40" s="3">
        <f t="shared" si="37"/>
        <v>0.15609260922187951</v>
      </c>
      <c r="AU40" s="3">
        <f t="shared" si="38"/>
        <v>0.15388927272490255</v>
      </c>
      <c r="AV40" s="3">
        <f t="shared" si="39"/>
        <v>0.15415532048596564</v>
      </c>
      <c r="AW40" s="3">
        <f t="shared" si="40"/>
        <v>0.15708178002554812</v>
      </c>
    </row>
    <row r="41" spans="2:49">
      <c r="F41" s="1" t="s">
        <v>23</v>
      </c>
      <c r="G41" s="3">
        <f t="shared" si="2"/>
        <v>0.35987405574199566</v>
      </c>
      <c r="H41" s="3">
        <f t="shared" si="3"/>
        <v>0.54858534171842244</v>
      </c>
      <c r="I41" s="3">
        <f t="shared" si="4"/>
        <v>0.56087682294025543</v>
      </c>
      <c r="J41" s="3">
        <f t="shared" si="5"/>
        <v>0.56334917600867906</v>
      </c>
      <c r="K41" s="3">
        <f t="shared" si="6"/>
        <v>0.57100776810385279</v>
      </c>
      <c r="L41" s="3">
        <f t="shared" si="7"/>
        <v>0.58927073503198069</v>
      </c>
      <c r="M41" s="3">
        <f t="shared" si="8"/>
        <v>0.59652560083594564</v>
      </c>
      <c r="N41" s="3">
        <f t="shared" si="9"/>
        <v>0.56254714772520353</v>
      </c>
      <c r="O41" s="3">
        <f t="shared" si="10"/>
        <v>0.52626387176325529</v>
      </c>
      <c r="P41" s="3">
        <f t="shared" si="11"/>
        <v>0.47204936869012887</v>
      </c>
      <c r="Q41" s="3">
        <f t="shared" si="12"/>
        <v>0.47346769274692763</v>
      </c>
      <c r="R41" s="3">
        <f t="shared" si="13"/>
        <v>0.47425692433548455</v>
      </c>
      <c r="S41" s="3">
        <f t="shared" si="14"/>
        <v>0.47220619854213647</v>
      </c>
      <c r="U41" s="1" t="s">
        <v>23</v>
      </c>
      <c r="V41" s="3">
        <f t="shared" si="15"/>
        <v>0.56301747930082802</v>
      </c>
      <c r="W41" s="3">
        <f t="shared" si="16"/>
        <v>0.35105399528664244</v>
      </c>
      <c r="X41" s="3">
        <f t="shared" si="17"/>
        <v>0.34278393871556306</v>
      </c>
      <c r="Y41" s="3">
        <f t="shared" si="18"/>
        <v>0.3443586299529886</v>
      </c>
      <c r="Z41" s="3">
        <f t="shared" si="19"/>
        <v>0.33913768833741725</v>
      </c>
      <c r="AA41" s="3">
        <f t="shared" si="20"/>
        <v>0.32481388277236029</v>
      </c>
      <c r="AB41" s="3">
        <f t="shared" si="21"/>
        <v>0.30690961337513062</v>
      </c>
      <c r="AC41" s="3">
        <f t="shared" si="22"/>
        <v>0.33814998829435788</v>
      </c>
      <c r="AD41" s="3">
        <f t="shared" si="23"/>
        <v>0.37260042832111107</v>
      </c>
      <c r="AE41" s="3">
        <f t="shared" si="24"/>
        <v>0.43862480311910973</v>
      </c>
      <c r="AF41" s="3">
        <f t="shared" si="25"/>
        <v>0.4399859844011576</v>
      </c>
      <c r="AG41" s="3">
        <f t="shared" si="26"/>
        <v>0.43883341340847409</v>
      </c>
      <c r="AH41" s="3">
        <f t="shared" si="27"/>
        <v>0.43872253395563482</v>
      </c>
      <c r="AJ41" s="1" t="s">
        <v>23</v>
      </c>
      <c r="AK41" s="3">
        <f t="shared" si="28"/>
        <v>7.7108464957176368E-2</v>
      </c>
      <c r="AL41" s="3">
        <f t="shared" si="29"/>
        <v>0.1003606629949351</v>
      </c>
      <c r="AM41" s="3">
        <f t="shared" si="30"/>
        <v>9.6339238344181469E-2</v>
      </c>
      <c r="AN41" s="3">
        <f t="shared" si="31"/>
        <v>9.2292194038332387E-2</v>
      </c>
      <c r="AO41" s="3">
        <f t="shared" si="32"/>
        <v>8.9854543558729988E-2</v>
      </c>
      <c r="AP41" s="3">
        <f t="shared" si="33"/>
        <v>8.5915382195659015E-2</v>
      </c>
      <c r="AQ41" s="3">
        <f t="shared" si="34"/>
        <v>9.6564785788923718E-2</v>
      </c>
      <c r="AR41" s="3">
        <f t="shared" si="35"/>
        <v>9.9302863980438569E-2</v>
      </c>
      <c r="AS41" s="3">
        <f t="shared" si="36"/>
        <v>0.10113569991563372</v>
      </c>
      <c r="AT41" s="3">
        <f t="shared" si="37"/>
        <v>8.9325828190761444E-2</v>
      </c>
      <c r="AU41" s="3">
        <f t="shared" si="38"/>
        <v>8.6546322851914811E-2</v>
      </c>
      <c r="AV41" s="3">
        <f t="shared" si="39"/>
        <v>8.690966225604134E-2</v>
      </c>
      <c r="AW41" s="3">
        <f t="shared" si="40"/>
        <v>8.9071267502228754E-2</v>
      </c>
    </row>
    <row r="42" spans="2:49">
      <c r="F42" s="1" t="s">
        <v>25</v>
      </c>
      <c r="G42" s="3">
        <f t="shared" si="2"/>
        <v>0.19505576546047079</v>
      </c>
      <c r="H42" s="3">
        <f t="shared" si="3"/>
        <v>0.32108029913591568</v>
      </c>
      <c r="I42" s="3">
        <f t="shared" si="4"/>
        <v>0.32692031773774899</v>
      </c>
      <c r="J42" s="3">
        <f t="shared" si="5"/>
        <v>0.33480971554747369</v>
      </c>
      <c r="K42" s="3">
        <f t="shared" si="6"/>
        <v>0.34128667143693486</v>
      </c>
      <c r="L42" s="3">
        <f t="shared" si="7"/>
        <v>0.34830863381176502</v>
      </c>
      <c r="M42" s="3">
        <f t="shared" si="8"/>
        <v>0.35416394470720425</v>
      </c>
      <c r="N42" s="3">
        <f t="shared" si="9"/>
        <v>0.32192927390667503</v>
      </c>
      <c r="O42" s="3">
        <f t="shared" si="10"/>
        <v>0.2866915667387458</v>
      </c>
      <c r="P42" s="3">
        <f t="shared" si="11"/>
        <v>0.25342501230155645</v>
      </c>
      <c r="Q42" s="3">
        <f t="shared" si="12"/>
        <v>0.25099554930897167</v>
      </c>
      <c r="R42" s="3">
        <f t="shared" si="13"/>
        <v>0.24772409869135675</v>
      </c>
      <c r="S42" s="3">
        <f t="shared" si="14"/>
        <v>0.24786922618585011</v>
      </c>
      <c r="U42" s="1" t="s">
        <v>25</v>
      </c>
      <c r="V42" s="3">
        <f t="shared" si="15"/>
        <v>0.74489411703605601</v>
      </c>
      <c r="W42" s="3">
        <f t="shared" si="16"/>
        <v>0.61262157240096615</v>
      </c>
      <c r="X42" s="3">
        <f t="shared" si="17"/>
        <v>0.60773214029504219</v>
      </c>
      <c r="Y42" s="3">
        <f t="shared" si="18"/>
        <v>0.60183140667619173</v>
      </c>
      <c r="Z42" s="3">
        <f t="shared" si="19"/>
        <v>0.5991673713653809</v>
      </c>
      <c r="AA42" s="3">
        <f t="shared" si="20"/>
        <v>0.59243844568050097</v>
      </c>
      <c r="AB42" s="3">
        <f t="shared" si="21"/>
        <v>0.57091902061720978</v>
      </c>
      <c r="AC42" s="3">
        <f t="shared" si="22"/>
        <v>0.59817691985771082</v>
      </c>
      <c r="AD42" s="3">
        <f t="shared" si="23"/>
        <v>0.63383788742546365</v>
      </c>
      <c r="AE42" s="3">
        <f t="shared" si="24"/>
        <v>0.67314117007225549</v>
      </c>
      <c r="AF42" s="3">
        <f t="shared" si="25"/>
        <v>0.67273105853569659</v>
      </c>
      <c r="AG42" s="3">
        <f t="shared" si="26"/>
        <v>0.67810220865877002</v>
      </c>
      <c r="AH42" s="3">
        <f t="shared" si="27"/>
        <v>0.67697728038133731</v>
      </c>
      <c r="AJ42" s="1" t="s">
        <v>25</v>
      </c>
      <c r="AK42" s="3">
        <f t="shared" si="28"/>
        <v>6.0050117503473166E-2</v>
      </c>
      <c r="AL42" s="3">
        <f t="shared" si="29"/>
        <v>6.6298128463118194E-2</v>
      </c>
      <c r="AM42" s="3">
        <f t="shared" si="30"/>
        <v>6.5347541967208836E-2</v>
      </c>
      <c r="AN42" s="3">
        <f t="shared" si="31"/>
        <v>6.3358877776334588E-2</v>
      </c>
      <c r="AO42" s="3">
        <f t="shared" si="32"/>
        <v>5.9545957197684254E-2</v>
      </c>
      <c r="AP42" s="3">
        <f t="shared" si="33"/>
        <v>5.9252920507733994E-2</v>
      </c>
      <c r="AQ42" s="3">
        <f t="shared" si="34"/>
        <v>7.4917034675585983E-2</v>
      </c>
      <c r="AR42" s="3">
        <f t="shared" si="35"/>
        <v>7.9893806235614151E-2</v>
      </c>
      <c r="AS42" s="3">
        <f t="shared" si="36"/>
        <v>7.9470545835790579E-2</v>
      </c>
      <c r="AT42" s="3">
        <f t="shared" si="37"/>
        <v>7.3433817626188072E-2</v>
      </c>
      <c r="AU42" s="3">
        <f t="shared" si="38"/>
        <v>7.6273392155331715E-2</v>
      </c>
      <c r="AV42" s="3">
        <f t="shared" si="39"/>
        <v>7.417369264987328E-2</v>
      </c>
      <c r="AW42" s="3">
        <f t="shared" si="40"/>
        <v>7.5153493432812621E-2</v>
      </c>
    </row>
    <row r="43" spans="2:49">
      <c r="F43" s="1" t="s">
        <v>26</v>
      </c>
      <c r="G43" s="3">
        <f t="shared" si="2"/>
        <v>0.18178277464752163</v>
      </c>
      <c r="H43" s="3">
        <f t="shared" si="3"/>
        <v>0.29660410732633608</v>
      </c>
      <c r="I43" s="3">
        <f t="shared" si="4"/>
        <v>0.30523456084023348</v>
      </c>
      <c r="J43" s="3">
        <f t="shared" si="5"/>
        <v>0.31025420862279812</v>
      </c>
      <c r="K43" s="3">
        <f t="shared" si="6"/>
        <v>0.31469863901490602</v>
      </c>
      <c r="L43" s="3">
        <f t="shared" si="7"/>
        <v>0.32525924679258961</v>
      </c>
      <c r="M43" s="3">
        <f t="shared" si="8"/>
        <v>0.32754319746104721</v>
      </c>
      <c r="N43" s="3">
        <f t="shared" si="9"/>
        <v>0.29859837568771286</v>
      </c>
      <c r="O43" s="3">
        <f t="shared" si="10"/>
        <v>0.26964630808938922</v>
      </c>
      <c r="P43" s="3">
        <f t="shared" si="11"/>
        <v>0.22895973547522033</v>
      </c>
      <c r="Q43" s="3">
        <f t="shared" si="12"/>
        <v>0.23043422072887051</v>
      </c>
      <c r="R43" s="3">
        <f t="shared" si="13"/>
        <v>0.23437075380135877</v>
      </c>
      <c r="S43" s="3">
        <f t="shared" si="14"/>
        <v>0.23149299239697974</v>
      </c>
      <c r="U43" s="1" t="s">
        <v>26</v>
      </c>
      <c r="V43" s="3">
        <f t="shared" si="15"/>
        <v>0.76417053981772387</v>
      </c>
      <c r="W43" s="3">
        <f t="shared" si="16"/>
        <v>0.64129176583817815</v>
      </c>
      <c r="X43" s="3">
        <f t="shared" si="17"/>
        <v>0.63589450286620475</v>
      </c>
      <c r="Y43" s="3">
        <f t="shared" si="18"/>
        <v>0.6317227382717977</v>
      </c>
      <c r="Z43" s="3">
        <f t="shared" si="19"/>
        <v>0.62960466623460787</v>
      </c>
      <c r="AA43" s="3">
        <f t="shared" si="20"/>
        <v>0.61984904781015759</v>
      </c>
      <c r="AB43" s="3">
        <f t="shared" si="21"/>
        <v>0.60191727506628179</v>
      </c>
      <c r="AC43" s="3">
        <f t="shared" si="22"/>
        <v>0.62921142258318052</v>
      </c>
      <c r="AD43" s="3">
        <f t="shared" si="23"/>
        <v>0.6547385896421577</v>
      </c>
      <c r="AE43" s="3">
        <f t="shared" si="24"/>
        <v>0.70290430503664558</v>
      </c>
      <c r="AF43" s="3">
        <f t="shared" si="25"/>
        <v>0.70065908503489271</v>
      </c>
      <c r="AG43" s="3">
        <f t="shared" si="26"/>
        <v>0.69824652216111294</v>
      </c>
      <c r="AH43" s="3">
        <f t="shared" si="27"/>
        <v>0.69751495086171922</v>
      </c>
      <c r="AJ43" s="1" t="s">
        <v>26</v>
      </c>
      <c r="AK43" s="3">
        <f t="shared" si="28"/>
        <v>5.4046685534754502E-2</v>
      </c>
      <c r="AL43" s="3">
        <f t="shared" si="29"/>
        <v>6.2104126835485843E-2</v>
      </c>
      <c r="AM43" s="3">
        <f t="shared" si="30"/>
        <v>5.8870936293561764E-2</v>
      </c>
      <c r="AN43" s="3">
        <f t="shared" si="31"/>
        <v>5.8023053105404211E-2</v>
      </c>
      <c r="AO43" s="3">
        <f t="shared" si="32"/>
        <v>5.5696694750486067E-2</v>
      </c>
      <c r="AP43" s="3">
        <f t="shared" si="33"/>
        <v>5.4891705397252827E-2</v>
      </c>
      <c r="AQ43" s="3">
        <f t="shared" si="34"/>
        <v>7.053952747267099E-2</v>
      </c>
      <c r="AR43" s="3">
        <f t="shared" si="35"/>
        <v>7.2190201729106632E-2</v>
      </c>
      <c r="AS43" s="3">
        <f t="shared" si="36"/>
        <v>7.5615102268453069E-2</v>
      </c>
      <c r="AT43" s="3">
        <f t="shared" si="37"/>
        <v>6.813595948813414E-2</v>
      </c>
      <c r="AU43" s="3">
        <f t="shared" si="38"/>
        <v>6.8906694236236757E-2</v>
      </c>
      <c r="AV43" s="3">
        <f t="shared" si="39"/>
        <v>6.7382724037528305E-2</v>
      </c>
      <c r="AW43" s="3">
        <f t="shared" si="40"/>
        <v>7.0992056741301018E-2</v>
      </c>
    </row>
    <row r="44" spans="2:49">
      <c r="F44" s="1" t="s">
        <v>27</v>
      </c>
      <c r="G44" s="3">
        <f t="shared" si="2"/>
        <v>0.1676045588026028</v>
      </c>
      <c r="H44" s="3">
        <f t="shared" si="3"/>
        <v>0.28180681462957174</v>
      </c>
      <c r="I44" s="3">
        <f t="shared" si="4"/>
        <v>0.28323504633529906</v>
      </c>
      <c r="J44" s="3">
        <f t="shared" si="5"/>
        <v>0.28547442405310425</v>
      </c>
      <c r="K44" s="3">
        <f t="shared" si="6"/>
        <v>0.29391733818559918</v>
      </c>
      <c r="L44" s="3">
        <f t="shared" si="7"/>
        <v>0.30360248447204968</v>
      </c>
      <c r="M44" s="3">
        <f t="shared" si="8"/>
        <v>0.30391164408451438</v>
      </c>
      <c r="N44" s="3">
        <f t="shared" si="9"/>
        <v>0.28185443152688949</v>
      </c>
      <c r="O44" s="3">
        <f t="shared" si="10"/>
        <v>0.25245717861146594</v>
      </c>
      <c r="P44" s="3">
        <f t="shared" si="11"/>
        <v>0.21788975885563908</v>
      </c>
      <c r="Q44" s="3">
        <f t="shared" si="12"/>
        <v>0.21255706578128242</v>
      </c>
      <c r="R44" s="3">
        <f t="shared" si="13"/>
        <v>0.21536585998495578</v>
      </c>
      <c r="S44" s="3">
        <f t="shared" si="14"/>
        <v>0.21499490502442975</v>
      </c>
      <c r="U44" s="1" t="s">
        <v>27</v>
      </c>
      <c r="V44" s="3">
        <f t="shared" si="15"/>
        <v>0.78099895214809645</v>
      </c>
      <c r="W44" s="3">
        <f t="shared" si="16"/>
        <v>0.66103990830467851</v>
      </c>
      <c r="X44" s="3">
        <f t="shared" si="17"/>
        <v>0.66129220400492517</v>
      </c>
      <c r="Y44" s="3">
        <f t="shared" si="18"/>
        <v>0.66172068202525058</v>
      </c>
      <c r="Z44" s="3">
        <f t="shared" si="19"/>
        <v>0.65530283337665718</v>
      </c>
      <c r="AA44" s="3">
        <f t="shared" si="20"/>
        <v>0.64621118012422363</v>
      </c>
      <c r="AB44" s="3">
        <f t="shared" si="21"/>
        <v>0.62960078907750605</v>
      </c>
      <c r="AC44" s="3">
        <f t="shared" si="22"/>
        <v>0.64929701457756139</v>
      </c>
      <c r="AD44" s="3">
        <f t="shared" si="23"/>
        <v>0.67958912323695808</v>
      </c>
      <c r="AE44" s="3">
        <f t="shared" si="24"/>
        <v>0.71831316197449158</v>
      </c>
      <c r="AF44" s="3">
        <f t="shared" si="25"/>
        <v>0.72334768624195889</v>
      </c>
      <c r="AG44" s="3">
        <f t="shared" si="26"/>
        <v>0.71939926853941327</v>
      </c>
      <c r="AH44" s="3">
        <f t="shared" si="27"/>
        <v>0.72195803830376504</v>
      </c>
      <c r="AJ44" s="1" t="s">
        <v>27</v>
      </c>
      <c r="AK44" s="3">
        <f t="shared" si="28"/>
        <v>5.1396489049300782E-2</v>
      </c>
      <c r="AL44" s="3">
        <f t="shared" si="29"/>
        <v>5.7153277065749714E-2</v>
      </c>
      <c r="AM44" s="3">
        <f t="shared" si="30"/>
        <v>5.5472749659775777E-2</v>
      </c>
      <c r="AN44" s="3">
        <f t="shared" si="31"/>
        <v>5.2804893921645189E-2</v>
      </c>
      <c r="AO44" s="3">
        <f t="shared" si="32"/>
        <v>5.0779828437743695E-2</v>
      </c>
      <c r="AP44" s="3">
        <f t="shared" si="33"/>
        <v>5.018633540372671E-2</v>
      </c>
      <c r="AQ44" s="3">
        <f t="shared" si="34"/>
        <v>6.6487566837979545E-2</v>
      </c>
      <c r="AR44" s="3">
        <f t="shared" si="35"/>
        <v>6.8848553895549058E-2</v>
      </c>
      <c r="AS44" s="3">
        <f t="shared" si="36"/>
        <v>6.7953698151575981E-2</v>
      </c>
      <c r="AT44" s="3">
        <f t="shared" si="37"/>
        <v>6.3797079169869333E-2</v>
      </c>
      <c r="AU44" s="3">
        <f t="shared" si="38"/>
        <v>6.4095247976758668E-2</v>
      </c>
      <c r="AV44" s="3">
        <f t="shared" si="39"/>
        <v>6.5234871475630951E-2</v>
      </c>
      <c r="AW44" s="3">
        <f t="shared" si="40"/>
        <v>6.3047056671805185E-2</v>
      </c>
    </row>
    <row r="45" spans="2:49">
      <c r="F45" s="1" t="s">
        <v>28</v>
      </c>
      <c r="G45" s="3">
        <f>G15/SUM(G15,V15,AK15)</f>
        <v>0.15556940818950404</v>
      </c>
      <c r="H45" s="3">
        <f>H15/SUM(H15,W15,AL15)</f>
        <v>0.25929748017713217</v>
      </c>
      <c r="I45" s="3">
        <f>I15/SUM(I15,X15,AM15)</f>
        <v>0.2591148729085177</v>
      </c>
      <c r="J45" s="3">
        <f>J15/SUM(J15,Y15,AN15)</f>
        <v>0.26376856635976326</v>
      </c>
      <c r="K45" s="3">
        <f>K15/SUM(K15,Z15,AO15)</f>
        <v>0.27113200461038373</v>
      </c>
      <c r="L45" s="3">
        <f>L15/SUM(L15,AA15,AP15)</f>
        <v>0.28140460805430456</v>
      </c>
      <c r="M45" s="3">
        <f>M15/SUM(M15,AB15,AQ15)</f>
        <v>0.28333570882516812</v>
      </c>
      <c r="N45" s="3">
        <f>N15/SUM(N15,AC15,AR15)</f>
        <v>0.26174374210025669</v>
      </c>
      <c r="O45" s="3">
        <f>O15/SUM(O15,AD15,AS15)</f>
        <v>0.23559218001123111</v>
      </c>
      <c r="P45" s="3">
        <f>P15/SUM(P15,AE15,AT15)</f>
        <v>0.20154070372683738</v>
      </c>
      <c r="Q45" s="3">
        <f>Q15/SUM(Q15,AF15,AU15)</f>
        <v>0.20026355567613657</v>
      </c>
      <c r="R45" s="3">
        <f>R15/SUM(R15,AG15,AV15)</f>
        <v>0.19950515570754962</v>
      </c>
      <c r="S45" s="3">
        <f>S15/SUM(S15,AH15,AW15)</f>
        <v>0.20164892235782914</v>
      </c>
      <c r="U45" s="1" t="s">
        <v>28</v>
      </c>
      <c r="V45" s="3">
        <f>V15/SUM(G15,V15,AK15)</f>
        <v>0.79656108362229061</v>
      </c>
      <c r="W45" s="3">
        <f>W15/SUM(H15,W15,AL15)</f>
        <v>0.6869097226757932</v>
      </c>
      <c r="X45" s="3">
        <f>X15/SUM(I15,X15,AM15)</f>
        <v>0.69134365065867798</v>
      </c>
      <c r="Y45" s="3">
        <f>Y15/SUM(J15,Y15,AN15)</f>
        <v>0.68669955842171371</v>
      </c>
      <c r="Z45" s="3">
        <f>Z15/SUM(K15,Z15,AO15)</f>
        <v>0.68240154370151651</v>
      </c>
      <c r="AA45" s="3">
        <f>AA15/SUM(L15,AA15,AP15)</f>
        <v>0.67148358462241364</v>
      </c>
      <c r="AB45" s="3">
        <f>AB15/SUM(M15,AB15,AQ15)</f>
        <v>0.65458621091776048</v>
      </c>
      <c r="AC45" s="3">
        <f>AC15/SUM(N15,AC15,AR15)</f>
        <v>0.67600953832922872</v>
      </c>
      <c r="AD45" s="3">
        <f>AD15/SUM(O15,AD15,AS15)</f>
        <v>0.70075614119859475</v>
      </c>
      <c r="AE45" s="3">
        <f>AE15/SUM(P15,AE15,AT15)</f>
        <v>0.73857484905267545</v>
      </c>
      <c r="AF45" s="3">
        <f>AF15/SUM(Q15,AF15,AU15)</f>
        <v>0.74069480511091301</v>
      </c>
      <c r="AG45" s="3">
        <f>AG15/SUM(R15,AG15,AV15)</f>
        <v>0.74205917405046895</v>
      </c>
      <c r="AH45" s="3">
        <f>AH15/SUM(S15,AH15,AW15)</f>
        <v>0.7403271877434433</v>
      </c>
      <c r="AJ45" s="1" t="s">
        <v>28</v>
      </c>
      <c r="AK45" s="3">
        <f>AK15/SUM(G15,V15,AK15)</f>
        <v>4.7869508188205345E-2</v>
      </c>
      <c r="AL45" s="3">
        <f>AL15/SUM(H15,W15,AL15)</f>
        <v>5.3792797147074578E-2</v>
      </c>
      <c r="AM45" s="3">
        <f>AM15/SUM(I15,X15,AM15)</f>
        <v>4.9541476432804384E-2</v>
      </c>
      <c r="AN45" s="3">
        <f>AN15/SUM(J15,Y15,AN15)</f>
        <v>4.953187521852298E-2</v>
      </c>
      <c r="AO45" s="3">
        <f>AO15/SUM(K15,Z15,AO15)</f>
        <v>4.6466451688099771E-2</v>
      </c>
      <c r="AP45" s="3">
        <f>AP15/SUM(L15,AA15,AP15)</f>
        <v>4.7111807323281768E-2</v>
      </c>
      <c r="AQ45" s="3">
        <f>AQ15/SUM(M15,AB15,AQ15)</f>
        <v>6.2078080257071407E-2</v>
      </c>
      <c r="AR45" s="3">
        <f>AR15/SUM(N15,AC15,AR15)</f>
        <v>6.2246719570514572E-2</v>
      </c>
      <c r="AS45" s="3">
        <f>AS15/SUM(O15,AD15,AS15)</f>
        <v>6.3651678790174082E-2</v>
      </c>
      <c r="AT45" s="3">
        <f>AT15/SUM(P15,AE15,AT15)</f>
        <v>5.9884447220487198E-2</v>
      </c>
      <c r="AU45" s="3">
        <f>AU15/SUM(Q15,AF15,AU15)</f>
        <v>5.90416392129504E-2</v>
      </c>
      <c r="AV45" s="3">
        <f>AV15/SUM(R15,AG15,AV15)</f>
        <v>5.8435670241981451E-2</v>
      </c>
      <c r="AW45" s="3">
        <f>AW15/SUM(S15,AH15,AW15)</f>
        <v>5.8023889898727601E-2</v>
      </c>
    </row>
    <row r="46" spans="2:49">
      <c r="F46" s="1" t="s">
        <v>29</v>
      </c>
      <c r="G46" s="3">
        <f>G16/SUM(G16,V16,AK16)</f>
        <v>0.14327114653142548</v>
      </c>
      <c r="H46" s="3">
        <f t="shared" ref="H46:J50" si="41">H16/SUM(H16,W16,AL16)</f>
        <v>0.23711032342668692</v>
      </c>
      <c r="I46" s="3">
        <f t="shared" si="41"/>
        <v>0.24284168958281746</v>
      </c>
      <c r="J46" s="3">
        <f t="shared" si="41"/>
        <v>0.24845801249172197</v>
      </c>
      <c r="K46" s="3">
        <f t="shared" ref="K46:K50" si="42">K16/SUM(K16,Z16,AO16)</f>
        <v>0.25161891933896285</v>
      </c>
      <c r="L46" s="3">
        <f t="shared" ref="L46:L50" si="43">L16/SUM(L16,AA16,AP16)</f>
        <v>0.26443868041344615</v>
      </c>
      <c r="M46" s="3">
        <f t="shared" ref="M46:M50" si="44">M16/SUM(M16,AB16,AQ16)</f>
        <v>0.26758620689655171</v>
      </c>
      <c r="N46" s="3">
        <f t="shared" ref="N46:N50" si="45">N16/SUM(N16,AC16,AR16)</f>
        <v>0.24411559077138195</v>
      </c>
      <c r="O46" s="3">
        <f t="shared" ref="O46:O50" si="46">O16/SUM(O16,AD16,AS16)</f>
        <v>0.21597879197421768</v>
      </c>
      <c r="P46" s="3">
        <f t="shared" ref="P46:P50" si="47">P16/SUM(P16,AE16,AT16)</f>
        <v>0.18741480549439027</v>
      </c>
      <c r="Q46" s="3">
        <f t="shared" ref="Q46:S50" si="48">Q16/SUM(Q16,AF16,AU16)</f>
        <v>0.18533575602295455</v>
      </c>
      <c r="R46" s="3">
        <f t="shared" si="48"/>
        <v>0.18550547478477983</v>
      </c>
      <c r="S46" s="3">
        <f t="shared" si="48"/>
        <v>0.18648827007932092</v>
      </c>
      <c r="U46" s="1" t="s">
        <v>29</v>
      </c>
      <c r="V46" s="3">
        <f>V16/SUM(G16,V16,AK16)</f>
        <v>0.81069681993427689</v>
      </c>
      <c r="W46" s="3">
        <f t="shared" ref="W46:AH50" si="49">W16/SUM(H16,W16,AL16)</f>
        <v>0.71375894259857953</v>
      </c>
      <c r="X46" s="3">
        <f t="shared" si="49"/>
        <v>0.709027877334515</v>
      </c>
      <c r="Y46" s="3">
        <f t="shared" si="49"/>
        <v>0.7058861721052837</v>
      </c>
      <c r="Z46" s="3">
        <f t="shared" si="49"/>
        <v>0.70485157747500393</v>
      </c>
      <c r="AA46" s="3">
        <f t="shared" si="49"/>
        <v>0.69185750967792392</v>
      </c>
      <c r="AB46" s="3">
        <f t="shared" si="49"/>
        <v>0.6747820429407938</v>
      </c>
      <c r="AC46" s="3">
        <f t="shared" si="49"/>
        <v>0.6968202180273958</v>
      </c>
      <c r="AD46" s="3">
        <f t="shared" si="49"/>
        <v>0.72325605572304819</v>
      </c>
      <c r="AE46" s="3">
        <f t="shared" si="49"/>
        <v>0.75713012477718356</v>
      </c>
      <c r="AF46" s="3">
        <f t="shared" si="49"/>
        <v>0.75868965607393557</v>
      </c>
      <c r="AG46" s="3">
        <f t="shared" si="49"/>
        <v>0.75916148664464611</v>
      </c>
      <c r="AH46" s="3">
        <f t="shared" si="49"/>
        <v>0.75803884525303766</v>
      </c>
      <c r="AJ46" s="1" t="s">
        <v>29</v>
      </c>
      <c r="AK46" s="3">
        <f>AK16/SUM(G16,V16,AK16)</f>
        <v>4.603203353429762E-2</v>
      </c>
      <c r="AL46" s="3">
        <f t="shared" ref="AL46:AW50" si="50">AL16/SUM(H16,W16,AL16)</f>
        <v>4.9130733974733505E-2</v>
      </c>
      <c r="AM46" s="3">
        <f t="shared" si="50"/>
        <v>4.8130433082667567E-2</v>
      </c>
      <c r="AN46" s="3">
        <f t="shared" si="50"/>
        <v>4.5655815402994376E-2</v>
      </c>
      <c r="AO46" s="3">
        <f t="shared" si="50"/>
        <v>4.3529503186033262E-2</v>
      </c>
      <c r="AP46" s="3">
        <f t="shared" si="50"/>
        <v>4.3703809908629973E-2</v>
      </c>
      <c r="AQ46" s="3">
        <f t="shared" si="50"/>
        <v>5.7631750162654524E-2</v>
      </c>
      <c r="AR46" s="3">
        <f t="shared" si="50"/>
        <v>5.9064191201222194E-2</v>
      </c>
      <c r="AS46" s="3">
        <f t="shared" si="50"/>
        <v>6.0765152302734174E-2</v>
      </c>
      <c r="AT46" s="3">
        <f t="shared" si="50"/>
        <v>5.5455069728426128E-2</v>
      </c>
      <c r="AU46" s="3">
        <f t="shared" si="50"/>
        <v>5.5974587903109843E-2</v>
      </c>
      <c r="AV46" s="3">
        <f t="shared" si="50"/>
        <v>5.5333038570574006E-2</v>
      </c>
      <c r="AW46" s="3">
        <f t="shared" si="50"/>
        <v>5.5472884667641463E-2</v>
      </c>
    </row>
    <row r="47" spans="2:49">
      <c r="F47" s="1" t="s">
        <v>30</v>
      </c>
      <c r="G47" s="3">
        <f t="shared" ref="G47:G50" si="51">G17/SUM(G17,V17,AK17)</f>
        <v>0.11689003860803099</v>
      </c>
      <c r="H47" s="3">
        <f t="shared" si="41"/>
        <v>0.35300958829762491</v>
      </c>
      <c r="I47" s="3">
        <f t="shared" si="41"/>
        <v>0.37734257384623371</v>
      </c>
      <c r="J47" s="3">
        <f t="shared" si="41"/>
        <v>0.3951025637673391</v>
      </c>
      <c r="K47" s="3">
        <f t="shared" si="42"/>
        <v>0.41687161829808167</v>
      </c>
      <c r="L47" s="3">
        <f t="shared" si="43"/>
        <v>0.4226134108215393</v>
      </c>
      <c r="M47" s="3">
        <f t="shared" si="44"/>
        <v>0.26290963580689297</v>
      </c>
      <c r="N47" s="3">
        <f t="shared" si="45"/>
        <v>0.24336444224920062</v>
      </c>
      <c r="O47" s="3">
        <f t="shared" si="46"/>
        <v>0.22957688017225725</v>
      </c>
      <c r="P47" s="3">
        <f t="shared" si="47"/>
        <v>0.21451272566233359</v>
      </c>
      <c r="Q47" s="3">
        <f t="shared" si="48"/>
        <v>0.21343200114447725</v>
      </c>
      <c r="R47" s="3">
        <f t="shared" si="48"/>
        <v>0.21543144830816063</v>
      </c>
      <c r="S47" s="3">
        <f t="shared" si="48"/>
        <v>0.21502522941776256</v>
      </c>
      <c r="U47" s="1" t="s">
        <v>30</v>
      </c>
      <c r="V47" s="3">
        <f t="shared" ref="V47:V50" si="52">V17/SUM(G17,V17,AK17)</f>
        <v>0.75396154796105397</v>
      </c>
      <c r="W47" s="3">
        <f t="shared" si="49"/>
        <v>0.50474245987646349</v>
      </c>
      <c r="X47" s="3">
        <f t="shared" si="49"/>
        <v>0.48732025125889011</v>
      </c>
      <c r="Y47" s="3">
        <f t="shared" si="49"/>
        <v>0.47229013322177044</v>
      </c>
      <c r="Z47" s="3">
        <f t="shared" si="49"/>
        <v>0.45932896678489138</v>
      </c>
      <c r="AA47" s="3">
        <f t="shared" si="49"/>
        <v>0.41205391311116013</v>
      </c>
      <c r="AB47" s="3">
        <f t="shared" si="49"/>
        <v>0.36754185940452144</v>
      </c>
      <c r="AC47" s="3">
        <f t="shared" si="49"/>
        <v>0.62831777887539975</v>
      </c>
      <c r="AD47" s="3">
        <f t="shared" si="49"/>
        <v>0.64957065400679692</v>
      </c>
      <c r="AE47" s="3">
        <f t="shared" si="49"/>
        <v>0.67361346289108293</v>
      </c>
      <c r="AF47" s="3">
        <f t="shared" si="49"/>
        <v>0.67595687401646487</v>
      </c>
      <c r="AG47" s="3">
        <f t="shared" si="49"/>
        <v>0.67309318450870959</v>
      </c>
      <c r="AH47" s="3">
        <f t="shared" si="49"/>
        <v>0.67259274752281106</v>
      </c>
      <c r="AJ47" s="1" t="s">
        <v>30</v>
      </c>
      <c r="AK47" s="3">
        <f t="shared" ref="AK47:AK50" si="53">AK17/SUM(G17,V17,AK17)</f>
        <v>0.12914841343091502</v>
      </c>
      <c r="AL47" s="3">
        <f t="shared" si="50"/>
        <v>0.14224795182591166</v>
      </c>
      <c r="AM47" s="3">
        <f t="shared" si="50"/>
        <v>0.13533717489487618</v>
      </c>
      <c r="AN47" s="3">
        <f t="shared" si="50"/>
        <v>0.13260730301089046</v>
      </c>
      <c r="AO47" s="3">
        <f t="shared" si="50"/>
        <v>0.12379941491702695</v>
      </c>
      <c r="AP47" s="3">
        <f t="shared" si="50"/>
        <v>0.16533267606730059</v>
      </c>
      <c r="AQ47" s="3">
        <f t="shared" si="50"/>
        <v>0.36954850478858559</v>
      </c>
      <c r="AR47" s="3">
        <f t="shared" si="50"/>
        <v>0.12831777887539969</v>
      </c>
      <c r="AS47" s="3">
        <f t="shared" si="50"/>
        <v>0.12085246582094586</v>
      </c>
      <c r="AT47" s="3">
        <f t="shared" si="50"/>
        <v>0.11187381144658348</v>
      </c>
      <c r="AU47" s="3">
        <f t="shared" si="50"/>
        <v>0.11061112483905788</v>
      </c>
      <c r="AV47" s="3">
        <f t="shared" si="50"/>
        <v>0.11147536718312974</v>
      </c>
      <c r="AW47" s="3">
        <f t="shared" si="50"/>
        <v>0.11238202305942639</v>
      </c>
    </row>
    <row r="48" spans="2:49">
      <c r="F48" s="1" t="s">
        <v>31</v>
      </c>
      <c r="G48" s="3">
        <f t="shared" si="51"/>
        <v>0.24501706573565046</v>
      </c>
      <c r="H48" s="3">
        <f t="shared" si="41"/>
        <v>0.49174801509826893</v>
      </c>
      <c r="I48" s="3">
        <f t="shared" si="41"/>
        <v>0.50854800632993491</v>
      </c>
      <c r="J48" s="3">
        <f t="shared" si="41"/>
        <v>0.52641906643102199</v>
      </c>
      <c r="K48" s="3">
        <f t="shared" si="42"/>
        <v>0.54231876881377139</v>
      </c>
      <c r="L48" s="3">
        <f t="shared" si="43"/>
        <v>0.59032484225286286</v>
      </c>
      <c r="M48" s="3">
        <f t="shared" si="44"/>
        <v>0.63102963020874048</v>
      </c>
      <c r="N48" s="3">
        <f t="shared" si="45"/>
        <v>0.37258622033942357</v>
      </c>
      <c r="O48" s="3">
        <f t="shared" si="46"/>
        <v>0.34816174556058949</v>
      </c>
      <c r="P48" s="3">
        <f t="shared" si="47"/>
        <v>0.32308972259054158</v>
      </c>
      <c r="Q48" s="3">
        <f t="shared" si="48"/>
        <v>0.32373247876608829</v>
      </c>
      <c r="R48" s="3">
        <f t="shared" si="48"/>
        <v>0.32704760917992021</v>
      </c>
      <c r="S48" s="3">
        <f t="shared" si="48"/>
        <v>0.32795678028683589</v>
      </c>
      <c r="U48" s="1" t="s">
        <v>31</v>
      </c>
      <c r="V48" s="3">
        <f t="shared" si="52"/>
        <v>0.62339438784815404</v>
      </c>
      <c r="W48" s="3">
        <f t="shared" si="49"/>
        <v>0.3721983600156189</v>
      </c>
      <c r="X48" s="3">
        <f t="shared" si="49"/>
        <v>0.36030041248346173</v>
      </c>
      <c r="Y48" s="3">
        <f t="shared" si="49"/>
        <v>0.34876286516269883</v>
      </c>
      <c r="Z48" s="3">
        <f t="shared" si="49"/>
        <v>0.33593088260206677</v>
      </c>
      <c r="AA48" s="3">
        <f t="shared" si="49"/>
        <v>0.30388720105943756</v>
      </c>
      <c r="AB48" s="3">
        <f t="shared" si="49"/>
        <v>0.22900216297917808</v>
      </c>
      <c r="AC48" s="3">
        <f t="shared" si="49"/>
        <v>0.26621098318475972</v>
      </c>
      <c r="AD48" s="3">
        <f t="shared" si="49"/>
        <v>0.53252096026662499</v>
      </c>
      <c r="AE48" s="3">
        <f t="shared" si="49"/>
        <v>0.56546551231053221</v>
      </c>
      <c r="AF48" s="3">
        <f t="shared" si="49"/>
        <v>0.56419675889739984</v>
      </c>
      <c r="AG48" s="3">
        <f t="shared" si="49"/>
        <v>0.56084546443557992</v>
      </c>
      <c r="AH48" s="3">
        <f t="shared" si="49"/>
        <v>0.55948540557347737</v>
      </c>
      <c r="AJ48" s="1" t="s">
        <v>31</v>
      </c>
      <c r="AK48" s="3">
        <f t="shared" si="53"/>
        <v>0.13158854641619552</v>
      </c>
      <c r="AL48" s="3">
        <f t="shared" si="50"/>
        <v>0.1360536248861122</v>
      </c>
      <c r="AM48" s="3">
        <f t="shared" si="50"/>
        <v>0.13115158118660336</v>
      </c>
      <c r="AN48" s="3">
        <f t="shared" si="50"/>
        <v>0.12481806840627924</v>
      </c>
      <c r="AO48" s="3">
        <f t="shared" si="50"/>
        <v>0.12175034858416189</v>
      </c>
      <c r="AP48" s="3">
        <f t="shared" si="50"/>
        <v>0.10578795668769962</v>
      </c>
      <c r="AQ48" s="3">
        <f t="shared" si="50"/>
        <v>0.13996820681208141</v>
      </c>
      <c r="AR48" s="3">
        <f t="shared" si="50"/>
        <v>0.36120279647581671</v>
      </c>
      <c r="AS48" s="3">
        <f t="shared" si="50"/>
        <v>0.1193172941727855</v>
      </c>
      <c r="AT48" s="3">
        <f t="shared" si="50"/>
        <v>0.11144476509892624</v>
      </c>
      <c r="AU48" s="3">
        <f t="shared" si="50"/>
        <v>0.11207076233651191</v>
      </c>
      <c r="AV48" s="3">
        <f t="shared" si="50"/>
        <v>0.11210692638449982</v>
      </c>
      <c r="AW48" s="3">
        <f t="shared" si="50"/>
        <v>0.11255781413968674</v>
      </c>
    </row>
    <row r="49" spans="6:49">
      <c r="F49" s="1" t="s">
        <v>32</v>
      </c>
      <c r="G49" s="3">
        <f t="shared" si="51"/>
        <v>0.3755563118487879</v>
      </c>
      <c r="H49" s="3">
        <f t="shared" si="41"/>
        <v>0.62501306574683813</v>
      </c>
      <c r="I49" s="3">
        <f t="shared" si="41"/>
        <v>0.63854671010786745</v>
      </c>
      <c r="J49" s="3">
        <f t="shared" si="41"/>
        <v>0.64907926028928253</v>
      </c>
      <c r="K49" s="3">
        <f t="shared" si="42"/>
        <v>0.66018546215973672</v>
      </c>
      <c r="L49" s="3">
        <f t="shared" si="43"/>
        <v>0.6940855063831991</v>
      </c>
      <c r="M49" s="3">
        <f t="shared" si="44"/>
        <v>0.77338091876487047</v>
      </c>
      <c r="N49" s="3">
        <f t="shared" si="45"/>
        <v>0.73308084751939195</v>
      </c>
      <c r="O49" s="3">
        <f t="shared" si="46"/>
        <v>0.46595763904126386</v>
      </c>
      <c r="P49" s="3">
        <f t="shared" si="47"/>
        <v>0.43328361112912639</v>
      </c>
      <c r="Q49" s="3">
        <f t="shared" si="48"/>
        <v>0.43430652171075812</v>
      </c>
      <c r="R49" s="3">
        <f t="shared" si="48"/>
        <v>0.43437993834356625</v>
      </c>
      <c r="S49" s="3">
        <f t="shared" si="48"/>
        <v>0.43659363994199296</v>
      </c>
      <c r="U49" s="1" t="s">
        <v>32</v>
      </c>
      <c r="V49" s="3">
        <f t="shared" si="52"/>
        <v>0.49494737944394995</v>
      </c>
      <c r="W49" s="3">
        <f t="shared" si="49"/>
        <v>0.24421187415072645</v>
      </c>
      <c r="X49" s="3">
        <f t="shared" si="49"/>
        <v>0.23733433715390906</v>
      </c>
      <c r="Y49" s="3">
        <f t="shared" si="49"/>
        <v>0.22929472767677292</v>
      </c>
      <c r="Z49" s="3">
        <f t="shared" si="49"/>
        <v>0.22170921718321215</v>
      </c>
      <c r="AA49" s="3">
        <f t="shared" si="49"/>
        <v>0.19769790506771628</v>
      </c>
      <c r="AB49" s="3">
        <f t="shared" si="49"/>
        <v>0.15007713023243652</v>
      </c>
      <c r="AC49" s="3">
        <f t="shared" si="49"/>
        <v>0.13795616638034255</v>
      </c>
      <c r="AD49" s="3">
        <f t="shared" si="49"/>
        <v>0.18029866928249674</v>
      </c>
      <c r="AE49" s="3">
        <f t="shared" si="49"/>
        <v>0.45226019845644982</v>
      </c>
      <c r="AF49" s="3">
        <f t="shared" si="49"/>
        <v>0.45347881129194345</v>
      </c>
      <c r="AG49" s="3">
        <f t="shared" si="49"/>
        <v>0.45364109738089686</v>
      </c>
      <c r="AH49" s="3">
        <f t="shared" si="49"/>
        <v>0.4520923969339134</v>
      </c>
      <c r="AJ49" s="1" t="s">
        <v>32</v>
      </c>
      <c r="AK49" s="3">
        <f t="shared" si="53"/>
        <v>0.12949630870726217</v>
      </c>
      <c r="AL49" s="3">
        <f t="shared" si="50"/>
        <v>0.13077506010243545</v>
      </c>
      <c r="AM49" s="3">
        <f t="shared" si="50"/>
        <v>0.1241189527382235</v>
      </c>
      <c r="AN49" s="3">
        <f t="shared" si="50"/>
        <v>0.12162601203394456</v>
      </c>
      <c r="AO49" s="3">
        <f t="shared" si="50"/>
        <v>0.11810532065705108</v>
      </c>
      <c r="AP49" s="3">
        <f t="shared" si="50"/>
        <v>0.1082165885490846</v>
      </c>
      <c r="AQ49" s="3">
        <f t="shared" si="50"/>
        <v>7.6541951002693023E-2</v>
      </c>
      <c r="AR49" s="3">
        <f t="shared" si="50"/>
        <v>0.12896298610026549</v>
      </c>
      <c r="AS49" s="3">
        <f t="shared" si="50"/>
        <v>0.35374369167623942</v>
      </c>
      <c r="AT49" s="3">
        <f t="shared" si="50"/>
        <v>0.11445619041442376</v>
      </c>
      <c r="AU49" s="3">
        <f t="shared" si="50"/>
        <v>0.11221466699729839</v>
      </c>
      <c r="AV49" s="3">
        <f t="shared" si="50"/>
        <v>0.1119789642755369</v>
      </c>
      <c r="AW49" s="3">
        <f t="shared" si="50"/>
        <v>0.11131396312409364</v>
      </c>
    </row>
    <row r="50" spans="6:49">
      <c r="F50" s="1" t="s">
        <v>33</v>
      </c>
      <c r="G50" s="3">
        <f t="shared" si="51"/>
        <v>0.50610541099364104</v>
      </c>
      <c r="H50" s="3">
        <f t="shared" si="41"/>
        <v>0.75514459605635276</v>
      </c>
      <c r="I50" s="3">
        <f t="shared" si="41"/>
        <v>0.76283679076975164</v>
      </c>
      <c r="J50" s="3">
        <f t="shared" si="41"/>
        <v>0.77109737651906329</v>
      </c>
      <c r="K50" s="3">
        <f t="shared" si="42"/>
        <v>0.77730663525716526</v>
      </c>
      <c r="L50" s="3">
        <f t="shared" si="43"/>
        <v>0.8019324926297744</v>
      </c>
      <c r="M50" s="3">
        <f t="shared" si="44"/>
        <v>0.84908252125233252</v>
      </c>
      <c r="N50" s="3">
        <f t="shared" si="45"/>
        <v>0.861595317163938</v>
      </c>
      <c r="O50" s="3">
        <f t="shared" si="46"/>
        <v>0.81868646161046255</v>
      </c>
      <c r="P50" s="3">
        <f t="shared" si="47"/>
        <v>0.5480631836013613</v>
      </c>
      <c r="Q50" s="3">
        <f t="shared" si="48"/>
        <v>0.54773240116347321</v>
      </c>
      <c r="R50" s="3">
        <f t="shared" si="48"/>
        <v>0.54635434279322637</v>
      </c>
      <c r="S50" s="3">
        <f t="shared" si="48"/>
        <v>0.54735102757409893</v>
      </c>
      <c r="U50" s="1" t="s">
        <v>33</v>
      </c>
      <c r="V50" s="3">
        <f t="shared" si="52"/>
        <v>0.36429602465571725</v>
      </c>
      <c r="W50" s="3">
        <f t="shared" si="49"/>
        <v>0.11851793929441816</v>
      </c>
      <c r="X50" s="3">
        <f t="shared" si="49"/>
        <v>0.11502650050136083</v>
      </c>
      <c r="Y50" s="3">
        <f t="shared" si="49"/>
        <v>0.11190215407082876</v>
      </c>
      <c r="Z50" s="3">
        <f t="shared" si="49"/>
        <v>0.11100641277319723</v>
      </c>
      <c r="AA50" s="3">
        <f t="shared" si="49"/>
        <v>9.7196067481395865E-2</v>
      </c>
      <c r="AB50" s="3">
        <f t="shared" si="49"/>
        <v>7.1493365125440592E-2</v>
      </c>
      <c r="AC50" s="3">
        <f t="shared" si="49"/>
        <v>6.8976211089431319E-2</v>
      </c>
      <c r="AD50" s="3">
        <f t="shared" si="49"/>
        <v>6.1295858142013986E-2</v>
      </c>
      <c r="AE50" s="3">
        <f t="shared" si="49"/>
        <v>0.11129874516120651</v>
      </c>
      <c r="AF50" s="3">
        <f t="shared" si="49"/>
        <v>0.1130212477337055</v>
      </c>
      <c r="AG50" s="3">
        <f t="shared" si="49"/>
        <v>0.11200998881460864</v>
      </c>
      <c r="AH50" s="3">
        <f t="shared" si="49"/>
        <v>0.11157440875761644</v>
      </c>
      <c r="AJ50" s="1" t="s">
        <v>33</v>
      </c>
      <c r="AK50" s="3">
        <f t="shared" si="53"/>
        <v>0.12959856435064174</v>
      </c>
      <c r="AL50" s="3">
        <f t="shared" si="50"/>
        <v>0.12633746464922913</v>
      </c>
      <c r="AM50" s="3">
        <f t="shared" si="50"/>
        <v>0.1221367087288875</v>
      </c>
      <c r="AN50" s="3">
        <f t="shared" si="50"/>
        <v>0.11700046941010797</v>
      </c>
      <c r="AO50" s="3">
        <f t="shared" si="50"/>
        <v>0.11168695196963749</v>
      </c>
      <c r="AP50" s="3">
        <f t="shared" si="50"/>
        <v>0.10087143988882973</v>
      </c>
      <c r="AQ50" s="3">
        <f t="shared" si="50"/>
        <v>7.942411362222683E-2</v>
      </c>
      <c r="AR50" s="3">
        <f t="shared" si="50"/>
        <v>6.9428471746630652E-2</v>
      </c>
      <c r="AS50" s="3">
        <f t="shared" si="50"/>
        <v>0.12001768024752346</v>
      </c>
      <c r="AT50" s="3">
        <f t="shared" si="50"/>
        <v>0.34063807123743212</v>
      </c>
      <c r="AU50" s="3">
        <f t="shared" si="50"/>
        <v>0.33924635110282131</v>
      </c>
      <c r="AV50" s="3">
        <f t="shared" si="50"/>
        <v>0.34163566839216503</v>
      </c>
      <c r="AW50" s="3">
        <f t="shared" si="50"/>
        <v>0.34107456366828465</v>
      </c>
    </row>
    <row r="51" spans="6:49">
      <c r="F51" s="1" t="s">
        <v>34</v>
      </c>
      <c r="G51" s="3">
        <f t="shared" ref="G51:G54" si="54">G21/SUM(G21,V21,AK21)</f>
        <v>0.28093737331467655</v>
      </c>
      <c r="H51" s="3">
        <f t="shared" ref="H51" si="55">H21/SUM(H21,W21,AL21)</f>
        <v>0.47145242502297524</v>
      </c>
      <c r="I51" s="3">
        <f t="shared" ref="I51" si="56">I21/SUM(I21,X21,AM21)</f>
        <v>0.47786595775180163</v>
      </c>
      <c r="J51" s="3">
        <f t="shared" ref="J51" si="57">J21/SUM(J21,Y21,AN21)</f>
        <v>0.48704622616871246</v>
      </c>
      <c r="K51" s="3">
        <f t="shared" ref="K51" si="58">K21/SUM(K21,Z21,AO21)</f>
        <v>0.49713064317637151</v>
      </c>
      <c r="L51" s="3">
        <f t="shared" ref="L51" si="59">L21/SUM(L21,AA21,AP21)</f>
        <v>0.51324236517218969</v>
      </c>
      <c r="M51" s="3">
        <f t="shared" ref="M51" si="60">M21/SUM(M21,AB21,AQ21)</f>
        <v>0.51500898975949139</v>
      </c>
      <c r="N51" s="3">
        <f t="shared" ref="N51" si="61">N21/SUM(N21,AC21,AR21)</f>
        <v>0.4714667013866285</v>
      </c>
      <c r="O51" s="3">
        <f t="shared" ref="O51" si="62">O21/SUM(O21,AD21,AS21)</f>
        <v>0.4211296879697774</v>
      </c>
      <c r="P51" s="3">
        <f t="shared" ref="P51" si="63">P21/SUM(P21,AE21,AT21)</f>
        <v>0.36739894212578666</v>
      </c>
      <c r="Q51" s="3">
        <f t="shared" ref="Q51" si="64">Q21/SUM(Q21,AF21,AU21)</f>
        <v>0.36428766819940339</v>
      </c>
      <c r="R51" s="3">
        <f t="shared" ref="R51" si="65">R21/SUM(R21,AG21,AV21)</f>
        <v>0.36301432114153648</v>
      </c>
      <c r="S51" s="3">
        <f t="shared" ref="S51" si="66">S21/SUM(S21,AH21,AW21)</f>
        <v>0.36573780464129013</v>
      </c>
      <c r="U51" s="1" t="s">
        <v>34</v>
      </c>
      <c r="V51" s="3">
        <f t="shared" ref="V51:V54" si="67">V21/SUM(G21,V21,AK21)</f>
        <v>0.63161542585884478</v>
      </c>
      <c r="W51" s="3">
        <f t="shared" ref="W51:W54" si="68">W21/SUM(H21,W21,AL21)</f>
        <v>0.43366944095680648</v>
      </c>
      <c r="X51" s="3">
        <f t="shared" ref="X51:X54" si="69">X21/SUM(I21,X21,AM21)</f>
        <v>0.42755124646519932</v>
      </c>
      <c r="Y51" s="3">
        <f t="shared" ref="Y51:Y54" si="70">Y21/SUM(J21,Y21,AN21)</f>
        <v>0.42213371637503266</v>
      </c>
      <c r="Z51" s="3">
        <f t="shared" ref="Z51:Z54" si="71">Z21/SUM(K21,Z21,AO21)</f>
        <v>0.41678865211477428</v>
      </c>
      <c r="AA51" s="3">
        <f t="shared" ref="AA51:AA54" si="72">AA21/SUM(L21,AA21,AP21)</f>
        <v>0.39902534113060428</v>
      </c>
      <c r="AB51" s="3">
        <f t="shared" ref="AB51:AB54" si="73">AB21/SUM(M21,AB21,AQ21)</f>
        <v>0.37126403835630717</v>
      </c>
      <c r="AC51" s="3">
        <f t="shared" ref="AC51:AC54" si="74">AC21/SUM(N21,AC21,AR21)</f>
        <v>0.41429594427446131</v>
      </c>
      <c r="AD51" s="3">
        <f t="shared" ref="AD51:AD54" si="75">AD21/SUM(O21,AD21,AS21)</f>
        <v>0.46183610243271156</v>
      </c>
      <c r="AE51" s="3">
        <f t="shared" ref="AE51:AE54" si="76">AE21/SUM(P21,AE21,AT21)</f>
        <v>0.5247545139827291</v>
      </c>
      <c r="AF51" s="3">
        <f t="shared" ref="AF51:AF54" si="77">AF21/SUM(Q21,AF21,AU21)</f>
        <v>0.52772603524860295</v>
      </c>
      <c r="AG51" s="3">
        <f t="shared" ref="AG51:AG54" si="78">AG21/SUM(R21,AG21,AV21)</f>
        <v>0.5292070787727704</v>
      </c>
      <c r="AH51" s="3">
        <f t="shared" ref="AH51:AH54" si="79">AH21/SUM(S21,AH21,AW21)</f>
        <v>0.52690162173355937</v>
      </c>
      <c r="AJ51" s="1" t="s">
        <v>34</v>
      </c>
      <c r="AK51" s="3">
        <f t="shared" ref="AK51:AK54" si="80">AK21/SUM(G21,V21,AK21)</f>
        <v>8.7447200826478708E-2</v>
      </c>
      <c r="AL51" s="3">
        <f t="shared" ref="AL51:AL54" si="81">AL21/SUM(H21,W21,AL21)</f>
        <v>9.4878134020218233E-2</v>
      </c>
      <c r="AM51" s="3">
        <f t="shared" ref="AM51:AM54" si="82">AM21/SUM(I21,X21,AM21)</f>
        <v>9.458279578299908E-2</v>
      </c>
      <c r="AN51" s="3">
        <f t="shared" ref="AN51:AN54" si="83">AN21/SUM(J21,Y21,AN21)</f>
        <v>9.0820057456254891E-2</v>
      </c>
      <c r="AO51" s="3">
        <f t="shared" ref="AO51:AO54" si="84">AO21/SUM(K21,Z21,AO21)</f>
        <v>8.6080704708854205E-2</v>
      </c>
      <c r="AP51" s="3">
        <f t="shared" ref="AP51:AP54" si="85">AP21/SUM(L21,AA21,AP21)</f>
        <v>8.7732293697205976E-2</v>
      </c>
      <c r="AQ51" s="3">
        <f t="shared" ref="AQ51:AQ54" si="86">AQ21/SUM(M21,AB21,AQ21)</f>
        <v>0.11372697188420147</v>
      </c>
      <c r="AR51" s="3">
        <f t="shared" ref="AR51:AR54" si="87">AR21/SUM(N21,AC21,AR21)</f>
        <v>0.11423735433891023</v>
      </c>
      <c r="AS51" s="3">
        <f t="shared" ref="AS51:AS54" si="88">AS21/SUM(O21,AD21,AS21)</f>
        <v>0.11703420959751108</v>
      </c>
      <c r="AT51" s="3">
        <f t="shared" ref="AT51:AT54" si="89">AT21/SUM(P21,AE21,AT21)</f>
        <v>0.10784654389148424</v>
      </c>
      <c r="AU51" s="3">
        <f t="shared" ref="AU51:AU54" si="90">AU21/SUM(Q21,AF21,AU21)</f>
        <v>0.10798629655199364</v>
      </c>
      <c r="AV51" s="3">
        <f t="shared" ref="AV51:AV54" si="91">AV21/SUM(R21,AG21,AV21)</f>
        <v>0.10777860008569314</v>
      </c>
      <c r="AW51" s="3">
        <f t="shared" ref="AW51:AW54" si="92">AW21/SUM(S21,AH21,AW21)</f>
        <v>0.10736057362515046</v>
      </c>
    </row>
    <row r="52" spans="6:49">
      <c r="F52" s="1" t="s">
        <v>35</v>
      </c>
      <c r="G52" s="3">
        <f t="shared" si="54"/>
        <v>0.27184681450928694</v>
      </c>
      <c r="H52" s="3">
        <f t="shared" ref="H52:H54" si="93">H22/SUM(H22,W22,AL22)</f>
        <v>0.45339818417639427</v>
      </c>
      <c r="I52" s="3">
        <f t="shared" ref="I52:I54" si="94">I22/SUM(I22,X22,AM22)</f>
        <v>0.46120964074579357</v>
      </c>
      <c r="J52" s="3">
        <f t="shared" ref="J52:J54" si="95">J22/SUM(J22,Y22,AN22)</f>
        <v>0.46708977643677413</v>
      </c>
      <c r="K52" s="3">
        <f t="shared" ref="K52:K54" si="96">K22/SUM(K22,Z22,AO22)</f>
        <v>0.47648679767649454</v>
      </c>
      <c r="L52" s="3">
        <f t="shared" ref="L52:L54" si="97">L22/SUM(L22,AA22,AP22)</f>
        <v>0.49368075129567329</v>
      </c>
      <c r="M52" s="3">
        <f t="shared" ref="M52:M54" si="98">M22/SUM(M22,AB22,AQ22)</f>
        <v>0.49905338886785311</v>
      </c>
      <c r="N52" s="3">
        <f t="shared" ref="N52:N54" si="99">N22/SUM(N22,AC22,AR22)</f>
        <v>0.4552811786677734</v>
      </c>
      <c r="O52" s="3">
        <f t="shared" ref="O52:O54" si="100">O22/SUM(O22,AD22,AS22)</f>
        <v>0.40709642824446451</v>
      </c>
      <c r="P52" s="3">
        <f t="shared" ref="P52:P54" si="101">P22/SUM(P22,AE22,AT22)</f>
        <v>0.34841758556494346</v>
      </c>
      <c r="Q52" s="3">
        <f t="shared" ref="Q52:Q54" si="102">Q22/SUM(Q22,AF22,AU22)</f>
        <v>0.35404967252447961</v>
      </c>
      <c r="R52" s="3">
        <f t="shared" ref="R52:R54" si="103">R22/SUM(R22,AG22,AV22)</f>
        <v>0.35357897876866012</v>
      </c>
      <c r="S52" s="3">
        <f t="shared" ref="S52:S54" si="104">S22/SUM(S22,AH22,AW22)</f>
        <v>0.35398586498986645</v>
      </c>
      <c r="U52" s="1" t="s">
        <v>35</v>
      </c>
      <c r="V52" s="3">
        <f t="shared" si="67"/>
        <v>0.64502107997337266</v>
      </c>
      <c r="W52" s="3">
        <f t="shared" si="68"/>
        <v>0.45206225680933854</v>
      </c>
      <c r="X52" s="3">
        <f t="shared" si="69"/>
        <v>0.4482167218865718</v>
      </c>
      <c r="Y52" s="3">
        <f t="shared" si="70"/>
        <v>0.44451236165481006</v>
      </c>
      <c r="Z52" s="3">
        <f t="shared" si="71"/>
        <v>0.4401593852284047</v>
      </c>
      <c r="AA52" s="3">
        <f t="shared" si="72"/>
        <v>0.42186343148843314</v>
      </c>
      <c r="AB52" s="3">
        <f t="shared" si="73"/>
        <v>0.39352909686769638</v>
      </c>
      <c r="AC52" s="3">
        <f t="shared" si="74"/>
        <v>0.43132652002490141</v>
      </c>
      <c r="AD52" s="3">
        <f t="shared" si="75"/>
        <v>0.48167039405710099</v>
      </c>
      <c r="AE52" s="3">
        <f t="shared" si="76"/>
        <v>0.5463398122713603</v>
      </c>
      <c r="AF52" s="3">
        <f t="shared" si="77"/>
        <v>0.5413656701900007</v>
      </c>
      <c r="AG52" s="3">
        <f t="shared" si="78"/>
        <v>0.54390879732306141</v>
      </c>
      <c r="AH52" s="3">
        <f t="shared" si="79"/>
        <v>0.54378215454970635</v>
      </c>
      <c r="AI52" s="4"/>
      <c r="AJ52" s="1" t="s">
        <v>35</v>
      </c>
      <c r="AK52" s="3">
        <f t="shared" si="80"/>
        <v>8.3132105517340404E-2</v>
      </c>
      <c r="AL52" s="3">
        <f t="shared" si="81"/>
        <v>9.453955901426718E-2</v>
      </c>
      <c r="AM52" s="3">
        <f t="shared" si="82"/>
        <v>9.0573637367634643E-2</v>
      </c>
      <c r="AN52" s="3">
        <f t="shared" si="83"/>
        <v>8.8397861908415809E-2</v>
      </c>
      <c r="AO52" s="3">
        <f t="shared" si="84"/>
        <v>8.3353817095100716E-2</v>
      </c>
      <c r="AP52" s="3">
        <f t="shared" si="85"/>
        <v>8.4455817215893597E-2</v>
      </c>
      <c r="AQ52" s="3">
        <f t="shared" si="86"/>
        <v>0.10741751426445051</v>
      </c>
      <c r="AR52" s="3">
        <f t="shared" si="87"/>
        <v>0.11339230130732517</v>
      </c>
      <c r="AS52" s="3">
        <f t="shared" si="88"/>
        <v>0.11123317769843449</v>
      </c>
      <c r="AT52" s="3">
        <f t="shared" si="89"/>
        <v>0.10524260216369626</v>
      </c>
      <c r="AU52" s="3">
        <f t="shared" si="90"/>
        <v>0.10458465728551974</v>
      </c>
      <c r="AV52" s="3">
        <f t="shared" si="91"/>
        <v>0.10251222390827854</v>
      </c>
      <c r="AW52" s="3">
        <f t="shared" si="92"/>
        <v>0.10223198046042717</v>
      </c>
    </row>
    <row r="53" spans="6:49">
      <c r="F53" s="1" t="s">
        <v>36</v>
      </c>
      <c r="G53" s="3">
        <f t="shared" si="54"/>
        <v>0.2649750958353978</v>
      </c>
      <c r="H53" s="3">
        <f t="shared" si="93"/>
        <v>0.43524614645421844</v>
      </c>
      <c r="I53" s="3">
        <f t="shared" si="94"/>
        <v>0.4428317343269243</v>
      </c>
      <c r="J53" s="3">
        <f t="shared" si="95"/>
        <v>0.45055504766879978</v>
      </c>
      <c r="K53" s="3">
        <f t="shared" si="96"/>
        <v>0.45976148238310438</v>
      </c>
      <c r="L53" s="3">
        <f t="shared" si="97"/>
        <v>0.47719476725228577</v>
      </c>
      <c r="M53" s="3">
        <f t="shared" si="98"/>
        <v>0.47886977250349794</v>
      </c>
      <c r="N53" s="3">
        <f t="shared" si="99"/>
        <v>0.4423275310463704</v>
      </c>
      <c r="O53" s="3">
        <f t="shared" si="100"/>
        <v>0.39574667221297838</v>
      </c>
      <c r="P53" s="3">
        <f t="shared" si="101"/>
        <v>0.33805121279800548</v>
      </c>
      <c r="Q53" s="3">
        <f t="shared" si="102"/>
        <v>0.3416326265966414</v>
      </c>
      <c r="R53" s="3">
        <f t="shared" si="103"/>
        <v>0.33719378700141206</v>
      </c>
      <c r="S53" s="3">
        <f t="shared" si="104"/>
        <v>0.33567307817525949</v>
      </c>
      <c r="U53" s="1" t="s">
        <v>36</v>
      </c>
      <c r="V53" s="3">
        <f t="shared" si="67"/>
        <v>0.65432758755574094</v>
      </c>
      <c r="W53" s="3">
        <f t="shared" si="68"/>
        <v>0.47430753048424168</v>
      </c>
      <c r="X53" s="3">
        <f t="shared" si="69"/>
        <v>0.46936788398873125</v>
      </c>
      <c r="Y53" s="3">
        <f t="shared" si="70"/>
        <v>0.46544338513778244</v>
      </c>
      <c r="Z53" s="3">
        <f t="shared" si="71"/>
        <v>0.45858313802167638</v>
      </c>
      <c r="AA53" s="3">
        <f t="shared" si="72"/>
        <v>0.4433618969362601</v>
      </c>
      <c r="AB53" s="3">
        <f t="shared" si="73"/>
        <v>0.41464994558739698</v>
      </c>
      <c r="AC53" s="3">
        <f t="shared" si="74"/>
        <v>0.4506587967980778</v>
      </c>
      <c r="AD53" s="3">
        <f t="shared" si="75"/>
        <v>0.49790713394342762</v>
      </c>
      <c r="AE53" s="3">
        <f t="shared" si="76"/>
        <v>0.56183451929569417</v>
      </c>
      <c r="AF53" s="3">
        <f t="shared" si="77"/>
        <v>0.55806263372884657</v>
      </c>
      <c r="AG53" s="3">
        <f t="shared" si="78"/>
        <v>0.56164419053541126</v>
      </c>
      <c r="AH53" s="3">
        <f t="shared" si="79"/>
        <v>0.56366146192814071</v>
      </c>
      <c r="AJ53" s="1" t="s">
        <v>36</v>
      </c>
      <c r="AK53" s="3">
        <f t="shared" si="80"/>
        <v>8.0697316608861189E-2</v>
      </c>
      <c r="AL53" s="3">
        <f t="shared" si="81"/>
        <v>9.0446323061539866E-2</v>
      </c>
      <c r="AM53" s="3">
        <f t="shared" si="82"/>
        <v>8.7800381684344453E-2</v>
      </c>
      <c r="AN53" s="3">
        <f t="shared" si="83"/>
        <v>8.4001567193417781E-2</v>
      </c>
      <c r="AO53" s="3">
        <f t="shared" si="84"/>
        <v>8.1655379595219291E-2</v>
      </c>
      <c r="AP53" s="3">
        <f t="shared" si="85"/>
        <v>7.944333581145413E-2</v>
      </c>
      <c r="AQ53" s="3">
        <f t="shared" si="86"/>
        <v>0.10648028190910504</v>
      </c>
      <c r="AR53" s="3">
        <f t="shared" si="87"/>
        <v>0.10701367215555178</v>
      </c>
      <c r="AS53" s="3">
        <f t="shared" si="88"/>
        <v>0.10634619384359401</v>
      </c>
      <c r="AT53" s="3">
        <f t="shared" si="89"/>
        <v>0.10011426790630032</v>
      </c>
      <c r="AU53" s="3">
        <f t="shared" si="90"/>
        <v>0.10030473967451209</v>
      </c>
      <c r="AV53" s="3">
        <f t="shared" si="91"/>
        <v>0.10116202246317671</v>
      </c>
      <c r="AW53" s="3">
        <f t="shared" si="92"/>
        <v>0.10066545989659978</v>
      </c>
    </row>
    <row r="54" spans="6:49">
      <c r="F54" s="1" t="s">
        <v>37</v>
      </c>
      <c r="G54" s="3">
        <f t="shared" si="54"/>
        <v>0.25243312964965536</v>
      </c>
      <c r="H54" s="3">
        <f t="shared" si="93"/>
        <v>0.42155541153596887</v>
      </c>
      <c r="I54" s="3">
        <f t="shared" si="94"/>
        <v>0.42448687970901533</v>
      </c>
      <c r="J54" s="3">
        <f t="shared" si="95"/>
        <v>0.4293653988494851</v>
      </c>
      <c r="K54" s="3">
        <f t="shared" si="96"/>
        <v>0.44475847226903831</v>
      </c>
      <c r="L54" s="3">
        <f t="shared" si="97"/>
        <v>0.45775791511309161</v>
      </c>
      <c r="M54" s="3">
        <f t="shared" si="98"/>
        <v>0.46619480519480522</v>
      </c>
      <c r="N54" s="3">
        <f t="shared" si="99"/>
        <v>0.42100954979536154</v>
      </c>
      <c r="O54" s="3">
        <f t="shared" si="100"/>
        <v>0.37662269337507071</v>
      </c>
      <c r="P54" s="3">
        <f t="shared" si="101"/>
        <v>0.32148495121761861</v>
      </c>
      <c r="Q54" s="3">
        <f t="shared" si="102"/>
        <v>0.32527603700387941</v>
      </c>
      <c r="R54" s="3">
        <f t="shared" si="103"/>
        <v>0.3263392044124151</v>
      </c>
      <c r="S54" s="3">
        <f t="shared" si="104"/>
        <v>0.32544024174221109</v>
      </c>
      <c r="U54" s="1" t="s">
        <v>37</v>
      </c>
      <c r="V54" s="3">
        <f t="shared" si="67"/>
        <v>0.67024090263572755</v>
      </c>
      <c r="W54" s="3">
        <f t="shared" si="68"/>
        <v>0.49239144523655215</v>
      </c>
      <c r="X54" s="3">
        <f t="shared" si="69"/>
        <v>0.49158222915042871</v>
      </c>
      <c r="Y54" s="3">
        <f t="shared" si="70"/>
        <v>0.48941032866288353</v>
      </c>
      <c r="Z54" s="3">
        <f t="shared" si="71"/>
        <v>0.47898462416055176</v>
      </c>
      <c r="AA54" s="3">
        <f t="shared" si="72"/>
        <v>0.46307146661816478</v>
      </c>
      <c r="AB54" s="3">
        <f t="shared" si="73"/>
        <v>0.43550649350649351</v>
      </c>
      <c r="AC54" s="3">
        <f t="shared" si="74"/>
        <v>0.47799649191190802</v>
      </c>
      <c r="AD54" s="3">
        <f t="shared" si="75"/>
        <v>0.51786771185437519</v>
      </c>
      <c r="AE54" s="3">
        <f t="shared" si="76"/>
        <v>0.58183018037835454</v>
      </c>
      <c r="AF54" s="3">
        <f t="shared" si="77"/>
        <v>0.57981394262582231</v>
      </c>
      <c r="AG54" s="3">
        <f t="shared" si="78"/>
        <v>0.57681400733668076</v>
      </c>
      <c r="AH54" s="3">
        <f t="shared" si="79"/>
        <v>0.57824059601958944</v>
      </c>
      <c r="AJ54" s="1" t="s">
        <v>37</v>
      </c>
      <c r="AK54" s="3">
        <f t="shared" si="80"/>
        <v>7.7325967714617014E-2</v>
      </c>
      <c r="AL54" s="3">
        <f t="shared" si="81"/>
        <v>8.6053143227478937E-2</v>
      </c>
      <c r="AM54" s="3">
        <f t="shared" si="82"/>
        <v>8.3930891140555991E-2</v>
      </c>
      <c r="AN54" s="3">
        <f t="shared" si="83"/>
        <v>8.122427248763131E-2</v>
      </c>
      <c r="AO54" s="3">
        <f t="shared" si="84"/>
        <v>7.6256903570409942E-2</v>
      </c>
      <c r="AP54" s="3">
        <f t="shared" si="85"/>
        <v>7.9170618268743581E-2</v>
      </c>
      <c r="AQ54" s="3">
        <f t="shared" si="86"/>
        <v>9.8298701298701302E-2</v>
      </c>
      <c r="AR54" s="3">
        <f t="shared" si="87"/>
        <v>0.10099395829273046</v>
      </c>
      <c r="AS54" s="3">
        <f t="shared" si="88"/>
        <v>0.10550959477055412</v>
      </c>
      <c r="AT54" s="3">
        <f t="shared" si="89"/>
        <v>9.6684868404026805E-2</v>
      </c>
      <c r="AU54" s="3">
        <f t="shared" si="90"/>
        <v>9.491002037029829E-2</v>
      </c>
      <c r="AV54" s="3">
        <f t="shared" si="91"/>
        <v>9.6846788250904078E-2</v>
      </c>
      <c r="AW54" s="3">
        <f t="shared" si="92"/>
        <v>9.6319162238199432E-2</v>
      </c>
    </row>
    <row r="55" spans="6:49">
      <c r="F55" s="1" t="s">
        <v>38</v>
      </c>
      <c r="G55" s="3">
        <f>G25/SUM(G25,V25,AK25)</f>
        <v>0.2437684336909143</v>
      </c>
      <c r="H55" s="3">
        <f t="shared" ref="H55:S55" si="105">H25/SUM(H25,W25,AL25)</f>
        <v>0.40348226959590566</v>
      </c>
      <c r="I55" s="3">
        <f t="shared" si="105"/>
        <v>0.40775674513737803</v>
      </c>
      <c r="J55" s="3">
        <f t="shared" si="105"/>
        <v>0.41546825903857937</v>
      </c>
      <c r="K55" s="3">
        <f t="shared" si="105"/>
        <v>0.42362084176656806</v>
      </c>
      <c r="L55" s="3">
        <f t="shared" si="105"/>
        <v>0.44297460638601405</v>
      </c>
      <c r="M55" s="3">
        <f t="shared" si="105"/>
        <v>0.44385719467329915</v>
      </c>
      <c r="N55" s="3">
        <f t="shared" si="105"/>
        <v>0.4044187406589122</v>
      </c>
      <c r="O55" s="3">
        <f t="shared" si="105"/>
        <v>0.36169853695265541</v>
      </c>
      <c r="P55" s="3">
        <f t="shared" si="105"/>
        <v>0.30849105522426756</v>
      </c>
      <c r="Q55" s="3">
        <f t="shared" si="105"/>
        <v>0.31220212835411632</v>
      </c>
      <c r="R55" s="3">
        <f t="shared" si="105"/>
        <v>0.31297947335683185</v>
      </c>
      <c r="S55" s="3">
        <f t="shared" si="105"/>
        <v>0.31434703433922995</v>
      </c>
      <c r="U55" s="1" t="s">
        <v>38</v>
      </c>
      <c r="V55" s="3">
        <f>V25/SUM(G25,V25,AK25)</f>
        <v>0.68348863310103625</v>
      </c>
      <c r="W55" s="3">
        <f t="shared" ref="W55:AH55" si="106">W25/SUM(H25,W25,AL25)</f>
        <v>0.51279480133873345</v>
      </c>
      <c r="X55" s="3">
        <f t="shared" si="106"/>
        <v>0.51187482901027892</v>
      </c>
      <c r="Y55" s="3">
        <f t="shared" si="106"/>
        <v>0.50562588821236265</v>
      </c>
      <c r="Z55" s="3">
        <f t="shared" si="106"/>
        <v>0.5022834604805646</v>
      </c>
      <c r="AA55" s="3">
        <f t="shared" si="106"/>
        <v>0.4839960573755609</v>
      </c>
      <c r="AB55" s="3">
        <f t="shared" si="106"/>
        <v>0.46152650396393596</v>
      </c>
      <c r="AC55" s="3">
        <f t="shared" si="106"/>
        <v>0.49744622782506986</v>
      </c>
      <c r="AD55" s="3">
        <f t="shared" si="106"/>
        <v>0.53984759382586234</v>
      </c>
      <c r="AE55" s="3">
        <f t="shared" si="106"/>
        <v>0.60168524760176301</v>
      </c>
      <c r="AF55" s="3">
        <f t="shared" si="106"/>
        <v>0.59539074231246325</v>
      </c>
      <c r="AG55" s="3">
        <f t="shared" si="106"/>
        <v>0.59493572465270583</v>
      </c>
      <c r="AH55" s="3">
        <f t="shared" si="106"/>
        <v>0.59445889698231014</v>
      </c>
      <c r="AJ55" s="1" t="s">
        <v>38</v>
      </c>
      <c r="AK55" s="3">
        <f>AK25/SUM(G25,V25,AK25)</f>
        <v>7.274293320804949E-2</v>
      </c>
      <c r="AL55" s="3">
        <f t="shared" ref="AL55:AW55" si="107">AL25/SUM(H25,W25,AL25)</f>
        <v>8.3722929065360926E-2</v>
      </c>
      <c r="AM55" s="3">
        <f t="shared" si="107"/>
        <v>8.0368425852343051E-2</v>
      </c>
      <c r="AN55" s="3">
        <f t="shared" si="107"/>
        <v>7.8905852749058009E-2</v>
      </c>
      <c r="AO55" s="3">
        <f t="shared" si="107"/>
        <v>7.4095697752867298E-2</v>
      </c>
      <c r="AP55" s="3">
        <f t="shared" si="107"/>
        <v>7.302933623842503E-2</v>
      </c>
      <c r="AQ55" s="3">
        <f t="shared" si="107"/>
        <v>9.4616301362764915E-2</v>
      </c>
      <c r="AR55" s="3">
        <f t="shared" si="107"/>
        <v>9.8135031516017934E-2</v>
      </c>
      <c r="AS55" s="3">
        <f t="shared" si="107"/>
        <v>9.8453869221482262E-2</v>
      </c>
      <c r="AT55" s="3">
        <f t="shared" si="107"/>
        <v>8.9823697173969402E-2</v>
      </c>
      <c r="AU55" s="3">
        <f t="shared" si="107"/>
        <v>9.2407129333420379E-2</v>
      </c>
      <c r="AV55" s="3">
        <f t="shared" si="107"/>
        <v>9.2084801990462373E-2</v>
      </c>
      <c r="AW55" s="3">
        <f t="shared" si="107"/>
        <v>9.1194068678459944E-2</v>
      </c>
    </row>
    <row r="56" spans="6:49">
      <c r="F56" s="1" t="s">
        <v>39</v>
      </c>
      <c r="G56" s="3">
        <f t="shared" ref="G56:G60" si="108">G26/SUM(G26,V26,AK26)</f>
        <v>0.11533938931889545</v>
      </c>
      <c r="H56" s="3">
        <f t="shared" ref="H56:H60" si="109">H26/SUM(H26,W26,AL26)</f>
        <v>0.35160234253740102</v>
      </c>
      <c r="I56" s="3">
        <f t="shared" ref="I56:I60" si="110">I26/SUM(I26,X26,AM26)</f>
        <v>0.37588994025848943</v>
      </c>
      <c r="J56" s="3">
        <f t="shared" ref="J56:J60" si="111">J26/SUM(J26,Y26,AN26)</f>
        <v>0.39458973456862517</v>
      </c>
      <c r="K56" s="3">
        <f t="shared" ref="K56:K60" si="112">K26/SUM(K26,Z26,AO26)</f>
        <v>0.41697498986782411</v>
      </c>
      <c r="L56" s="3">
        <f t="shared" ref="L56:L60" si="113">L26/SUM(L26,AA26,AP26)</f>
        <v>0.42374138155327173</v>
      </c>
      <c r="M56" s="3">
        <f t="shared" ref="M56:M60" si="114">M26/SUM(M26,AB26,AQ26)</f>
        <v>0.26079863269111248</v>
      </c>
      <c r="N56" s="3">
        <f t="shared" ref="N56:N60" si="115">N26/SUM(N26,AC26,AR26)</f>
        <v>0.2452620281660646</v>
      </c>
      <c r="O56" s="3">
        <f t="shared" ref="O56:O60" si="116">O26/SUM(O26,AD26,AS26)</f>
        <v>0.22900574757483549</v>
      </c>
      <c r="P56" s="3">
        <f t="shared" ref="P56:P60" si="117">P26/SUM(P26,AE26,AT26)</f>
        <v>0.21458381937423854</v>
      </c>
      <c r="Q56" s="3">
        <f t="shared" ref="Q56:Q60" si="118">Q26/SUM(Q26,AF26,AU26)</f>
        <v>0.2131385160931292</v>
      </c>
      <c r="R56" s="3">
        <f t="shared" ref="R56:R60" si="119">R26/SUM(R26,AG26,AV26)</f>
        <v>0.21305551583845683</v>
      </c>
      <c r="S56" s="3">
        <f t="shared" ref="S56:S60" si="120">S26/SUM(S26,AH26,AW26)</f>
        <v>0.2106853400765091</v>
      </c>
      <c r="U56" s="1" t="s">
        <v>39</v>
      </c>
      <c r="V56" s="3">
        <f t="shared" ref="V56:V60" si="121">V26/SUM(G26,V26,AK26)</f>
        <v>0.75487472379795573</v>
      </c>
      <c r="W56" s="3">
        <f t="shared" ref="W56:W60" si="122">W26/SUM(H26,W26,AL26)</f>
        <v>0.50728456090466811</v>
      </c>
      <c r="X56" s="3">
        <f t="shared" ref="X56:X60" si="123">X26/SUM(I26,X26,AM26)</f>
        <v>0.4882274082076245</v>
      </c>
      <c r="Y56" s="3">
        <f t="shared" ref="Y56:Y60" si="124">Y26/SUM(J26,Y26,AN26)</f>
        <v>0.47389338441291062</v>
      </c>
      <c r="Z56" s="3">
        <f t="shared" ref="Z56:Z60" si="125">Z26/SUM(K26,Z26,AO26)</f>
        <v>0.46064139941690962</v>
      </c>
      <c r="AA56" s="3">
        <f t="shared" ref="AA56:AA60" si="126">AA26/SUM(L26,AA26,AP26)</f>
        <v>0.40849486145440356</v>
      </c>
      <c r="AB56" s="3">
        <f t="shared" ref="AB56:AB60" si="127">AB26/SUM(M26,AB26,AQ26)</f>
        <v>0.36927698363372696</v>
      </c>
      <c r="AC56" s="3">
        <f t="shared" ref="AC56:AC60" si="128">AC26/SUM(N26,AC26,AR26)</f>
        <v>0.62486257264017586</v>
      </c>
      <c r="AD56" s="3">
        <f t="shared" ref="AD56:AD60" si="129">AD26/SUM(O26,AD26,AS26)</f>
        <v>0.64964500273074821</v>
      </c>
      <c r="AE56" s="3">
        <f t="shared" ref="AE56:AE60" si="130">AE26/SUM(P26,AE26,AT26)</f>
        <v>0.67448220442232421</v>
      </c>
      <c r="AF56" s="3">
        <f t="shared" ref="AF56:AF60" si="131">AF26/SUM(Q26,AF26,AU26)</f>
        <v>0.67607966972524558</v>
      </c>
      <c r="AG56" s="3">
        <f t="shared" ref="AG56:AG60" si="132">AG26/SUM(R26,AG26,AV26)</f>
        <v>0.67483394642091166</v>
      </c>
      <c r="AH56" s="3">
        <f t="shared" ref="AH56:AH60" si="133">AH26/SUM(S26,AH26,AW26)</f>
        <v>0.67779290669778902</v>
      </c>
      <c r="AJ56" s="1" t="s">
        <v>39</v>
      </c>
      <c r="AK56" s="3">
        <f t="shared" ref="AK56:AK60" si="134">AK26/SUM(G26,V26,AK26)</f>
        <v>0.12978588688314877</v>
      </c>
      <c r="AL56" s="3">
        <f t="shared" ref="AL56:AL60" si="135">AL26/SUM(H26,W26,AL26)</f>
        <v>0.14111309655793083</v>
      </c>
      <c r="AM56" s="3">
        <f t="shared" ref="AM56:AM60" si="136">AM26/SUM(I26,X26,AM26)</f>
        <v>0.13588265153388607</v>
      </c>
      <c r="AN56" s="3">
        <f t="shared" ref="AN56:AN60" si="137">AN26/SUM(J26,Y26,AN26)</f>
        <v>0.13151688101846423</v>
      </c>
      <c r="AO56" s="3">
        <f t="shared" ref="AO56:AO60" si="138">AO26/SUM(K26,Z26,AO26)</f>
        <v>0.12238361071526625</v>
      </c>
      <c r="AP56" s="3">
        <f t="shared" ref="AP56:AP60" si="139">AP26/SUM(L26,AA26,AP26)</f>
        <v>0.16776375699232471</v>
      </c>
      <c r="AQ56" s="3">
        <f t="shared" ref="AQ56:AQ60" si="140">AQ26/SUM(M26,AB26,AQ26)</f>
        <v>0.36992438367516056</v>
      </c>
      <c r="AR56" s="3">
        <f t="shared" ref="AR56:AR60" si="141">AR26/SUM(N26,AC26,AR26)</f>
        <v>0.12987539919375948</v>
      </c>
      <c r="AS56" s="3">
        <f t="shared" ref="AS56:AS60" si="142">AS26/SUM(O26,AD26,AS26)</f>
        <v>0.12134924969441627</v>
      </c>
      <c r="AT56" s="3">
        <f t="shared" ref="AT56:AT60" si="143">AT26/SUM(P26,AE26,AT26)</f>
        <v>0.11093397620343728</v>
      </c>
      <c r="AU56" s="3">
        <f t="shared" ref="AU56:AU60" si="144">AU26/SUM(Q26,AF26,AU26)</f>
        <v>0.11078181418162523</v>
      </c>
      <c r="AV56" s="3">
        <f t="shared" ref="AV56:AV60" si="145">AV26/SUM(R26,AG26,AV26)</f>
        <v>0.11211053774063146</v>
      </c>
      <c r="AW56" s="3">
        <f t="shared" ref="AW56:AW60" si="146">AW26/SUM(S26,AH26,AW26)</f>
        <v>0.11152175322570188</v>
      </c>
    </row>
    <row r="57" spans="6:49">
      <c r="F57" s="1" t="s">
        <v>40</v>
      </c>
      <c r="G57" s="3">
        <f t="shared" si="108"/>
        <v>0.24517527352013602</v>
      </c>
      <c r="H57" s="3">
        <f t="shared" si="109"/>
        <v>0.4948544928744496</v>
      </c>
      <c r="I57" s="3">
        <f t="shared" si="110"/>
        <v>0.50500118138142869</v>
      </c>
      <c r="J57" s="3">
        <f t="shared" si="111"/>
        <v>0.52850882879145389</v>
      </c>
      <c r="K57" s="3">
        <f t="shared" si="112"/>
        <v>0.54219809335792402</v>
      </c>
      <c r="L57" s="3">
        <f t="shared" si="113"/>
        <v>0.58805558805558811</v>
      </c>
      <c r="M57" s="3">
        <f t="shared" si="114"/>
        <v>0.63010220604427636</v>
      </c>
      <c r="N57" s="3">
        <f t="shared" si="115"/>
        <v>0.37452464080366532</v>
      </c>
      <c r="O57" s="3">
        <f t="shared" si="116"/>
        <v>0.34943211420235493</v>
      </c>
      <c r="P57" s="3">
        <f t="shared" si="117"/>
        <v>0.32538436587739217</v>
      </c>
      <c r="Q57" s="3">
        <f t="shared" si="118"/>
        <v>0.32006155531501457</v>
      </c>
      <c r="R57" s="3">
        <f t="shared" si="119"/>
        <v>0.324004347488549</v>
      </c>
      <c r="S57" s="3">
        <f t="shared" si="120"/>
        <v>0.32236961893614252</v>
      </c>
      <c r="U57" s="1" t="s">
        <v>40</v>
      </c>
      <c r="V57" s="3">
        <f t="shared" si="121"/>
        <v>0.62500162230211154</v>
      </c>
      <c r="W57" s="3">
        <f t="shared" si="122"/>
        <v>0.37085428444884455</v>
      </c>
      <c r="X57" s="3">
        <f t="shared" si="123"/>
        <v>0.36286786905043183</v>
      </c>
      <c r="Y57" s="3">
        <f t="shared" si="124"/>
        <v>0.34917157155080769</v>
      </c>
      <c r="Z57" s="3">
        <f t="shared" si="125"/>
        <v>0.33558459100709148</v>
      </c>
      <c r="AA57" s="3">
        <f t="shared" si="126"/>
        <v>0.30659230659230657</v>
      </c>
      <c r="AB57" s="3">
        <f t="shared" si="127"/>
        <v>0.23094161690221124</v>
      </c>
      <c r="AC57" s="3">
        <f t="shared" si="128"/>
        <v>0.266019442677846</v>
      </c>
      <c r="AD57" s="3">
        <f t="shared" si="129"/>
        <v>0.53357820152130875</v>
      </c>
      <c r="AE57" s="3">
        <f t="shared" si="130"/>
        <v>0.56412585144339933</v>
      </c>
      <c r="AF57" s="3">
        <f t="shared" si="131"/>
        <v>0.56681751196546637</v>
      </c>
      <c r="AG57" s="3">
        <f t="shared" si="132"/>
        <v>0.5645006857645628</v>
      </c>
      <c r="AH57" s="3">
        <f t="shared" si="133"/>
        <v>0.56613343737807253</v>
      </c>
      <c r="AJ57" s="1" t="s">
        <v>40</v>
      </c>
      <c r="AK57" s="3">
        <f t="shared" si="134"/>
        <v>0.12982310417775239</v>
      </c>
      <c r="AL57" s="3">
        <f t="shared" si="135"/>
        <v>0.13429122267670585</v>
      </c>
      <c r="AM57" s="3">
        <f t="shared" si="136"/>
        <v>0.13213094956813945</v>
      </c>
      <c r="AN57" s="3">
        <f t="shared" si="137"/>
        <v>0.12231959965773848</v>
      </c>
      <c r="AO57" s="3">
        <f t="shared" si="138"/>
        <v>0.12221731563498454</v>
      </c>
      <c r="AP57" s="3">
        <f t="shared" si="139"/>
        <v>0.10535210535210535</v>
      </c>
      <c r="AQ57" s="3">
        <f t="shared" si="140"/>
        <v>0.13895617705351243</v>
      </c>
      <c r="AR57" s="3">
        <f t="shared" si="141"/>
        <v>0.35945591651848874</v>
      </c>
      <c r="AS57" s="3">
        <f t="shared" si="142"/>
        <v>0.11698968427633635</v>
      </c>
      <c r="AT57" s="3">
        <f t="shared" si="143"/>
        <v>0.11048978267920856</v>
      </c>
      <c r="AU57" s="3">
        <f t="shared" si="144"/>
        <v>0.11312093271951904</v>
      </c>
      <c r="AV57" s="3">
        <f t="shared" si="145"/>
        <v>0.11149496674688818</v>
      </c>
      <c r="AW57" s="3">
        <f t="shared" si="146"/>
        <v>0.11149694368578489</v>
      </c>
    </row>
    <row r="58" spans="6:49">
      <c r="F58" s="1" t="s">
        <v>41</v>
      </c>
      <c r="G58" s="3">
        <f t="shared" si="108"/>
        <v>0.37637215616148695</v>
      </c>
      <c r="H58" s="3">
        <f t="shared" si="109"/>
        <v>0.62975543478260865</v>
      </c>
      <c r="I58" s="3">
        <f t="shared" si="110"/>
        <v>0.6386730077717202</v>
      </c>
      <c r="J58" s="3">
        <f t="shared" si="111"/>
        <v>0.65075540505339935</v>
      </c>
      <c r="K58" s="3">
        <f t="shared" si="112"/>
        <v>0.66237113402061853</v>
      </c>
      <c r="L58" s="3">
        <f t="shared" si="113"/>
        <v>0.69662819348981975</v>
      </c>
      <c r="M58" s="3">
        <f t="shared" si="114"/>
        <v>0.76795171339563861</v>
      </c>
      <c r="N58" s="3">
        <f t="shared" si="115"/>
        <v>0.73052771168922348</v>
      </c>
      <c r="O58" s="3">
        <f t="shared" si="116"/>
        <v>0.46854140036926573</v>
      </c>
      <c r="P58" s="3">
        <f t="shared" si="117"/>
        <v>0.43859169595210207</v>
      </c>
      <c r="Q58" s="3">
        <f t="shared" si="118"/>
        <v>0.43383812010443862</v>
      </c>
      <c r="R58" s="3">
        <f t="shared" si="119"/>
        <v>0.43898917906565393</v>
      </c>
      <c r="S58" s="3">
        <f t="shared" si="120"/>
        <v>0.43814929570130445</v>
      </c>
      <c r="U58" s="1" t="s">
        <v>41</v>
      </c>
      <c r="V58" s="3">
        <f t="shared" si="121"/>
        <v>0.49224022032814274</v>
      </c>
      <c r="W58" s="3">
        <f t="shared" si="122"/>
        <v>0.24003187709030099</v>
      </c>
      <c r="X58" s="3">
        <f t="shared" si="123"/>
        <v>0.23731456778667079</v>
      </c>
      <c r="Y58" s="3">
        <f t="shared" si="124"/>
        <v>0.22785881740036468</v>
      </c>
      <c r="Z58" s="3">
        <f t="shared" si="125"/>
        <v>0.22059512652296157</v>
      </c>
      <c r="AA58" s="3">
        <f t="shared" si="126"/>
        <v>0.19579821034885228</v>
      </c>
      <c r="AB58" s="3">
        <f t="shared" si="127"/>
        <v>0.15267393561786086</v>
      </c>
      <c r="AC58" s="3">
        <f t="shared" si="128"/>
        <v>0.13976104112224866</v>
      </c>
      <c r="AD58" s="3">
        <f t="shared" si="129"/>
        <v>0.18112096680481854</v>
      </c>
      <c r="AE58" s="3">
        <f t="shared" si="130"/>
        <v>0.45109983079526228</v>
      </c>
      <c r="AF58" s="3">
        <f t="shared" si="131"/>
        <v>0.45306788511749346</v>
      </c>
      <c r="AG58" s="3">
        <f t="shared" si="132"/>
        <v>0.4506685048382062</v>
      </c>
      <c r="AH58" s="3">
        <f t="shared" si="133"/>
        <v>0.44990496524071133</v>
      </c>
      <c r="AJ58" s="1" t="s">
        <v>41</v>
      </c>
      <c r="AK58" s="3">
        <f t="shared" si="134"/>
        <v>0.13138762351037031</v>
      </c>
      <c r="AL58" s="3">
        <f t="shared" si="135"/>
        <v>0.1302126881270903</v>
      </c>
      <c r="AM58" s="3">
        <f t="shared" si="136"/>
        <v>0.124012424441609</v>
      </c>
      <c r="AN58" s="3">
        <f t="shared" si="137"/>
        <v>0.121385777546236</v>
      </c>
      <c r="AO58" s="3">
        <f t="shared" si="138"/>
        <v>0.11703373945641987</v>
      </c>
      <c r="AP58" s="3">
        <f t="shared" si="139"/>
        <v>0.10757359616132797</v>
      </c>
      <c r="AQ58" s="3">
        <f t="shared" si="140"/>
        <v>7.9374350986500516E-2</v>
      </c>
      <c r="AR58" s="3">
        <f t="shared" si="141"/>
        <v>0.12971124718852789</v>
      </c>
      <c r="AS58" s="3">
        <f t="shared" si="142"/>
        <v>0.35033763282591573</v>
      </c>
      <c r="AT58" s="3">
        <f t="shared" si="143"/>
        <v>0.11030847325263569</v>
      </c>
      <c r="AU58" s="3">
        <f t="shared" si="144"/>
        <v>0.11309399477806789</v>
      </c>
      <c r="AV58" s="3">
        <f t="shared" si="145"/>
        <v>0.11034231609613984</v>
      </c>
      <c r="AW58" s="3">
        <f t="shared" si="146"/>
        <v>0.11194573905798422</v>
      </c>
    </row>
    <row r="59" spans="6:49">
      <c r="F59" s="1" t="s">
        <v>42</v>
      </c>
      <c r="G59" s="3">
        <f t="shared" si="108"/>
        <v>0.50938844699439301</v>
      </c>
      <c r="H59" s="3">
        <f t="shared" si="109"/>
        <v>0.75512331122894327</v>
      </c>
      <c r="I59" s="3">
        <f t="shared" si="110"/>
        <v>0.76131018891458568</v>
      </c>
      <c r="J59" s="3">
        <f t="shared" si="111"/>
        <v>0.7715067001892123</v>
      </c>
      <c r="K59" s="3">
        <f t="shared" si="112"/>
        <v>0.78093682340891701</v>
      </c>
      <c r="L59" s="3">
        <f t="shared" si="113"/>
        <v>0.80197453140649588</v>
      </c>
      <c r="M59" s="3">
        <f t="shared" si="114"/>
        <v>0.84796473943479389</v>
      </c>
      <c r="N59" s="3">
        <f t="shared" si="115"/>
        <v>0.86152780681580599</v>
      </c>
      <c r="O59" s="3">
        <f t="shared" si="116"/>
        <v>0.81885616697302721</v>
      </c>
      <c r="P59" s="3">
        <f t="shared" si="117"/>
        <v>0.54679156543543506</v>
      </c>
      <c r="Q59" s="3">
        <f t="shared" si="118"/>
        <v>0.55028435957559818</v>
      </c>
      <c r="R59" s="3">
        <f t="shared" si="119"/>
        <v>0.54628602742585752</v>
      </c>
      <c r="S59" s="3">
        <f t="shared" si="120"/>
        <v>0.54331585421117368</v>
      </c>
      <c r="U59" s="1" t="s">
        <v>42</v>
      </c>
      <c r="V59" s="3">
        <f t="shared" si="121"/>
        <v>0.36163776242013301</v>
      </c>
      <c r="W59" s="3">
        <f t="shared" si="122"/>
        <v>0.11925948121995388</v>
      </c>
      <c r="X59" s="3">
        <f t="shared" si="123"/>
        <v>0.11628511290699789</v>
      </c>
      <c r="Y59" s="3">
        <f t="shared" si="124"/>
        <v>0.11277571861797257</v>
      </c>
      <c r="Z59" s="3">
        <f t="shared" si="125"/>
        <v>0.10778784696563079</v>
      </c>
      <c r="AA59" s="3">
        <f t="shared" si="126"/>
        <v>9.7113646119226321E-2</v>
      </c>
      <c r="AB59" s="3">
        <f t="shared" si="127"/>
        <v>7.3658283640134825E-2</v>
      </c>
      <c r="AC59" s="3">
        <f t="shared" si="128"/>
        <v>6.9268764373823954E-2</v>
      </c>
      <c r="AD59" s="3">
        <f t="shared" si="129"/>
        <v>6.0972271109546713E-2</v>
      </c>
      <c r="AE59" s="3">
        <f t="shared" si="130"/>
        <v>0.11260377554599904</v>
      </c>
      <c r="AF59" s="3">
        <f t="shared" si="131"/>
        <v>0.1114249070487492</v>
      </c>
      <c r="AG59" s="3">
        <f t="shared" si="132"/>
        <v>0.11330454183682789</v>
      </c>
      <c r="AH59" s="3">
        <f t="shared" si="133"/>
        <v>0.11516799378520101</v>
      </c>
      <c r="AJ59" s="1" t="s">
        <v>42</v>
      </c>
      <c r="AK59" s="3">
        <f t="shared" si="134"/>
        <v>0.12897379058547398</v>
      </c>
      <c r="AL59" s="3">
        <f t="shared" si="135"/>
        <v>0.12561720755110284</v>
      </c>
      <c r="AM59" s="3">
        <f t="shared" si="136"/>
        <v>0.12240469817841644</v>
      </c>
      <c r="AN59" s="3">
        <f t="shared" si="137"/>
        <v>0.11571758119281511</v>
      </c>
      <c r="AO59" s="3">
        <f t="shared" si="138"/>
        <v>0.11127532962545214</v>
      </c>
      <c r="AP59" s="3">
        <f t="shared" si="139"/>
        <v>0.10091182247427777</v>
      </c>
      <c r="AQ59" s="3">
        <f t="shared" si="140"/>
        <v>7.8376976925071298E-2</v>
      </c>
      <c r="AR59" s="3">
        <f t="shared" si="141"/>
        <v>6.920342881037006E-2</v>
      </c>
      <c r="AS59" s="3">
        <f t="shared" si="142"/>
        <v>0.12017156191742605</v>
      </c>
      <c r="AT59" s="3">
        <f t="shared" si="143"/>
        <v>0.3406046590185659</v>
      </c>
      <c r="AU59" s="3">
        <f t="shared" si="144"/>
        <v>0.33829073337565257</v>
      </c>
      <c r="AV59" s="3">
        <f t="shared" si="145"/>
        <v>0.34040943073731456</v>
      </c>
      <c r="AW59" s="3">
        <f t="shared" si="146"/>
        <v>0.34151615200362528</v>
      </c>
    </row>
    <row r="60" spans="6:49">
      <c r="F60" s="1" t="s">
        <v>43</v>
      </c>
      <c r="G60" s="3">
        <f t="shared" si="108"/>
        <v>0.69095267875755684</v>
      </c>
      <c r="H60" s="3">
        <f t="shared" si="109"/>
        <v>1</v>
      </c>
      <c r="I60" s="3">
        <f t="shared" si="110"/>
        <v>1</v>
      </c>
      <c r="J60" s="3">
        <f t="shared" si="111"/>
        <v>1</v>
      </c>
      <c r="K60" s="3">
        <f t="shared" si="112"/>
        <v>1</v>
      </c>
      <c r="L60" s="3">
        <f t="shared" si="113"/>
        <v>1</v>
      </c>
      <c r="M60" s="3">
        <f t="shared" si="114"/>
        <v>1</v>
      </c>
      <c r="N60" s="3">
        <f t="shared" si="115"/>
        <v>1</v>
      </c>
      <c r="O60" s="3">
        <f t="shared" si="116"/>
        <v>1</v>
      </c>
      <c r="P60" s="3">
        <f t="shared" si="117"/>
        <v>0.92334689526978719</v>
      </c>
      <c r="Q60" s="3">
        <f t="shared" si="118"/>
        <v>0.92288890641015531</v>
      </c>
      <c r="R60" s="3">
        <f t="shared" si="119"/>
        <v>0.92179891148668003</v>
      </c>
      <c r="S60" s="3">
        <f t="shared" si="120"/>
        <v>0.92080280672789183</v>
      </c>
      <c r="U60" s="1" t="s">
        <v>43</v>
      </c>
      <c r="V60" s="3">
        <f t="shared" si="121"/>
        <v>0</v>
      </c>
      <c r="W60" s="3">
        <f t="shared" si="122"/>
        <v>0</v>
      </c>
      <c r="X60" s="3">
        <f t="shared" si="123"/>
        <v>0</v>
      </c>
      <c r="Y60" s="3">
        <f t="shared" si="124"/>
        <v>0</v>
      </c>
      <c r="Z60" s="3">
        <f t="shared" si="125"/>
        <v>0</v>
      </c>
      <c r="AA60" s="3">
        <f t="shared" si="126"/>
        <v>0</v>
      </c>
      <c r="AB60" s="3">
        <f t="shared" si="127"/>
        <v>0</v>
      </c>
      <c r="AC60" s="3">
        <f t="shared" si="128"/>
        <v>0</v>
      </c>
      <c r="AD60" s="3">
        <f t="shared" si="129"/>
        <v>0</v>
      </c>
      <c r="AE60" s="3">
        <f t="shared" si="130"/>
        <v>0</v>
      </c>
      <c r="AF60" s="3">
        <f t="shared" si="131"/>
        <v>0</v>
      </c>
      <c r="AG60" s="3">
        <f t="shared" si="132"/>
        <v>0</v>
      </c>
      <c r="AH60" s="3">
        <f t="shared" si="133"/>
        <v>0</v>
      </c>
      <c r="AJ60" s="1" t="s">
        <v>43</v>
      </c>
      <c r="AK60" s="3">
        <f t="shared" si="134"/>
        <v>0.30904732124244322</v>
      </c>
      <c r="AL60" s="3">
        <f t="shared" si="135"/>
        <v>0</v>
      </c>
      <c r="AM60" s="3">
        <f t="shared" si="136"/>
        <v>0</v>
      </c>
      <c r="AN60" s="3">
        <f t="shared" si="137"/>
        <v>0</v>
      </c>
      <c r="AO60" s="3">
        <f t="shared" si="138"/>
        <v>0</v>
      </c>
      <c r="AP60" s="3">
        <f t="shared" si="139"/>
        <v>0</v>
      </c>
      <c r="AQ60" s="3">
        <f t="shared" si="140"/>
        <v>0</v>
      </c>
      <c r="AR60" s="3">
        <f t="shared" si="141"/>
        <v>0</v>
      </c>
      <c r="AS60" s="3">
        <f t="shared" si="142"/>
        <v>0</v>
      </c>
      <c r="AT60" s="3">
        <f t="shared" si="143"/>
        <v>7.6653104730212793E-2</v>
      </c>
      <c r="AU60" s="3">
        <f t="shared" si="144"/>
        <v>7.7111093589844679E-2</v>
      </c>
      <c r="AV60" s="3">
        <f t="shared" si="145"/>
        <v>7.8201088513319972E-2</v>
      </c>
      <c r="AW60" s="3">
        <f t="shared" si="146"/>
        <v>7.9197193272108141E-2</v>
      </c>
    </row>
    <row r="62" spans="6:49">
      <c r="F62" s="20" t="s">
        <v>47</v>
      </c>
      <c r="G62" s="20"/>
      <c r="H62" s="20"/>
      <c r="I62" s="20"/>
      <c r="K62" s="20" t="s">
        <v>48</v>
      </c>
      <c r="L62" s="20"/>
      <c r="M62" s="20"/>
      <c r="N62" s="20"/>
      <c r="P62" s="20" t="s">
        <v>49</v>
      </c>
      <c r="Q62" s="20"/>
      <c r="R62" s="20"/>
      <c r="S62" s="20"/>
      <c r="U62" s="20" t="s">
        <v>50</v>
      </c>
      <c r="V62" s="20"/>
      <c r="W62" s="20"/>
      <c r="X62" s="20"/>
      <c r="Z62" s="27" t="s">
        <v>51</v>
      </c>
      <c r="AA62" s="27"/>
      <c r="AB62" s="27"/>
      <c r="AC62" s="27"/>
      <c r="AE62" s="27" t="s">
        <v>52</v>
      </c>
      <c r="AF62" s="27"/>
      <c r="AG62" s="27"/>
      <c r="AH62" s="27"/>
      <c r="AJ62" s="27" t="s">
        <v>53</v>
      </c>
      <c r="AK62" s="27"/>
      <c r="AL62" s="27"/>
      <c r="AM62" s="27"/>
      <c r="AO62" s="27" t="s">
        <v>54</v>
      </c>
      <c r="AP62" s="27"/>
      <c r="AQ62" s="27"/>
      <c r="AR62" s="27"/>
      <c r="AT62" s="27" t="s">
        <v>55</v>
      </c>
      <c r="AU62" s="27"/>
      <c r="AV62" s="27"/>
      <c r="AW62" s="27"/>
    </row>
    <row r="63" spans="6:49">
      <c r="F63" s="21" t="s">
        <v>4</v>
      </c>
      <c r="G63" s="21"/>
      <c r="H63" s="8">
        <v>952369</v>
      </c>
      <c r="I63" s="9">
        <f>H63/1000000</f>
        <v>0.95236900000000002</v>
      </c>
      <c r="K63" s="21" t="s">
        <v>4</v>
      </c>
      <c r="L63" s="21"/>
      <c r="M63" s="8">
        <v>699593</v>
      </c>
      <c r="N63" s="9">
        <f>M63/1000000</f>
        <v>0.69959300000000002</v>
      </c>
      <c r="P63" s="21" t="s">
        <v>4</v>
      </c>
      <c r="Q63" s="21"/>
      <c r="R63" s="8">
        <v>567141</v>
      </c>
      <c r="S63" s="9">
        <f>R63/1000000</f>
        <v>0.56714100000000001</v>
      </c>
      <c r="U63" s="21" t="s">
        <v>4</v>
      </c>
      <c r="V63" s="21"/>
      <c r="W63" s="8">
        <v>430431</v>
      </c>
      <c r="X63" s="9">
        <f>W63/1000000</f>
        <v>0.43043100000000001</v>
      </c>
      <c r="Z63" s="21" t="s">
        <v>4</v>
      </c>
      <c r="AA63" s="21"/>
      <c r="AB63" s="8">
        <v>699486</v>
      </c>
      <c r="AC63" s="9">
        <f>AB63/1000000</f>
        <v>0.69948600000000005</v>
      </c>
      <c r="AE63" s="21" t="s">
        <v>4</v>
      </c>
      <c r="AF63" s="21"/>
      <c r="AG63" s="8">
        <v>565556</v>
      </c>
      <c r="AH63" s="9">
        <f>AG63/1000000</f>
        <v>0.56555599999999995</v>
      </c>
      <c r="AJ63" s="21" t="s">
        <v>4</v>
      </c>
      <c r="AK63" s="21"/>
      <c r="AL63" s="8">
        <v>294570</v>
      </c>
      <c r="AM63" s="9">
        <f>AL63/1000000</f>
        <v>0.29457</v>
      </c>
      <c r="AO63" s="21" t="s">
        <v>4</v>
      </c>
      <c r="AP63" s="21"/>
      <c r="AQ63" s="8">
        <v>520696</v>
      </c>
      <c r="AR63" s="9">
        <f>AQ63/1000000</f>
        <v>0.52069600000000005</v>
      </c>
      <c r="AT63" s="21" t="s">
        <v>4</v>
      </c>
      <c r="AU63" s="21"/>
      <c r="AV63" s="8">
        <v>480315</v>
      </c>
      <c r="AW63" s="9">
        <f>AV63/1000000</f>
        <v>0.48031499999999999</v>
      </c>
    </row>
    <row r="64" spans="6:49">
      <c r="F64" s="22" t="s">
        <v>9</v>
      </c>
      <c r="G64" s="22"/>
      <c r="H64" s="2">
        <v>0</v>
      </c>
      <c r="I64" s="3">
        <f t="shared" ref="I64:I69" si="147">H64/1000000</f>
        <v>0</v>
      </c>
      <c r="K64" s="22" t="s">
        <v>9</v>
      </c>
      <c r="L64" s="22"/>
      <c r="M64" s="2">
        <v>120827</v>
      </c>
      <c r="N64" s="3">
        <f t="shared" ref="N64:N69" si="148">M64/1000000</f>
        <v>0.120827</v>
      </c>
      <c r="P64" s="22" t="s">
        <v>9</v>
      </c>
      <c r="Q64" s="22"/>
      <c r="R64" s="2">
        <v>299151</v>
      </c>
      <c r="S64" s="3">
        <f t="shared" ref="S64:S69" si="149">R64/1000000</f>
        <v>0.299151</v>
      </c>
      <c r="U64" s="22" t="s">
        <v>9</v>
      </c>
      <c r="V64" s="22"/>
      <c r="W64" s="2">
        <v>468221</v>
      </c>
      <c r="X64" s="3">
        <f t="shared" ref="X64:X69" si="150">W64/1000000</f>
        <v>0.468221</v>
      </c>
      <c r="Z64" s="22" t="s">
        <v>9</v>
      </c>
      <c r="AA64" s="22"/>
      <c r="AB64" s="2">
        <v>120547</v>
      </c>
      <c r="AC64" s="3">
        <f t="shared" ref="AC64:AC69" si="151">AB64/1000000</f>
        <v>0.120547</v>
      </c>
      <c r="AE64" s="22" t="s">
        <v>9</v>
      </c>
      <c r="AF64" s="22"/>
      <c r="AG64" s="2">
        <v>300347</v>
      </c>
      <c r="AH64" s="3">
        <f t="shared" ref="AH64:AH69" si="152">AG64/1000000</f>
        <v>0.30034699999999998</v>
      </c>
      <c r="AJ64" s="22" t="s">
        <v>9</v>
      </c>
      <c r="AK64" s="22"/>
      <c r="AL64" s="2">
        <v>635660</v>
      </c>
      <c r="AM64" s="3">
        <f t="shared" ref="AM64:AM69" si="153">AL64/1000000</f>
        <v>0.63566</v>
      </c>
      <c r="AO64" s="22" t="s">
        <v>9</v>
      </c>
      <c r="AP64" s="22"/>
      <c r="AQ64" s="2">
        <v>387710</v>
      </c>
      <c r="AR64" s="3">
        <f t="shared" ref="AR64:AR69" si="154">AQ64/1000000</f>
        <v>0.38771</v>
      </c>
      <c r="AT64" s="22" t="s">
        <v>9</v>
      </c>
      <c r="AU64" s="22"/>
      <c r="AV64" s="2">
        <v>404639</v>
      </c>
      <c r="AW64" s="3">
        <f t="shared" ref="AW64:AW69" si="155">AV64/1000000</f>
        <v>0.40463900000000003</v>
      </c>
    </row>
    <row r="65" spans="6:49">
      <c r="F65" s="21" t="s">
        <v>11</v>
      </c>
      <c r="G65" s="21"/>
      <c r="H65" s="8">
        <v>47631</v>
      </c>
      <c r="I65" s="9">
        <f t="shared" si="147"/>
        <v>4.7631E-2</v>
      </c>
      <c r="K65" s="21" t="s">
        <v>11</v>
      </c>
      <c r="L65" s="21"/>
      <c r="M65" s="8">
        <v>179580</v>
      </c>
      <c r="N65" s="9">
        <f t="shared" si="148"/>
        <v>0.17957999999999999</v>
      </c>
      <c r="P65" s="21" t="s">
        <v>11</v>
      </c>
      <c r="Q65" s="21"/>
      <c r="R65" s="8">
        <v>133708</v>
      </c>
      <c r="S65" s="9">
        <f t="shared" si="149"/>
        <v>0.13370799999999999</v>
      </c>
      <c r="U65" s="21" t="s">
        <v>11</v>
      </c>
      <c r="V65" s="21"/>
      <c r="W65" s="8">
        <v>101348</v>
      </c>
      <c r="X65" s="9">
        <f t="shared" si="150"/>
        <v>0.10134799999999999</v>
      </c>
      <c r="Z65" s="21" t="s">
        <v>11</v>
      </c>
      <c r="AA65" s="21"/>
      <c r="AB65" s="8">
        <v>179967</v>
      </c>
      <c r="AC65" s="9">
        <f t="shared" si="151"/>
        <v>0.17996699999999999</v>
      </c>
      <c r="AE65" s="21" t="s">
        <v>11</v>
      </c>
      <c r="AF65" s="21"/>
      <c r="AG65" s="8">
        <v>134097</v>
      </c>
      <c r="AH65" s="9">
        <f t="shared" si="152"/>
        <v>0.13409699999999999</v>
      </c>
      <c r="AJ65" s="21" t="s">
        <v>11</v>
      </c>
      <c r="AK65" s="21"/>
      <c r="AL65" s="8">
        <v>69770</v>
      </c>
      <c r="AM65" s="9">
        <f t="shared" si="153"/>
        <v>6.9769999999999999E-2</v>
      </c>
      <c r="AO65" s="21" t="s">
        <v>11</v>
      </c>
      <c r="AP65" s="21"/>
      <c r="AQ65" s="8">
        <v>91594</v>
      </c>
      <c r="AR65" s="9">
        <f t="shared" si="154"/>
        <v>9.1593999999999995E-2</v>
      </c>
      <c r="AT65" s="21" t="s">
        <v>11</v>
      </c>
      <c r="AU65" s="21"/>
      <c r="AV65" s="8">
        <v>115046</v>
      </c>
      <c r="AW65" s="9">
        <f t="shared" si="155"/>
        <v>0.115046</v>
      </c>
    </row>
    <row r="66" spans="6:49">
      <c r="F66" s="22" t="s">
        <v>13</v>
      </c>
      <c r="G66" s="22"/>
      <c r="H66" s="2">
        <v>0</v>
      </c>
      <c r="I66" s="3">
        <f t="shared" si="147"/>
        <v>0</v>
      </c>
      <c r="K66" s="22" t="s">
        <v>13</v>
      </c>
      <c r="L66" s="22"/>
      <c r="M66" s="2">
        <v>0</v>
      </c>
      <c r="N66" s="3">
        <f t="shared" si="148"/>
        <v>0</v>
      </c>
      <c r="P66" s="22" t="s">
        <v>13</v>
      </c>
      <c r="Q66" s="22"/>
      <c r="R66" s="2">
        <v>0</v>
      </c>
      <c r="S66" s="3">
        <f t="shared" si="149"/>
        <v>0</v>
      </c>
      <c r="U66" s="22" t="s">
        <v>13</v>
      </c>
      <c r="V66" s="22"/>
      <c r="W66" s="2">
        <v>234560</v>
      </c>
      <c r="X66" s="3">
        <f t="shared" si="150"/>
        <v>0.23455999999999999</v>
      </c>
      <c r="Z66" s="22" t="s">
        <v>13</v>
      </c>
      <c r="AA66" s="22"/>
      <c r="AB66" s="2">
        <v>0</v>
      </c>
      <c r="AC66" s="3">
        <f t="shared" si="151"/>
        <v>0</v>
      </c>
      <c r="AE66" s="22" t="s">
        <v>13</v>
      </c>
      <c r="AF66" s="22"/>
      <c r="AG66" s="2">
        <v>0</v>
      </c>
      <c r="AH66" s="3">
        <f t="shared" si="152"/>
        <v>0</v>
      </c>
      <c r="AJ66" s="22" t="s">
        <v>13</v>
      </c>
      <c r="AK66" s="22"/>
      <c r="AL66" s="2">
        <v>460932</v>
      </c>
      <c r="AM66" s="3">
        <f t="shared" si="153"/>
        <v>0.46093200000000001</v>
      </c>
      <c r="AO66" s="22" t="s">
        <v>13</v>
      </c>
      <c r="AP66" s="22"/>
      <c r="AQ66" s="2">
        <v>202180</v>
      </c>
      <c r="AR66" s="3">
        <f t="shared" si="154"/>
        <v>0.20218</v>
      </c>
      <c r="AT66" s="22" t="s">
        <v>13</v>
      </c>
      <c r="AU66" s="22"/>
      <c r="AV66" s="2">
        <v>202442</v>
      </c>
      <c r="AW66" s="3">
        <f t="shared" si="155"/>
        <v>0.20244200000000001</v>
      </c>
    </row>
    <row r="67" spans="6:49">
      <c r="F67" s="21" t="s">
        <v>15</v>
      </c>
      <c r="G67" s="21"/>
      <c r="H67" s="8">
        <v>1000000</v>
      </c>
      <c r="I67" s="9">
        <f t="shared" si="147"/>
        <v>1</v>
      </c>
      <c r="K67" s="21" t="s">
        <v>15</v>
      </c>
      <c r="L67" s="21"/>
      <c r="M67" s="8">
        <v>0</v>
      </c>
      <c r="N67" s="9">
        <f t="shared" si="148"/>
        <v>0</v>
      </c>
      <c r="P67" s="21" t="s">
        <v>15</v>
      </c>
      <c r="Q67" s="21"/>
      <c r="R67" s="8">
        <v>0</v>
      </c>
      <c r="S67" s="9">
        <f t="shared" si="149"/>
        <v>0</v>
      </c>
      <c r="U67" s="21" t="s">
        <v>15</v>
      </c>
      <c r="V67" s="21"/>
      <c r="W67" s="8">
        <v>0</v>
      </c>
      <c r="X67" s="9">
        <f t="shared" si="150"/>
        <v>0</v>
      </c>
      <c r="Z67" s="21" t="s">
        <v>15</v>
      </c>
      <c r="AA67" s="21"/>
      <c r="AB67" s="8">
        <v>0</v>
      </c>
      <c r="AC67" s="9">
        <f t="shared" si="151"/>
        <v>0</v>
      </c>
      <c r="AE67" s="21" t="s">
        <v>15</v>
      </c>
      <c r="AF67" s="21"/>
      <c r="AG67" s="8">
        <v>0</v>
      </c>
      <c r="AH67" s="9">
        <f t="shared" si="152"/>
        <v>0</v>
      </c>
      <c r="AJ67" s="21" t="s">
        <v>15</v>
      </c>
      <c r="AK67" s="21"/>
      <c r="AL67" s="8">
        <v>0</v>
      </c>
      <c r="AM67" s="9">
        <f t="shared" si="153"/>
        <v>0</v>
      </c>
      <c r="AO67" s="21" t="s">
        <v>15</v>
      </c>
      <c r="AP67" s="21"/>
      <c r="AQ67" s="8">
        <v>0</v>
      </c>
      <c r="AR67" s="9">
        <f t="shared" si="154"/>
        <v>0</v>
      </c>
      <c r="AT67" s="21" t="s">
        <v>15</v>
      </c>
      <c r="AU67" s="21"/>
      <c r="AV67" s="8">
        <v>0</v>
      </c>
      <c r="AW67" s="9">
        <f t="shared" si="155"/>
        <v>0</v>
      </c>
    </row>
    <row r="68" spans="6:49">
      <c r="F68" s="22" t="s">
        <v>17</v>
      </c>
      <c r="G68" s="22"/>
      <c r="H68" s="2">
        <v>0</v>
      </c>
      <c r="I68" s="3">
        <f t="shared" si="147"/>
        <v>0</v>
      </c>
      <c r="K68" s="22" t="s">
        <v>17</v>
      </c>
      <c r="L68" s="22"/>
      <c r="M68" s="2">
        <v>282075</v>
      </c>
      <c r="N68" s="3">
        <f t="shared" si="148"/>
        <v>0.28207500000000002</v>
      </c>
      <c r="P68" s="22" t="s">
        <v>17</v>
      </c>
      <c r="Q68" s="22"/>
      <c r="R68" s="2">
        <v>283025</v>
      </c>
      <c r="S68" s="3">
        <f t="shared" si="149"/>
        <v>0.28302500000000003</v>
      </c>
      <c r="U68" s="22" t="s">
        <v>17</v>
      </c>
      <c r="V68" s="22"/>
      <c r="W68" s="2">
        <v>212211</v>
      </c>
      <c r="X68" s="3">
        <f t="shared" si="150"/>
        <v>0.21221100000000001</v>
      </c>
      <c r="Z68" s="22" t="s">
        <v>17</v>
      </c>
      <c r="AA68" s="22"/>
      <c r="AB68" s="2">
        <v>281427</v>
      </c>
      <c r="AC68" s="3">
        <f t="shared" si="151"/>
        <v>0.28142699999999998</v>
      </c>
      <c r="AE68" s="22" t="s">
        <v>17</v>
      </c>
      <c r="AF68" s="22"/>
      <c r="AG68" s="2">
        <v>282138</v>
      </c>
      <c r="AH68" s="3">
        <f t="shared" si="152"/>
        <v>0.282138</v>
      </c>
      <c r="AJ68" s="22" t="s">
        <v>17</v>
      </c>
      <c r="AK68" s="22"/>
      <c r="AL68" s="2">
        <v>145052</v>
      </c>
      <c r="AM68" s="3">
        <f t="shared" si="153"/>
        <v>0.14505199999999999</v>
      </c>
      <c r="AO68" s="22" t="s">
        <v>17</v>
      </c>
      <c r="AP68" s="22"/>
      <c r="AQ68" s="2">
        <v>222134</v>
      </c>
      <c r="AR68" s="3">
        <f>AQ68/1000000</f>
        <v>0.222134</v>
      </c>
      <c r="AT68" s="22" t="s">
        <v>17</v>
      </c>
      <c r="AU68" s="22"/>
      <c r="AV68" s="2">
        <v>222393</v>
      </c>
      <c r="AW68" s="3">
        <f t="shared" si="155"/>
        <v>0.22239300000000001</v>
      </c>
    </row>
    <row r="69" spans="6:49">
      <c r="F69" s="21" t="s">
        <v>19</v>
      </c>
      <c r="G69" s="21"/>
      <c r="H69" s="8">
        <v>47631</v>
      </c>
      <c r="I69" s="9">
        <f t="shared" si="147"/>
        <v>4.7631E-2</v>
      </c>
      <c r="K69" s="21" t="s">
        <v>19</v>
      </c>
      <c r="L69" s="21"/>
      <c r="M69" s="8">
        <v>47761</v>
      </c>
      <c r="N69" s="9">
        <f t="shared" si="148"/>
        <v>4.7760999999999998E-2</v>
      </c>
      <c r="P69" s="21" t="s">
        <v>19</v>
      </c>
      <c r="Q69" s="21"/>
      <c r="R69" s="8">
        <v>47308</v>
      </c>
      <c r="S69" s="9">
        <f t="shared" si="149"/>
        <v>4.7308000000000003E-2</v>
      </c>
      <c r="U69" s="21" t="s">
        <v>19</v>
      </c>
      <c r="V69" s="21"/>
      <c r="W69" s="8">
        <v>47410</v>
      </c>
      <c r="X69" s="9">
        <f t="shared" si="150"/>
        <v>4.7410000000000001E-2</v>
      </c>
      <c r="Z69" s="21" t="s">
        <v>19</v>
      </c>
      <c r="AA69" s="21"/>
      <c r="AB69" s="8">
        <v>47660</v>
      </c>
      <c r="AC69" s="9">
        <f t="shared" si="151"/>
        <v>4.7660000000000001E-2</v>
      </c>
      <c r="AE69" s="21" t="s">
        <v>19</v>
      </c>
      <c r="AF69" s="21"/>
      <c r="AG69" s="8">
        <v>47494</v>
      </c>
      <c r="AH69" s="9">
        <f t="shared" si="152"/>
        <v>4.7494000000000001E-2</v>
      </c>
      <c r="AJ69" s="21" t="s">
        <v>19</v>
      </c>
      <c r="AK69" s="21"/>
      <c r="AL69" s="8">
        <v>47242</v>
      </c>
      <c r="AM69" s="9">
        <f t="shared" si="153"/>
        <v>4.7241999999999999E-2</v>
      </c>
      <c r="AO69" s="21" t="s">
        <v>19</v>
      </c>
      <c r="AP69" s="21"/>
      <c r="AQ69" s="8">
        <v>47343</v>
      </c>
      <c r="AR69" s="9">
        <f t="shared" si="154"/>
        <v>4.7343000000000003E-2</v>
      </c>
      <c r="AT69" s="21" t="s">
        <v>19</v>
      </c>
      <c r="AU69" s="21"/>
      <c r="AV69" s="8">
        <v>47475</v>
      </c>
      <c r="AW69" s="9">
        <f t="shared" si="155"/>
        <v>4.7475000000000003E-2</v>
      </c>
    </row>
    <row r="70" spans="6:49">
      <c r="F70" s="22" t="s">
        <v>21</v>
      </c>
      <c r="G70" s="22"/>
      <c r="H70" s="26">
        <v>476184.5</v>
      </c>
      <c r="I70" s="26"/>
      <c r="K70" s="22" t="s">
        <v>21</v>
      </c>
      <c r="L70" s="22"/>
      <c r="M70" s="26">
        <v>578766</v>
      </c>
      <c r="N70" s="26"/>
      <c r="P70" s="22" t="s">
        <v>21</v>
      </c>
      <c r="Q70" s="22"/>
      <c r="R70" s="26">
        <v>267990</v>
      </c>
      <c r="S70" s="26"/>
      <c r="U70" s="22" t="s">
        <v>21</v>
      </c>
      <c r="V70" s="22"/>
      <c r="W70" s="26">
        <v>-37790</v>
      </c>
      <c r="X70" s="26"/>
      <c r="Z70" s="22" t="s">
        <v>21</v>
      </c>
      <c r="AA70" s="22"/>
      <c r="AB70" s="26">
        <v>578939</v>
      </c>
      <c r="AC70" s="26"/>
      <c r="AE70" s="22" t="s">
        <v>21</v>
      </c>
      <c r="AF70" s="22"/>
      <c r="AG70" s="26">
        <v>265209</v>
      </c>
      <c r="AH70" s="26"/>
      <c r="AJ70" s="22" t="s">
        <v>21</v>
      </c>
      <c r="AK70" s="22"/>
      <c r="AL70" s="26">
        <v>-341090</v>
      </c>
      <c r="AM70" s="26"/>
      <c r="AO70" s="22" t="s">
        <v>21</v>
      </c>
      <c r="AP70" s="22"/>
      <c r="AQ70" s="26">
        <v>132986</v>
      </c>
      <c r="AR70" s="26"/>
      <c r="AT70" s="22" t="s">
        <v>21</v>
      </c>
      <c r="AU70" s="22"/>
      <c r="AV70" s="26">
        <v>75676</v>
      </c>
      <c r="AW70" s="26"/>
    </row>
    <row r="72" spans="6:49">
      <c r="F72" s="20" t="s">
        <v>56</v>
      </c>
      <c r="G72" s="20"/>
      <c r="H72" s="20"/>
      <c r="I72" s="20"/>
      <c r="K72" s="20" t="s">
        <v>57</v>
      </c>
      <c r="L72" s="20"/>
      <c r="M72" s="20"/>
      <c r="N72" s="20"/>
      <c r="P72" s="20" t="s">
        <v>58</v>
      </c>
      <c r="Q72" s="20"/>
      <c r="R72" s="20"/>
      <c r="S72" s="20"/>
      <c r="U72" s="27" t="s">
        <v>59</v>
      </c>
      <c r="V72" s="27"/>
      <c r="W72" s="27"/>
      <c r="X72" s="27"/>
      <c r="Z72" s="27" t="s">
        <v>60</v>
      </c>
      <c r="AA72" s="27"/>
      <c r="AB72" s="27"/>
      <c r="AC72" s="27"/>
      <c r="AE72" s="27" t="s">
        <v>61</v>
      </c>
      <c r="AF72" s="27"/>
      <c r="AG72" s="27"/>
      <c r="AH72" s="27"/>
      <c r="AJ72" s="27" t="s">
        <v>62</v>
      </c>
      <c r="AK72" s="27"/>
      <c r="AL72" s="27"/>
      <c r="AM72" s="27"/>
      <c r="AO72" s="27" t="s">
        <v>63</v>
      </c>
      <c r="AP72" s="27"/>
      <c r="AQ72" s="27"/>
      <c r="AR72" s="27"/>
      <c r="AT72" s="27" t="s">
        <v>64</v>
      </c>
      <c r="AU72" s="27"/>
      <c r="AV72" s="27"/>
      <c r="AW72" s="27"/>
    </row>
    <row r="73" spans="6:49">
      <c r="F73" s="21" t="s">
        <v>4</v>
      </c>
      <c r="G73" s="21"/>
      <c r="H73" s="8">
        <v>426873</v>
      </c>
      <c r="I73" s="9">
        <f>H73/1000000</f>
        <v>0.426873</v>
      </c>
      <c r="K73" s="21" t="s">
        <v>4</v>
      </c>
      <c r="L73" s="21"/>
      <c r="M73" s="8">
        <v>281667</v>
      </c>
      <c r="N73" s="9">
        <f>M73/1000000</f>
        <v>0.281667</v>
      </c>
      <c r="P73" s="21" t="s">
        <v>4</v>
      </c>
      <c r="Q73" s="21"/>
      <c r="R73" s="8">
        <v>368904</v>
      </c>
      <c r="S73" s="9">
        <f>R73/1000000</f>
        <v>0.36890400000000001</v>
      </c>
      <c r="U73" s="21" t="s">
        <v>4</v>
      </c>
      <c r="V73" s="21"/>
      <c r="W73" s="8">
        <v>427504</v>
      </c>
      <c r="X73" s="9">
        <f>W73/1000000</f>
        <v>0.427504</v>
      </c>
      <c r="Z73" s="21" t="s">
        <v>4</v>
      </c>
      <c r="AA73" s="21"/>
      <c r="AB73" s="8">
        <v>282877</v>
      </c>
      <c r="AC73" s="9">
        <f>AB73/1000000</f>
        <v>0.28287699999999999</v>
      </c>
      <c r="AE73" s="21" t="s">
        <v>4</v>
      </c>
      <c r="AF73" s="21"/>
      <c r="AG73" s="8">
        <v>220012</v>
      </c>
      <c r="AH73" s="9">
        <f>AG73/1000000</f>
        <v>0.22001200000000001</v>
      </c>
      <c r="AJ73" s="21" t="s">
        <v>4</v>
      </c>
      <c r="AK73" s="21"/>
      <c r="AL73" s="8">
        <v>421338</v>
      </c>
      <c r="AM73" s="9">
        <f>AL73/1000000</f>
        <v>0.42133799999999999</v>
      </c>
      <c r="AO73" s="21" t="s">
        <v>4</v>
      </c>
      <c r="AP73" s="21"/>
      <c r="AQ73" s="8">
        <v>372047</v>
      </c>
      <c r="AR73" s="9">
        <f>AQ73/1000000</f>
        <v>0.37204700000000002</v>
      </c>
      <c r="AT73" s="21" t="s">
        <v>4</v>
      </c>
      <c r="AU73" s="21"/>
      <c r="AV73" s="8">
        <v>327079</v>
      </c>
      <c r="AW73" s="9">
        <f>AV73/1000000</f>
        <v>0.32707900000000001</v>
      </c>
    </row>
    <row r="74" spans="6:49">
      <c r="F74" s="22" t="s">
        <v>9</v>
      </c>
      <c r="G74" s="22"/>
      <c r="H74" s="2">
        <v>434016</v>
      </c>
      <c r="I74" s="3">
        <f t="shared" ref="I74:I79" si="156">H74/1000000</f>
        <v>0.43401600000000001</v>
      </c>
      <c r="K74" s="22" t="s">
        <v>9</v>
      </c>
      <c r="L74" s="22"/>
      <c r="M74" s="2">
        <v>572511</v>
      </c>
      <c r="N74" s="3">
        <f t="shared" ref="N74:N79" si="157">M74/1000000</f>
        <v>0.57251099999999999</v>
      </c>
      <c r="P74" s="22" t="s">
        <v>9</v>
      </c>
      <c r="Q74" s="22"/>
      <c r="R74" s="2">
        <v>544968</v>
      </c>
      <c r="S74" s="3">
        <f t="shared" ref="S74:S79" si="158">R74/1000000</f>
        <v>0.54496800000000001</v>
      </c>
      <c r="U74" s="22" t="s">
        <v>9</v>
      </c>
      <c r="V74" s="22"/>
      <c r="W74" s="2">
        <v>432512</v>
      </c>
      <c r="X74" s="3">
        <f t="shared" ref="X74:X79" si="159">W74/1000000</f>
        <v>0.43251200000000001</v>
      </c>
      <c r="Z74" s="22" t="s">
        <v>9</v>
      </c>
      <c r="AA74" s="22"/>
      <c r="AB74" s="2">
        <v>571490</v>
      </c>
      <c r="AC74" s="3">
        <f t="shared" ref="AC74:AC79" si="160">AB74/1000000</f>
        <v>0.57149000000000005</v>
      </c>
      <c r="AE74" s="22" t="s">
        <v>9</v>
      </c>
      <c r="AF74" s="22"/>
      <c r="AG74" s="2">
        <v>728001</v>
      </c>
      <c r="AH74" s="3">
        <f t="shared" ref="AH74:AH79" si="161">AG74/1000000</f>
        <v>0.72800100000000001</v>
      </c>
      <c r="AJ74" s="22" t="s">
        <v>9</v>
      </c>
      <c r="AK74" s="22"/>
      <c r="AL74" s="2">
        <v>471823</v>
      </c>
      <c r="AM74" s="3">
        <f t="shared" ref="AM74:AM79" si="162">AL74/1000000</f>
        <v>0.47182299999999999</v>
      </c>
      <c r="AO74" s="22" t="s">
        <v>9</v>
      </c>
      <c r="AP74" s="22"/>
      <c r="AQ74" s="2">
        <v>524162</v>
      </c>
      <c r="AR74" s="3">
        <f t="shared" ref="AR74:AR79" si="163">AQ74/1000000</f>
        <v>0.52416200000000002</v>
      </c>
      <c r="AT74" s="22" t="s">
        <v>9</v>
      </c>
      <c r="AU74" s="22"/>
      <c r="AV74" s="2">
        <v>569934</v>
      </c>
      <c r="AW74" s="3">
        <f t="shared" ref="AW74:AW79" si="164">AV74/1000000</f>
        <v>0.56993400000000005</v>
      </c>
    </row>
    <row r="75" spans="6:49">
      <c r="F75" s="21" t="s">
        <v>11</v>
      </c>
      <c r="G75" s="21"/>
      <c r="H75" s="8">
        <v>139111</v>
      </c>
      <c r="I75" s="9">
        <f t="shared" si="156"/>
        <v>0.13911100000000001</v>
      </c>
      <c r="K75" s="21" t="s">
        <v>11</v>
      </c>
      <c r="L75" s="21"/>
      <c r="M75" s="8">
        <v>69770</v>
      </c>
      <c r="N75" s="9">
        <f t="shared" si="157"/>
        <v>6.9769999999999999E-2</v>
      </c>
      <c r="P75" s="21" t="s">
        <v>11</v>
      </c>
      <c r="Q75" s="21"/>
      <c r="R75" s="8">
        <v>86128</v>
      </c>
      <c r="S75" s="9">
        <f t="shared" si="158"/>
        <v>8.6127999999999996E-2</v>
      </c>
      <c r="U75" s="21" t="s">
        <v>11</v>
      </c>
      <c r="V75" s="21"/>
      <c r="W75" s="8">
        <v>139984</v>
      </c>
      <c r="X75" s="9">
        <f t="shared" si="159"/>
        <v>0.139984</v>
      </c>
      <c r="Z75" s="21" t="s">
        <v>11</v>
      </c>
      <c r="AA75" s="21"/>
      <c r="AB75" s="8">
        <v>145633</v>
      </c>
      <c r="AC75" s="9">
        <f t="shared" si="160"/>
        <v>0.14563300000000001</v>
      </c>
      <c r="AE75" s="21" t="s">
        <v>11</v>
      </c>
      <c r="AF75" s="21"/>
      <c r="AG75" s="8">
        <v>51987</v>
      </c>
      <c r="AH75" s="9">
        <f t="shared" si="161"/>
        <v>5.1986999999999998E-2</v>
      </c>
      <c r="AJ75" s="21" t="s">
        <v>11</v>
      </c>
      <c r="AK75" s="21"/>
      <c r="AL75" s="8">
        <v>106839</v>
      </c>
      <c r="AM75" s="9">
        <f t="shared" si="162"/>
        <v>0.106839</v>
      </c>
      <c r="AO75" s="21" t="s">
        <v>11</v>
      </c>
      <c r="AP75" s="21"/>
      <c r="AQ75" s="8">
        <v>103791</v>
      </c>
      <c r="AR75" s="9">
        <f t="shared" si="163"/>
        <v>0.10379099999999999</v>
      </c>
      <c r="AT75" s="21" t="s">
        <v>11</v>
      </c>
      <c r="AU75" s="21"/>
      <c r="AV75" s="8">
        <v>102987</v>
      </c>
      <c r="AW75" s="9">
        <f t="shared" si="164"/>
        <v>0.102987</v>
      </c>
    </row>
    <row r="76" spans="6:49">
      <c r="F76" s="22" t="s">
        <v>13</v>
      </c>
      <c r="G76" s="22"/>
      <c r="H76" s="2">
        <v>0</v>
      </c>
      <c r="I76" s="3">
        <f t="shared" si="156"/>
        <v>0</v>
      </c>
      <c r="K76" s="22" t="s">
        <v>13</v>
      </c>
      <c r="L76" s="22"/>
      <c r="M76" s="2">
        <v>0</v>
      </c>
      <c r="N76" s="3">
        <f t="shared" si="157"/>
        <v>0</v>
      </c>
      <c r="P76" s="22" t="s">
        <v>13</v>
      </c>
      <c r="Q76" s="22"/>
      <c r="R76" s="2">
        <v>337468</v>
      </c>
      <c r="S76" s="3">
        <f t="shared" si="158"/>
        <v>0.33746799999999999</v>
      </c>
      <c r="U76" s="22" t="s">
        <v>13</v>
      </c>
      <c r="V76" s="22"/>
      <c r="W76" s="2">
        <v>0</v>
      </c>
      <c r="X76" s="3">
        <f t="shared" si="159"/>
        <v>0</v>
      </c>
      <c r="Z76" s="22" t="s">
        <v>13</v>
      </c>
      <c r="AA76" s="22"/>
      <c r="AB76" s="2">
        <v>0</v>
      </c>
      <c r="AC76" s="3">
        <f t="shared" si="160"/>
        <v>0</v>
      </c>
      <c r="AE76" s="22" t="s">
        <v>13</v>
      </c>
      <c r="AF76" s="22"/>
      <c r="AG76" s="2">
        <v>585650</v>
      </c>
      <c r="AH76" s="3">
        <f t="shared" si="161"/>
        <v>0.58565</v>
      </c>
      <c r="AJ76" s="22" t="s">
        <v>13</v>
      </c>
      <c r="AK76" s="22"/>
      <c r="AL76" s="2">
        <v>218168</v>
      </c>
      <c r="AM76" s="3">
        <f t="shared" si="162"/>
        <v>0.218168</v>
      </c>
      <c r="AO76" s="22" t="s">
        <v>13</v>
      </c>
      <c r="AP76" s="22"/>
      <c r="AQ76" s="2">
        <v>232659</v>
      </c>
      <c r="AR76" s="3">
        <f t="shared" si="163"/>
        <v>0.232659</v>
      </c>
      <c r="AT76" s="22" t="s">
        <v>13</v>
      </c>
      <c r="AU76" s="22"/>
      <c r="AV76" s="2">
        <v>250213</v>
      </c>
      <c r="AW76" s="3">
        <f t="shared" si="164"/>
        <v>0.25021300000000002</v>
      </c>
    </row>
    <row r="77" spans="6:49">
      <c r="F77" s="21" t="s">
        <v>15</v>
      </c>
      <c r="G77" s="21"/>
      <c r="H77" s="8">
        <v>0</v>
      </c>
      <c r="I77" s="9">
        <f t="shared" si="156"/>
        <v>0</v>
      </c>
      <c r="K77" s="21" t="s">
        <v>15</v>
      </c>
      <c r="L77" s="21"/>
      <c r="M77" s="8">
        <v>0</v>
      </c>
      <c r="N77" s="9">
        <f t="shared" si="157"/>
        <v>0</v>
      </c>
      <c r="P77" s="21" t="s">
        <v>15</v>
      </c>
      <c r="Q77" s="21"/>
      <c r="R77" s="8">
        <v>0</v>
      </c>
      <c r="S77" s="9">
        <f t="shared" si="158"/>
        <v>0</v>
      </c>
      <c r="U77" s="21" t="s">
        <v>15</v>
      </c>
      <c r="V77" s="21"/>
      <c r="W77" s="8">
        <v>0</v>
      </c>
      <c r="X77" s="9">
        <f t="shared" si="159"/>
        <v>0</v>
      </c>
      <c r="Z77" s="21" t="s">
        <v>15</v>
      </c>
      <c r="AA77" s="21"/>
      <c r="AB77" s="8">
        <v>0</v>
      </c>
      <c r="AC77" s="9">
        <f t="shared" si="160"/>
        <v>0</v>
      </c>
      <c r="AE77" s="21" t="s">
        <v>15</v>
      </c>
      <c r="AF77" s="21"/>
      <c r="AG77" s="8">
        <v>0</v>
      </c>
      <c r="AH77" s="9">
        <f t="shared" si="161"/>
        <v>0</v>
      </c>
      <c r="AJ77" s="21" t="s">
        <v>15</v>
      </c>
      <c r="AK77" s="21"/>
      <c r="AL77" s="8">
        <v>0</v>
      </c>
      <c r="AM77" s="9">
        <f t="shared" si="162"/>
        <v>0</v>
      </c>
      <c r="AO77" s="21" t="s">
        <v>15</v>
      </c>
      <c r="AP77" s="21"/>
      <c r="AQ77" s="8">
        <v>0</v>
      </c>
      <c r="AR77" s="9">
        <f t="shared" si="163"/>
        <v>0</v>
      </c>
      <c r="AT77" s="21" t="s">
        <v>15</v>
      </c>
      <c r="AU77" s="21"/>
      <c r="AV77" s="8">
        <v>0</v>
      </c>
      <c r="AW77" s="9">
        <f t="shared" si="164"/>
        <v>0</v>
      </c>
    </row>
    <row r="78" spans="6:49">
      <c r="F78" s="22" t="s">
        <v>17</v>
      </c>
      <c r="G78" s="22"/>
      <c r="H78" s="2">
        <v>281502</v>
      </c>
      <c r="I78" s="3">
        <f t="shared" si="156"/>
        <v>0.28150199999999997</v>
      </c>
      <c r="K78" s="22" t="s">
        <v>17</v>
      </c>
      <c r="L78" s="22"/>
      <c r="M78" s="2">
        <v>281667</v>
      </c>
      <c r="N78" s="3">
        <f t="shared" si="157"/>
        <v>0.281667</v>
      </c>
      <c r="P78" s="22" t="s">
        <v>17</v>
      </c>
      <c r="Q78" s="22"/>
      <c r="R78" s="2">
        <v>182438</v>
      </c>
      <c r="S78" s="3">
        <f t="shared" si="158"/>
        <v>0.18243799999999999</v>
      </c>
      <c r="U78" s="22" t="s">
        <v>17</v>
      </c>
      <c r="V78" s="22"/>
      <c r="W78" s="2">
        <v>282212</v>
      </c>
      <c r="X78" s="3">
        <f t="shared" si="159"/>
        <v>0.28221200000000002</v>
      </c>
      <c r="Z78" s="22" t="s">
        <v>17</v>
      </c>
      <c r="AA78" s="22"/>
      <c r="AB78" s="2">
        <v>282877</v>
      </c>
      <c r="AC78" s="3">
        <f t="shared" si="160"/>
        <v>0.28287699999999999</v>
      </c>
      <c r="AE78" s="22" t="s">
        <v>17</v>
      </c>
      <c r="AF78" s="22"/>
      <c r="AG78" s="2">
        <v>108664</v>
      </c>
      <c r="AH78" s="3">
        <f t="shared" si="161"/>
        <v>0.108664</v>
      </c>
      <c r="AJ78" s="22" t="s">
        <v>17</v>
      </c>
      <c r="AK78" s="22"/>
      <c r="AL78" s="2">
        <v>217316</v>
      </c>
      <c r="AM78" s="3">
        <f t="shared" si="162"/>
        <v>0.21731600000000001</v>
      </c>
      <c r="AO78" s="22" t="s">
        <v>17</v>
      </c>
      <c r="AP78" s="22"/>
      <c r="AQ78" s="2">
        <v>213279</v>
      </c>
      <c r="AR78" s="3">
        <f t="shared" si="163"/>
        <v>0.213279</v>
      </c>
      <c r="AT78" s="22" t="s">
        <v>17</v>
      </c>
      <c r="AU78" s="22"/>
      <c r="AV78" s="2">
        <v>207995</v>
      </c>
      <c r="AW78" s="3">
        <f t="shared" si="164"/>
        <v>0.20799500000000001</v>
      </c>
    </row>
    <row r="79" spans="6:49">
      <c r="F79" s="21" t="s">
        <v>19</v>
      </c>
      <c r="G79" s="21"/>
      <c r="H79" s="8">
        <v>47629</v>
      </c>
      <c r="I79" s="9">
        <f t="shared" si="156"/>
        <v>4.7628999999999998E-2</v>
      </c>
      <c r="K79" s="21" t="s">
        <v>19</v>
      </c>
      <c r="L79" s="21"/>
      <c r="M79" s="8">
        <v>48057</v>
      </c>
      <c r="N79" s="9">
        <f t="shared" si="157"/>
        <v>4.8057000000000002E-2</v>
      </c>
      <c r="P79" s="21" t="s">
        <v>19</v>
      </c>
      <c r="Q79" s="21"/>
      <c r="R79" s="8">
        <v>47675</v>
      </c>
      <c r="S79" s="9">
        <f t="shared" si="158"/>
        <v>4.7675000000000002E-2</v>
      </c>
      <c r="U79" s="21" t="s">
        <v>19</v>
      </c>
      <c r="V79" s="21"/>
      <c r="W79" s="8">
        <v>47370</v>
      </c>
      <c r="X79" s="9">
        <f t="shared" si="159"/>
        <v>4.7370000000000002E-2</v>
      </c>
      <c r="Z79" s="21" t="s">
        <v>19</v>
      </c>
      <c r="AA79" s="21"/>
      <c r="AB79" s="8">
        <v>47325</v>
      </c>
      <c r="AC79" s="9">
        <f t="shared" si="160"/>
        <v>4.7324999999999999E-2</v>
      </c>
      <c r="AE79" s="21" t="s">
        <v>19</v>
      </c>
      <c r="AF79" s="21"/>
      <c r="AG79" s="8">
        <v>47396</v>
      </c>
      <c r="AH79" s="9">
        <f t="shared" si="161"/>
        <v>4.7396000000000001E-2</v>
      </c>
      <c r="AJ79" s="21" t="s">
        <v>19</v>
      </c>
      <c r="AK79" s="21"/>
      <c r="AL79" s="8">
        <v>47918</v>
      </c>
      <c r="AM79" s="9">
        <f t="shared" si="162"/>
        <v>4.7918000000000002E-2</v>
      </c>
      <c r="AO79" s="21" t="s">
        <v>19</v>
      </c>
      <c r="AP79" s="21"/>
      <c r="AQ79" s="8">
        <v>47586</v>
      </c>
      <c r="AR79" s="9">
        <f t="shared" si="163"/>
        <v>4.7586000000000003E-2</v>
      </c>
      <c r="AT79" s="21" t="s">
        <v>19</v>
      </c>
      <c r="AU79" s="21"/>
      <c r="AV79" s="8">
        <v>47546</v>
      </c>
      <c r="AW79" s="9">
        <f t="shared" si="164"/>
        <v>4.7545999999999998E-2</v>
      </c>
    </row>
    <row r="80" spans="6:49">
      <c r="F80" s="22" t="s">
        <v>21</v>
      </c>
      <c r="G80" s="22"/>
      <c r="H80" s="26">
        <v>-7143</v>
      </c>
      <c r="I80" s="26"/>
      <c r="K80" s="22" t="s">
        <v>21</v>
      </c>
      <c r="L80" s="22"/>
      <c r="M80" s="26">
        <v>-290844</v>
      </c>
      <c r="N80" s="26"/>
      <c r="P80" s="22" t="s">
        <v>21</v>
      </c>
      <c r="Q80" s="22"/>
      <c r="R80" s="26">
        <v>-176064</v>
      </c>
      <c r="S80" s="26"/>
      <c r="U80" s="22" t="s">
        <v>21</v>
      </c>
      <c r="V80" s="22"/>
      <c r="W80" s="26">
        <v>-5008</v>
      </c>
      <c r="X80" s="26"/>
      <c r="Z80" s="22" t="s">
        <v>21</v>
      </c>
      <c r="AA80" s="22"/>
      <c r="AB80" s="26">
        <v>-288613</v>
      </c>
      <c r="AC80" s="26"/>
      <c r="AE80" s="22" t="s">
        <v>21</v>
      </c>
      <c r="AF80" s="22"/>
      <c r="AG80" s="26">
        <v>-507989</v>
      </c>
      <c r="AH80" s="26"/>
      <c r="AJ80" s="22" t="s">
        <v>21</v>
      </c>
      <c r="AK80" s="22"/>
      <c r="AL80" s="26">
        <v>-50485</v>
      </c>
      <c r="AM80" s="26"/>
      <c r="AO80" s="22" t="s">
        <v>21</v>
      </c>
      <c r="AP80" s="22"/>
      <c r="AQ80" s="26">
        <v>-152115</v>
      </c>
      <c r="AR80" s="26"/>
      <c r="AT80" s="22" t="s">
        <v>21</v>
      </c>
      <c r="AU80" s="22"/>
      <c r="AV80" s="26">
        <v>-242855</v>
      </c>
      <c r="AW80" s="26"/>
    </row>
    <row r="82" spans="6:49">
      <c r="F82" s="20" t="s">
        <v>65</v>
      </c>
      <c r="G82" s="20"/>
      <c r="H82" s="20"/>
      <c r="I82" s="20"/>
      <c r="K82" s="20" t="s">
        <v>66</v>
      </c>
      <c r="L82" s="20"/>
      <c r="M82" s="20"/>
      <c r="N82" s="20"/>
      <c r="P82" s="20" t="s">
        <v>67</v>
      </c>
      <c r="Q82" s="20"/>
      <c r="R82" s="20"/>
      <c r="S82" s="20"/>
      <c r="U82" s="27" t="s">
        <v>68</v>
      </c>
      <c r="V82" s="27"/>
      <c r="W82" s="27"/>
      <c r="X82" s="27"/>
      <c r="Z82" s="27" t="s">
        <v>69</v>
      </c>
      <c r="AA82" s="27"/>
      <c r="AB82" s="27"/>
      <c r="AC82" s="27"/>
      <c r="AE82" s="27" t="s">
        <v>70</v>
      </c>
      <c r="AF82" s="27"/>
      <c r="AG82" s="27"/>
      <c r="AH82" s="27"/>
      <c r="AJ82" s="27" t="s">
        <v>71</v>
      </c>
      <c r="AK82" s="27"/>
      <c r="AL82" s="27"/>
      <c r="AM82" s="27"/>
      <c r="AO82" s="27" t="s">
        <v>72</v>
      </c>
      <c r="AP82" s="27"/>
      <c r="AQ82" s="27"/>
      <c r="AR82" s="27"/>
      <c r="AT82" s="27" t="s">
        <v>73</v>
      </c>
      <c r="AU82" s="27"/>
      <c r="AV82" s="27"/>
      <c r="AW82" s="27"/>
    </row>
    <row r="83" spans="6:49">
      <c r="F83" s="21" t="s">
        <v>4</v>
      </c>
      <c r="G83" s="21"/>
      <c r="H83" s="8">
        <v>384104</v>
      </c>
      <c r="I83" s="9">
        <f>H83/1000000</f>
        <v>0.384104</v>
      </c>
      <c r="K83" s="21" t="s">
        <v>4</v>
      </c>
      <c r="L83" s="21"/>
      <c r="M83" s="8">
        <v>400005</v>
      </c>
      <c r="N83" s="9">
        <f>M83/1000000</f>
        <v>0.400005</v>
      </c>
      <c r="P83" s="21" t="s">
        <v>4</v>
      </c>
      <c r="Q83" s="21"/>
      <c r="R83" s="8">
        <v>415058</v>
      </c>
      <c r="S83" s="9">
        <f>R83/1000000</f>
        <v>0.41505799999999998</v>
      </c>
      <c r="U83" s="21" t="s">
        <v>4</v>
      </c>
      <c r="V83" s="21"/>
      <c r="W83" s="8">
        <v>236413</v>
      </c>
      <c r="X83" s="9">
        <f>W83/1000000</f>
        <v>0.23641300000000001</v>
      </c>
      <c r="Z83" s="21" t="s">
        <v>4</v>
      </c>
      <c r="AA83" s="21"/>
      <c r="AB83" s="8">
        <v>254942</v>
      </c>
      <c r="AC83" s="9">
        <f>AB83/1000000</f>
        <v>0.254942</v>
      </c>
      <c r="AE83" s="21" t="s">
        <v>4</v>
      </c>
      <c r="AF83" s="21"/>
      <c r="AG83" s="8">
        <v>273424</v>
      </c>
      <c r="AH83" s="9">
        <f>AG83/1000000</f>
        <v>0.273424</v>
      </c>
      <c r="AJ83" s="21" t="s">
        <v>4</v>
      </c>
      <c r="AK83" s="21"/>
      <c r="AL83" s="8">
        <v>309237</v>
      </c>
      <c r="AM83" s="9">
        <f>AL83/1000000</f>
        <v>0.30923699999999998</v>
      </c>
      <c r="AO83" s="21" t="s">
        <v>4</v>
      </c>
      <c r="AP83" s="21"/>
      <c r="AQ83" s="8">
        <v>327750</v>
      </c>
      <c r="AR83" s="9">
        <f>AQ83/1000000</f>
        <v>0.32774999999999999</v>
      </c>
      <c r="AT83" s="21" t="s">
        <v>4</v>
      </c>
      <c r="AU83" s="21"/>
      <c r="AV83" s="8">
        <v>338955</v>
      </c>
      <c r="AW83" s="9">
        <f>AV83/1000000</f>
        <v>0.33895500000000001</v>
      </c>
    </row>
    <row r="84" spans="6:49">
      <c r="F84" s="22" t="s">
        <v>9</v>
      </c>
      <c r="G84" s="22"/>
      <c r="H84" s="2">
        <v>525639</v>
      </c>
      <c r="I84" s="3">
        <f t="shared" ref="I84:I89" si="165">H84/1000000</f>
        <v>0.52563899999999997</v>
      </c>
      <c r="K84" s="22" t="s">
        <v>9</v>
      </c>
      <c r="L84" s="22"/>
      <c r="M84" s="2">
        <v>505670</v>
      </c>
      <c r="N84" s="3">
        <f t="shared" ref="N84:N89" si="166">M84/1000000</f>
        <v>0.50566999999999995</v>
      </c>
      <c r="P84" s="22" t="s">
        <v>9</v>
      </c>
      <c r="Q84" s="22"/>
      <c r="R84" s="2">
        <v>487175</v>
      </c>
      <c r="S84" s="3">
        <f t="shared" ref="S84:S89" si="167">R84/1000000</f>
        <v>0.48717500000000002</v>
      </c>
      <c r="U84" s="22" t="s">
        <v>9</v>
      </c>
      <c r="V84" s="22"/>
      <c r="W84" s="2">
        <v>708380</v>
      </c>
      <c r="X84" s="3">
        <f t="shared" ref="X84:X89" si="168">W84/1000000</f>
        <v>0.70838000000000001</v>
      </c>
      <c r="Z84" s="22" t="s">
        <v>9</v>
      </c>
      <c r="AA84" s="22"/>
      <c r="AB84" s="2">
        <v>685266</v>
      </c>
      <c r="AC84" s="3">
        <f t="shared" ref="AC84:AC89" si="169">AB84/1000000</f>
        <v>0.68526600000000004</v>
      </c>
      <c r="AE84" s="22" t="s">
        <v>9</v>
      </c>
      <c r="AF84" s="22"/>
      <c r="AG84" s="2">
        <v>662172</v>
      </c>
      <c r="AH84" s="3">
        <f t="shared" ref="AH84:AH89" si="170">AG84/1000000</f>
        <v>0.66217199999999998</v>
      </c>
      <c r="AJ84" s="22" t="s">
        <v>9</v>
      </c>
      <c r="AK84" s="22"/>
      <c r="AL84" s="2">
        <v>612584</v>
      </c>
      <c r="AM84" s="3">
        <f t="shared" ref="AM84:AM89" si="171">AL84/1000000</f>
        <v>0.61258400000000002</v>
      </c>
      <c r="AO84" s="22" t="s">
        <v>9</v>
      </c>
      <c r="AP84" s="22"/>
      <c r="AQ84" s="2">
        <v>593302</v>
      </c>
      <c r="AR84" s="3">
        <f t="shared" ref="AR84:AR89" si="172">AQ84/1000000</f>
        <v>0.593302</v>
      </c>
      <c r="AT84" s="22" t="s">
        <v>9</v>
      </c>
      <c r="AU84" s="22"/>
      <c r="AV84" s="2">
        <v>579267</v>
      </c>
      <c r="AW84" s="3">
        <f t="shared" ref="AW84:AW89" si="173">AV84/1000000</f>
        <v>0.57926699999999998</v>
      </c>
    </row>
    <row r="85" spans="6:49">
      <c r="F85" s="21" t="s">
        <v>11</v>
      </c>
      <c r="G85" s="21"/>
      <c r="H85" s="8">
        <v>90257</v>
      </c>
      <c r="I85" s="9">
        <f t="shared" si="165"/>
        <v>9.0257000000000004E-2</v>
      </c>
      <c r="K85" s="21" t="s">
        <v>11</v>
      </c>
      <c r="L85" s="21"/>
      <c r="M85" s="8">
        <v>94325</v>
      </c>
      <c r="N85" s="9">
        <f t="shared" si="166"/>
        <v>9.4325000000000006E-2</v>
      </c>
      <c r="P85" s="21" t="s">
        <v>11</v>
      </c>
      <c r="Q85" s="21"/>
      <c r="R85" s="8">
        <v>97767</v>
      </c>
      <c r="S85" s="9">
        <f t="shared" si="167"/>
        <v>9.7767000000000007E-2</v>
      </c>
      <c r="U85" s="21" t="s">
        <v>11</v>
      </c>
      <c r="V85" s="21"/>
      <c r="W85" s="8">
        <v>55207</v>
      </c>
      <c r="X85" s="9">
        <f t="shared" si="168"/>
        <v>5.5206999999999999E-2</v>
      </c>
      <c r="Z85" s="21" t="s">
        <v>11</v>
      </c>
      <c r="AA85" s="21"/>
      <c r="AB85" s="8">
        <v>59792</v>
      </c>
      <c r="AC85" s="9">
        <f t="shared" si="169"/>
        <v>5.9791999999999998E-2</v>
      </c>
      <c r="AE85" s="21" t="s">
        <v>11</v>
      </c>
      <c r="AF85" s="21"/>
      <c r="AG85" s="8">
        <v>64404</v>
      </c>
      <c r="AH85" s="9">
        <f t="shared" si="170"/>
        <v>6.4404000000000003E-2</v>
      </c>
      <c r="AJ85" s="21" t="s">
        <v>11</v>
      </c>
      <c r="AK85" s="21"/>
      <c r="AL85" s="8">
        <v>78179</v>
      </c>
      <c r="AM85" s="9">
        <f t="shared" si="171"/>
        <v>7.8178999999999998E-2</v>
      </c>
      <c r="AO85" s="21" t="s">
        <v>11</v>
      </c>
      <c r="AP85" s="21"/>
      <c r="AQ85" s="8">
        <v>78948</v>
      </c>
      <c r="AR85" s="9">
        <f t="shared" si="172"/>
        <v>7.8948000000000004E-2</v>
      </c>
      <c r="AT85" s="21" t="s">
        <v>11</v>
      </c>
      <c r="AU85" s="21"/>
      <c r="AV85" s="8">
        <v>81778</v>
      </c>
      <c r="AW85" s="9">
        <f t="shared" si="173"/>
        <v>8.1778000000000003E-2</v>
      </c>
    </row>
    <row r="86" spans="6:49">
      <c r="F86" s="22" t="s">
        <v>13</v>
      </c>
      <c r="G86" s="22"/>
      <c r="H86" s="2">
        <v>311480</v>
      </c>
      <c r="I86" s="3">
        <f t="shared" si="165"/>
        <v>0.31147999999999998</v>
      </c>
      <c r="K86" s="22" t="s">
        <v>13</v>
      </c>
      <c r="L86" s="22"/>
      <c r="M86" s="2">
        <v>285134</v>
      </c>
      <c r="N86" s="3">
        <f t="shared" si="166"/>
        <v>0.285134</v>
      </c>
      <c r="P86" s="22" t="s">
        <v>13</v>
      </c>
      <c r="Q86" s="22"/>
      <c r="R86" s="2">
        <v>260052</v>
      </c>
      <c r="S86" s="3">
        <f t="shared" si="167"/>
        <v>0.26005200000000001</v>
      </c>
      <c r="U86" s="22" t="s">
        <v>13</v>
      </c>
      <c r="V86" s="22"/>
      <c r="W86" s="2">
        <v>558437</v>
      </c>
      <c r="X86" s="3">
        <f t="shared" si="168"/>
        <v>0.55843699999999996</v>
      </c>
      <c r="Z86" s="22" t="s">
        <v>13</v>
      </c>
      <c r="AA86" s="22"/>
      <c r="AB86" s="2">
        <v>528000</v>
      </c>
      <c r="AC86" s="3">
        <f t="shared" si="169"/>
        <v>0.52800000000000002</v>
      </c>
      <c r="AE86" s="22" t="s">
        <v>13</v>
      </c>
      <c r="AF86" s="22"/>
      <c r="AG86" s="2">
        <v>495906</v>
      </c>
      <c r="AH86" s="3">
        <f t="shared" si="170"/>
        <v>0.49590600000000001</v>
      </c>
      <c r="AJ86" s="22" t="s">
        <v>13</v>
      </c>
      <c r="AK86" s="22"/>
      <c r="AL86" s="2">
        <v>403561</v>
      </c>
      <c r="AM86" s="3">
        <f t="shared" si="171"/>
        <v>0.403561</v>
      </c>
      <c r="AO86" s="22" t="s">
        <v>13</v>
      </c>
      <c r="AP86" s="22"/>
      <c r="AQ86" s="2">
        <v>397082</v>
      </c>
      <c r="AR86" s="3">
        <f t="shared" si="172"/>
        <v>0.39708199999999999</v>
      </c>
      <c r="AT86" s="22" t="s">
        <v>13</v>
      </c>
      <c r="AU86" s="22"/>
      <c r="AV86" s="2">
        <v>375980</v>
      </c>
      <c r="AW86" s="3">
        <f t="shared" si="173"/>
        <v>0.37597999999999998</v>
      </c>
    </row>
    <row r="87" spans="6:49">
      <c r="F87" s="21" t="s">
        <v>15</v>
      </c>
      <c r="G87" s="21"/>
      <c r="H87" s="8">
        <v>0</v>
      </c>
      <c r="I87" s="9">
        <f t="shared" si="165"/>
        <v>0</v>
      </c>
      <c r="K87" s="21" t="s">
        <v>15</v>
      </c>
      <c r="L87" s="21"/>
      <c r="M87" s="8">
        <v>0</v>
      </c>
      <c r="N87" s="9">
        <f t="shared" si="166"/>
        <v>0</v>
      </c>
      <c r="P87" s="21" t="s">
        <v>15</v>
      </c>
      <c r="Q87" s="21"/>
      <c r="R87" s="8">
        <v>0</v>
      </c>
      <c r="S87" s="9">
        <f t="shared" si="167"/>
        <v>0</v>
      </c>
      <c r="U87" s="21" t="s">
        <v>15</v>
      </c>
      <c r="V87" s="21"/>
      <c r="W87" s="8">
        <v>0</v>
      </c>
      <c r="X87" s="9">
        <f t="shared" si="168"/>
        <v>0</v>
      </c>
      <c r="Z87" s="21" t="s">
        <v>15</v>
      </c>
      <c r="AA87" s="21"/>
      <c r="AB87" s="8">
        <v>0</v>
      </c>
      <c r="AC87" s="9">
        <f t="shared" si="169"/>
        <v>0</v>
      </c>
      <c r="AE87" s="21" t="s">
        <v>15</v>
      </c>
      <c r="AF87" s="21"/>
      <c r="AG87" s="8">
        <v>0</v>
      </c>
      <c r="AH87" s="9">
        <f t="shared" si="170"/>
        <v>0</v>
      </c>
      <c r="AJ87" s="21" t="s">
        <v>15</v>
      </c>
      <c r="AK87" s="21"/>
      <c r="AL87" s="8">
        <v>0</v>
      </c>
      <c r="AM87" s="9">
        <f t="shared" si="171"/>
        <v>0</v>
      </c>
      <c r="AO87" s="21" t="s">
        <v>15</v>
      </c>
      <c r="AP87" s="21"/>
      <c r="AQ87" s="8">
        <v>0</v>
      </c>
      <c r="AR87" s="9">
        <f t="shared" si="172"/>
        <v>0</v>
      </c>
      <c r="AT87" s="21" t="s">
        <v>15</v>
      </c>
      <c r="AU87" s="21"/>
      <c r="AV87" s="8">
        <v>0</v>
      </c>
      <c r="AW87" s="9">
        <f t="shared" si="173"/>
        <v>0</v>
      </c>
    </row>
    <row r="88" spans="6:49">
      <c r="F88" s="22" t="s">
        <v>17</v>
      </c>
      <c r="G88" s="22"/>
      <c r="H88" s="2">
        <v>189300</v>
      </c>
      <c r="I88" s="3">
        <f t="shared" si="165"/>
        <v>0.1893</v>
      </c>
      <c r="K88" s="22" t="s">
        <v>17</v>
      </c>
      <c r="L88" s="22"/>
      <c r="M88" s="2">
        <v>197818</v>
      </c>
      <c r="N88" s="3">
        <f t="shared" si="166"/>
        <v>0.19781799999999999</v>
      </c>
      <c r="P88" s="22" t="s">
        <v>17</v>
      </c>
      <c r="Q88" s="22"/>
      <c r="R88" s="2">
        <v>204835</v>
      </c>
      <c r="S88" s="3">
        <f t="shared" si="167"/>
        <v>0.20483499999999999</v>
      </c>
      <c r="U88" s="22" t="s">
        <v>17</v>
      </c>
      <c r="V88" s="22"/>
      <c r="W88" s="2">
        <v>117040</v>
      </c>
      <c r="X88" s="3">
        <f t="shared" si="168"/>
        <v>0.11704000000000001</v>
      </c>
      <c r="Z88" s="22" t="s">
        <v>17</v>
      </c>
      <c r="AA88" s="22"/>
      <c r="AB88" s="2">
        <v>126041</v>
      </c>
      <c r="AC88" s="3">
        <f t="shared" si="169"/>
        <v>0.12604099999999999</v>
      </c>
      <c r="AE88" s="22" t="s">
        <v>17</v>
      </c>
      <c r="AF88" s="22"/>
      <c r="AG88" s="2">
        <v>135462</v>
      </c>
      <c r="AH88" s="3">
        <f t="shared" si="170"/>
        <v>0.135462</v>
      </c>
      <c r="AJ88" s="22" t="s">
        <v>17</v>
      </c>
      <c r="AK88" s="22"/>
      <c r="AL88" s="2">
        <v>162609</v>
      </c>
      <c r="AM88" s="3">
        <f t="shared" si="171"/>
        <v>0.162609</v>
      </c>
      <c r="AO88" s="22" t="s">
        <v>17</v>
      </c>
      <c r="AP88" s="22"/>
      <c r="AQ88" s="2">
        <v>164244</v>
      </c>
      <c r="AR88" s="3">
        <f t="shared" si="172"/>
        <v>0.164244</v>
      </c>
      <c r="AT88" s="22" t="s">
        <v>17</v>
      </c>
      <c r="AU88" s="22"/>
      <c r="AV88" s="2">
        <v>171196</v>
      </c>
      <c r="AW88" s="3">
        <f t="shared" si="173"/>
        <v>0.17119599999999999</v>
      </c>
    </row>
    <row r="89" spans="6:49">
      <c r="F89" s="21" t="s">
        <v>19</v>
      </c>
      <c r="G89" s="21"/>
      <c r="H89" s="8">
        <v>47405</v>
      </c>
      <c r="I89" s="9">
        <f t="shared" si="165"/>
        <v>4.7405000000000003E-2</v>
      </c>
      <c r="K89" s="21" t="s">
        <v>19</v>
      </c>
      <c r="L89" s="21"/>
      <c r="M89" s="8">
        <v>47359</v>
      </c>
      <c r="N89" s="9">
        <f t="shared" si="166"/>
        <v>4.7358999999999998E-2</v>
      </c>
      <c r="P89" s="21" t="s">
        <v>19</v>
      </c>
      <c r="Q89" s="21"/>
      <c r="R89" s="8">
        <v>47511</v>
      </c>
      <c r="S89" s="9">
        <f t="shared" si="167"/>
        <v>4.7510999999999998E-2</v>
      </c>
      <c r="U89" s="21" t="s">
        <v>19</v>
      </c>
      <c r="V89" s="21"/>
      <c r="W89" s="8">
        <v>47456</v>
      </c>
      <c r="X89" s="9">
        <f t="shared" si="168"/>
        <v>4.7455999999999998E-2</v>
      </c>
      <c r="Z89" s="21" t="s">
        <v>19</v>
      </c>
      <c r="AA89" s="21"/>
      <c r="AB89" s="8">
        <v>47547</v>
      </c>
      <c r="AC89" s="9">
        <f t="shared" si="169"/>
        <v>4.7546999999999999E-2</v>
      </c>
      <c r="AE89" s="21" t="s">
        <v>19</v>
      </c>
      <c r="AF89" s="21"/>
      <c r="AG89" s="8">
        <v>47393</v>
      </c>
      <c r="AH89" s="9">
        <f t="shared" si="170"/>
        <v>4.7392999999999998E-2</v>
      </c>
      <c r="AJ89" s="21" t="s">
        <v>19</v>
      </c>
      <c r="AK89" s="21"/>
      <c r="AL89" s="8">
        <v>47488</v>
      </c>
      <c r="AM89" s="9">
        <f t="shared" si="171"/>
        <v>4.7488000000000002E-2</v>
      </c>
      <c r="AO89" s="21" t="s">
        <v>19</v>
      </c>
      <c r="AP89" s="21"/>
      <c r="AQ89" s="8">
        <v>47239</v>
      </c>
      <c r="AR89" s="9">
        <f t="shared" si="172"/>
        <v>4.7239000000000003E-2</v>
      </c>
      <c r="AT89" s="21" t="s">
        <v>19</v>
      </c>
      <c r="AU89" s="21"/>
      <c r="AV89" s="8">
        <v>47276</v>
      </c>
      <c r="AW89" s="9">
        <f t="shared" si="173"/>
        <v>4.7275999999999999E-2</v>
      </c>
    </row>
    <row r="90" spans="6:49">
      <c r="F90" s="22" t="s">
        <v>21</v>
      </c>
      <c r="G90" s="22"/>
      <c r="H90" s="26">
        <v>-141535</v>
      </c>
      <c r="I90" s="26"/>
      <c r="K90" s="22" t="s">
        <v>21</v>
      </c>
      <c r="L90" s="22"/>
      <c r="M90" s="26">
        <v>-105665</v>
      </c>
      <c r="N90" s="26"/>
      <c r="P90" s="22" t="s">
        <v>21</v>
      </c>
      <c r="Q90" s="22"/>
      <c r="R90" s="26">
        <v>-72117</v>
      </c>
      <c r="S90" s="26"/>
      <c r="U90" s="22" t="s">
        <v>21</v>
      </c>
      <c r="V90" s="22"/>
      <c r="W90" s="26">
        <v>-471967</v>
      </c>
      <c r="X90" s="26"/>
      <c r="Z90" s="22" t="s">
        <v>21</v>
      </c>
      <c r="AA90" s="22"/>
      <c r="AB90" s="26">
        <v>-430324</v>
      </c>
      <c r="AC90" s="26"/>
      <c r="AE90" s="22" t="s">
        <v>21</v>
      </c>
      <c r="AF90" s="22"/>
      <c r="AG90" s="26">
        <v>-388748</v>
      </c>
      <c r="AH90" s="26"/>
      <c r="AJ90" s="22" t="s">
        <v>21</v>
      </c>
      <c r="AK90" s="22"/>
      <c r="AL90" s="26">
        <v>-303347</v>
      </c>
      <c r="AM90" s="26"/>
      <c r="AO90" s="22" t="s">
        <v>21</v>
      </c>
      <c r="AP90" s="22"/>
      <c r="AQ90" s="26">
        <v>-265552</v>
      </c>
      <c r="AR90" s="26"/>
      <c r="AT90" s="22" t="s">
        <v>21</v>
      </c>
      <c r="AU90" s="22"/>
      <c r="AV90" s="26">
        <v>-240312</v>
      </c>
      <c r="AW90" s="26"/>
    </row>
    <row r="92" spans="6:49">
      <c r="U92" s="20" t="s">
        <v>74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6:49">
      <c r="U93" s="17"/>
      <c r="V93" s="17" t="s">
        <v>5</v>
      </c>
      <c r="W93" s="17">
        <v>2</v>
      </c>
      <c r="X93" s="17">
        <v>3</v>
      </c>
      <c r="Y93" s="17">
        <v>4</v>
      </c>
      <c r="Z93" s="17">
        <v>5</v>
      </c>
      <c r="AA93" s="17">
        <v>6</v>
      </c>
      <c r="AB93" s="17">
        <v>7</v>
      </c>
      <c r="AC93" s="17">
        <v>8</v>
      </c>
      <c r="AD93" s="17">
        <v>9</v>
      </c>
      <c r="AE93" s="17">
        <v>10</v>
      </c>
      <c r="AF93" s="17" t="s">
        <v>6</v>
      </c>
      <c r="AG93" s="17" t="s">
        <v>7</v>
      </c>
      <c r="AH93" s="17" t="s">
        <v>8</v>
      </c>
    </row>
    <row r="94" spans="6:49">
      <c r="U94" s="1" t="s">
        <v>10</v>
      </c>
      <c r="V94" s="3">
        <f>G34-V34</f>
        <v>-0.49062212011474116</v>
      </c>
      <c r="W94" s="3">
        <f>H34-W34</f>
        <v>-0.18177438047738731</v>
      </c>
      <c r="X94" s="3">
        <f>I34-X34</f>
        <v>-0.16752295013561447</v>
      </c>
      <c r="Y94" s="3">
        <f>J34-Y34</f>
        <v>-0.16089353513288607</v>
      </c>
      <c r="Z94" s="3">
        <f>K34-Z34</f>
        <v>-0.14855841197526848</v>
      </c>
      <c r="AA94" s="3">
        <f>L34-AA34</f>
        <v>-0.1203884499502153</v>
      </c>
      <c r="AB94" s="3">
        <f>M34-AB34</f>
        <v>-9.135433582331931E-2</v>
      </c>
      <c r="AC94" s="3">
        <f>N34-AC34</f>
        <v>-0.15818188954743495</v>
      </c>
      <c r="AD94" s="3">
        <f>O34-AD34</f>
        <v>-0.23749077108402517</v>
      </c>
      <c r="AE94" s="3">
        <f>P34-AE34</f>
        <v>-0.34039806902960995</v>
      </c>
      <c r="AF94" s="3">
        <f>Q34-AF34</f>
        <v>-0.34111296547407949</v>
      </c>
      <c r="AG94" s="3">
        <f>R34-AG34</f>
        <v>-0.34218800965490243</v>
      </c>
      <c r="AH94" s="3">
        <f>S34-AH34</f>
        <v>-0.34281557685813002</v>
      </c>
    </row>
    <row r="95" spans="6:49">
      <c r="U95" s="1" t="s">
        <v>12</v>
      </c>
      <c r="V95" s="3">
        <f>G35-V35</f>
        <v>-0.50790426335390781</v>
      </c>
      <c r="W95" s="3">
        <f>H35-W35</f>
        <v>-0.21302888195106656</v>
      </c>
      <c r="X95" s="3">
        <f>I35-X35</f>
        <v>-0.19070267748373554</v>
      </c>
      <c r="Y95" s="3">
        <f>J35-Y35</f>
        <v>-0.18601262116973521</v>
      </c>
      <c r="Z95" s="3">
        <f>K35-Z35</f>
        <v>-0.1680258239891268</v>
      </c>
      <c r="AA95" s="3">
        <f>L35-AA35</f>
        <v>-0.14224244715945389</v>
      </c>
      <c r="AB95" s="3">
        <f>M35-AB35</f>
        <v>-0.12100400409480244</v>
      </c>
      <c r="AC95" s="3">
        <f>N35-AC35</f>
        <v>-0.19056854271880042</v>
      </c>
      <c r="AD95" s="3">
        <f>O35-AD35</f>
        <v>-0.27199368930155565</v>
      </c>
      <c r="AE95" s="3">
        <f>P35-AE35</f>
        <v>-0.36462346760070052</v>
      </c>
      <c r="AF95" s="3">
        <f>Q35-AF35</f>
        <v>-0.36514689668590694</v>
      </c>
      <c r="AG95" s="3">
        <f>R35-AG35</f>
        <v>-0.36165067477962398</v>
      </c>
      <c r="AH95" s="3">
        <f>S35-AH35</f>
        <v>-0.36851810968403825</v>
      </c>
    </row>
    <row r="96" spans="6:49">
      <c r="U96" s="1" t="s">
        <v>14</v>
      </c>
      <c r="V96" s="3">
        <f>G36-V36</f>
        <v>-0.53909090909090918</v>
      </c>
      <c r="W96" s="3">
        <f>H36-W36</f>
        <v>-0.24024137036075782</v>
      </c>
      <c r="X96" s="3">
        <f>I36-X36</f>
        <v>-0.23312955407536795</v>
      </c>
      <c r="Y96" s="3">
        <f>J36-Y36</f>
        <v>-0.227203439515341</v>
      </c>
      <c r="Z96" s="3">
        <f>K36-Z36</f>
        <v>-0.20819432860717257</v>
      </c>
      <c r="AA96" s="3">
        <f>L36-AA36</f>
        <v>-0.1722657170537561</v>
      </c>
      <c r="AB96" s="3">
        <f>M36-AB36</f>
        <v>-0.16096104708765707</v>
      </c>
      <c r="AC96" s="3">
        <f>N36-AC36</f>
        <v>-0.2377565298507463</v>
      </c>
      <c r="AD96" s="3">
        <f>O36-AD36</f>
        <v>-0.31649740289944961</v>
      </c>
      <c r="AE96" s="3">
        <f>P36-AE36</f>
        <v>-0.40257403278175485</v>
      </c>
      <c r="AF96" s="3">
        <f>Q36-AF36</f>
        <v>-0.39592372242861967</v>
      </c>
      <c r="AG96" s="3">
        <f>R36-AG36</f>
        <v>-0.39859153106269501</v>
      </c>
      <c r="AH96" s="3">
        <f>S36-AH36</f>
        <v>-0.40871853368936817</v>
      </c>
    </row>
    <row r="97" spans="21:34">
      <c r="U97" s="1" t="s">
        <v>16</v>
      </c>
      <c r="V97" s="3">
        <f>G37-V37</f>
        <v>-0.52450693984601204</v>
      </c>
      <c r="W97" s="3">
        <f>H37-W37</f>
        <v>-0.15987715653509166</v>
      </c>
      <c r="X97" s="3">
        <f>I37-X37</f>
        <v>-0.14293918037066033</v>
      </c>
      <c r="Y97" s="3">
        <f>J37-Y37</f>
        <v>-0.1119200459266218</v>
      </c>
      <c r="Z97" s="3">
        <f>K37-Z37</f>
        <v>-9.4037496290370448E-2</v>
      </c>
      <c r="AA97" s="3">
        <f>L37-AA37</f>
        <v>-6.1480454527786055E-2</v>
      </c>
      <c r="AB97" s="3">
        <f>M37-AB37</f>
        <v>-6.8838965056229884E-2</v>
      </c>
      <c r="AC97" s="3">
        <f>N37-AC37</f>
        <v>-0.21294814236449994</v>
      </c>
      <c r="AD97" s="3">
        <f>O37-AD37</f>
        <v>-0.28994927282398575</v>
      </c>
      <c r="AE97" s="3">
        <f>P37-AE37</f>
        <v>-0.37066625099047845</v>
      </c>
      <c r="AF97" s="3">
        <f>Q37-AF37</f>
        <v>-0.37414877240587568</v>
      </c>
      <c r="AG97" s="3">
        <f>R37-AG37</f>
        <v>-0.37335391880846425</v>
      </c>
      <c r="AH97" s="3">
        <f>S37-AH37</f>
        <v>-0.37265037593984962</v>
      </c>
    </row>
    <row r="98" spans="21:34">
      <c r="U98" s="1" t="s">
        <v>18</v>
      </c>
      <c r="V98" s="3">
        <f>G38-V38</f>
        <v>-0.44364835221889076</v>
      </c>
      <c r="W98" s="3">
        <f>H38-W38</f>
        <v>-6.8073982092673679E-2</v>
      </c>
      <c r="X98" s="3">
        <f>I38-X38</f>
        <v>-4.7887360599633055E-2</v>
      </c>
      <c r="Y98" s="3">
        <f>J38-Y38</f>
        <v>-3.2052283497370215E-2</v>
      </c>
      <c r="Z98" s="3">
        <f>K38-Z38</f>
        <v>-1.0550691454070005E-2</v>
      </c>
      <c r="AA98" s="3">
        <f>L38-AA38</f>
        <v>3.397118619847489E-2</v>
      </c>
      <c r="AB98" s="3">
        <f>M38-AB38</f>
        <v>8.0484302844503086E-2</v>
      </c>
      <c r="AC98" s="3">
        <f>N38-AC38</f>
        <v>-5.9679880019651965E-2</v>
      </c>
      <c r="AD98" s="3">
        <f>O38-AD38</f>
        <v>-0.21090776369988012</v>
      </c>
      <c r="AE98" s="3">
        <f>P38-AE38</f>
        <v>-0.30269171511063347</v>
      </c>
      <c r="AF98" s="3">
        <f>Q38-AF38</f>
        <v>-0.30436364108759767</v>
      </c>
      <c r="AG98" s="3">
        <f>R38-AG38</f>
        <v>-0.30646320272794975</v>
      </c>
      <c r="AH98" s="3">
        <f>S38-AH38</f>
        <v>-0.30654083957045236</v>
      </c>
    </row>
    <row r="99" spans="21:34">
      <c r="U99" s="1" t="s">
        <v>20</v>
      </c>
      <c r="V99" s="3">
        <f>G39-V39</f>
        <v>-0.35733846591055879</v>
      </c>
      <c r="W99" s="3">
        <f>H39-W39</f>
        <v>3.7296128393517758E-2</v>
      </c>
      <c r="X99" s="3">
        <f>I39-X39</f>
        <v>4.9182255199080371E-2</v>
      </c>
      <c r="Y99" s="3">
        <f>J39-Y39</f>
        <v>6.2060889929742402E-2</v>
      </c>
      <c r="Z99" s="3">
        <f>K39-Z39</f>
        <v>7.8145540211633335E-2</v>
      </c>
      <c r="AA99" s="3">
        <f>L39-AA39</f>
        <v>0.1202467663754892</v>
      </c>
      <c r="AB99" s="3">
        <f>M39-AB39</f>
        <v>0.17353972038723625</v>
      </c>
      <c r="AC99" s="3">
        <f>N39-AC39</f>
        <v>0.10194073727204139</v>
      </c>
      <c r="AD99" s="3">
        <f>O39-AD39</f>
        <v>-5.9474681408808905E-2</v>
      </c>
      <c r="AE99" s="3">
        <f>P39-AE39</f>
        <v>-0.2165048669526784</v>
      </c>
      <c r="AF99" s="3">
        <f>Q39-AF39</f>
        <v>-0.2151595294240265</v>
      </c>
      <c r="AG99" s="3">
        <f>R39-AG39</f>
        <v>-0.21276734226318322</v>
      </c>
      <c r="AH99" s="3">
        <f>S39-AH39</f>
        <v>-0.21441464839945451</v>
      </c>
    </row>
    <row r="100" spans="21:34">
      <c r="U100" s="1" t="s">
        <v>22</v>
      </c>
      <c r="V100" s="3">
        <f>G40-V40</f>
        <v>-0.25015298483171672</v>
      </c>
      <c r="W100" s="3">
        <f>H40-W40</f>
        <v>0.1462199446126769</v>
      </c>
      <c r="X100" s="3">
        <f>I40-X40</f>
        <v>0.15994967117637143</v>
      </c>
      <c r="Y100" s="3">
        <f>J40-Y40</f>
        <v>0.17278592375366569</v>
      </c>
      <c r="Z100" s="3">
        <f>K40-Z40</f>
        <v>0.18485270934035147</v>
      </c>
      <c r="AA100" s="3">
        <f>L40-AA40</f>
        <v>0.22071719386157213</v>
      </c>
      <c r="AB100" s="3">
        <f>M40-AB40</f>
        <v>0.25449957947855339</v>
      </c>
      <c r="AC100" s="3">
        <f>N40-AC40</f>
        <v>0.19295961640092291</v>
      </c>
      <c r="AD100" s="3">
        <f>O40-AD40</f>
        <v>0.11795336787564764</v>
      </c>
      <c r="AE100" s="3">
        <f>P40-AE40</f>
        <v>-5.5948151329403006E-2</v>
      </c>
      <c r="AF100" s="3">
        <f>Q40-AF40</f>
        <v>-5.2404479149013861E-2</v>
      </c>
      <c r="AG100" s="3">
        <f>R40-AG40</f>
        <v>-5.6543255131964842E-2</v>
      </c>
      <c r="AH100" s="3">
        <f>S40-AH40</f>
        <v>-5.4837195964441199E-2</v>
      </c>
    </row>
    <row r="101" spans="21:34">
      <c r="U101" s="1" t="s">
        <v>23</v>
      </c>
      <c r="V101" s="3">
        <f>G41-V41</f>
        <v>-0.20314342355883236</v>
      </c>
      <c r="W101" s="3">
        <f>H41-W41</f>
        <v>0.19753134643178</v>
      </c>
      <c r="X101" s="3">
        <f>I41-X41</f>
        <v>0.21809288422469236</v>
      </c>
      <c r="Y101" s="3">
        <f>J41-Y41</f>
        <v>0.21899054605569046</v>
      </c>
      <c r="Z101" s="3">
        <f>K41-Z41</f>
        <v>0.23187007976643553</v>
      </c>
      <c r="AA101" s="3">
        <f>L41-AA41</f>
        <v>0.2644568522596204</v>
      </c>
      <c r="AB101" s="3">
        <f>M41-AB41</f>
        <v>0.28961598746081502</v>
      </c>
      <c r="AC101" s="3">
        <f>N41-AC41</f>
        <v>0.22439715943084565</v>
      </c>
      <c r="AD101" s="3">
        <f>O41-AD41</f>
        <v>0.15366344344214422</v>
      </c>
      <c r="AE101" s="3">
        <f>P41-AE41</f>
        <v>3.3424565571019138E-2</v>
      </c>
      <c r="AF101" s="3">
        <f>Q41-AF41</f>
        <v>3.3481708345770023E-2</v>
      </c>
      <c r="AG101" s="3">
        <f>R41-AG41</f>
        <v>3.542351092701046E-2</v>
      </c>
      <c r="AH101" s="3">
        <f>S41-AH41</f>
        <v>3.3483664586501649E-2</v>
      </c>
    </row>
    <row r="102" spans="21:34">
      <c r="U102" s="1" t="s">
        <v>25</v>
      </c>
      <c r="V102" s="3">
        <f>G42-V42</f>
        <v>-0.54983835157558525</v>
      </c>
      <c r="W102" s="3">
        <f>H42-W42</f>
        <v>-0.29154127326505047</v>
      </c>
      <c r="X102" s="3">
        <f>I42-X42</f>
        <v>-0.2808118225572932</v>
      </c>
      <c r="Y102" s="3">
        <f>J42-Y42</f>
        <v>-0.26702169112871804</v>
      </c>
      <c r="Z102" s="3">
        <f>K42-Z42</f>
        <v>-0.25788069992844603</v>
      </c>
      <c r="AA102" s="3">
        <f>L42-AA42</f>
        <v>-0.24412981186873595</v>
      </c>
      <c r="AB102" s="3">
        <f>M42-AB42</f>
        <v>-0.21675507591000553</v>
      </c>
      <c r="AC102" s="3">
        <f>N42-AC42</f>
        <v>-0.27624764595103579</v>
      </c>
      <c r="AD102" s="3">
        <f>O42-AD42</f>
        <v>-0.34714632068671786</v>
      </c>
      <c r="AE102" s="3">
        <f>P42-AE42</f>
        <v>-0.41971615777069904</v>
      </c>
      <c r="AF102" s="3">
        <f>Q42-AF42</f>
        <v>-0.42173550922672493</v>
      </c>
      <c r="AG102" s="3">
        <f>R42-AG42</f>
        <v>-0.43037810996741327</v>
      </c>
      <c r="AH102" s="3">
        <f>S42-AH42</f>
        <v>-0.4291080541954872</v>
      </c>
    </row>
    <row r="103" spans="21:34">
      <c r="U103" s="1" t="s">
        <v>26</v>
      </c>
      <c r="V103" s="3">
        <f>G43-V43</f>
        <v>-0.5823877651702023</v>
      </c>
      <c r="W103" s="3">
        <f>H43-W43</f>
        <v>-0.34468765851184208</v>
      </c>
      <c r="X103" s="3">
        <f>I43-X43</f>
        <v>-0.33065994202597127</v>
      </c>
      <c r="Y103" s="3">
        <f>J43-Y43</f>
        <v>-0.32146852964899958</v>
      </c>
      <c r="Z103" s="3">
        <f>K43-Z43</f>
        <v>-0.31490602721970185</v>
      </c>
      <c r="AA103" s="3">
        <f>L43-AA43</f>
        <v>-0.29458980101756799</v>
      </c>
      <c r="AB103" s="3">
        <f>M43-AB43</f>
        <v>-0.27437407760523458</v>
      </c>
      <c r="AC103" s="3">
        <f>N43-AC43</f>
        <v>-0.33061304689546767</v>
      </c>
      <c r="AD103" s="3">
        <f>O43-AD43</f>
        <v>-0.38509228155276848</v>
      </c>
      <c r="AE103" s="3">
        <f>P43-AE43</f>
        <v>-0.47394456956142528</v>
      </c>
      <c r="AF103" s="3">
        <f>Q43-AF43</f>
        <v>-0.47022486430602217</v>
      </c>
      <c r="AG103" s="3">
        <f>R43-AG43</f>
        <v>-0.46387576835975419</v>
      </c>
      <c r="AH103" s="3">
        <f>S43-AH43</f>
        <v>-0.46602195846473948</v>
      </c>
    </row>
    <row r="104" spans="21:34">
      <c r="U104" s="1" t="s">
        <v>27</v>
      </c>
      <c r="V104" s="3">
        <f>G44-V44</f>
        <v>-0.61339439334549362</v>
      </c>
      <c r="W104" s="3">
        <f>H44-W44</f>
        <v>-0.37923309367510677</v>
      </c>
      <c r="X104" s="3">
        <f>I44-X44</f>
        <v>-0.37805715766962611</v>
      </c>
      <c r="Y104" s="3">
        <f>J44-Y44</f>
        <v>-0.37624625797214634</v>
      </c>
      <c r="Z104" s="3">
        <f>K44-Z44</f>
        <v>-0.361385495191058</v>
      </c>
      <c r="AA104" s="3">
        <f>L44-AA44</f>
        <v>-0.34260869565217394</v>
      </c>
      <c r="AB104" s="3">
        <f>M44-AB44</f>
        <v>-0.32568914499299167</v>
      </c>
      <c r="AC104" s="3">
        <f>N44-AC44</f>
        <v>-0.3674425830506719</v>
      </c>
      <c r="AD104" s="3">
        <f>O44-AD44</f>
        <v>-0.42713194462549214</v>
      </c>
      <c r="AE104" s="3">
        <f>P44-AE44</f>
        <v>-0.50042340311885247</v>
      </c>
      <c r="AF104" s="3">
        <f>Q44-AF44</f>
        <v>-0.51079062046067647</v>
      </c>
      <c r="AG104" s="3">
        <f>R44-AG44</f>
        <v>-0.50403340855445755</v>
      </c>
      <c r="AH104" s="3">
        <f>S44-AH44</f>
        <v>-0.50696313327933529</v>
      </c>
    </row>
    <row r="105" spans="21:34">
      <c r="U105" s="1" t="s">
        <v>28</v>
      </c>
      <c r="V105" s="3">
        <f>G45-V45</f>
        <v>-0.64099167543278657</v>
      </c>
      <c r="W105" s="3">
        <f>H45-W45</f>
        <v>-0.42761224249866103</v>
      </c>
      <c r="X105" s="3">
        <f>I45-X45</f>
        <v>-0.43222877775016028</v>
      </c>
      <c r="Y105" s="3">
        <f>J45-Y45</f>
        <v>-0.42293099206195045</v>
      </c>
      <c r="Z105" s="3">
        <f>K45-Z45</f>
        <v>-0.41126953909113279</v>
      </c>
      <c r="AA105" s="3">
        <f>L45-AA45</f>
        <v>-0.39007897656810908</v>
      </c>
      <c r="AB105" s="3">
        <f>M45-AB45</f>
        <v>-0.37125050209259236</v>
      </c>
      <c r="AC105" s="3">
        <f>N45-AC45</f>
        <v>-0.41426579622897203</v>
      </c>
      <c r="AD105" s="3">
        <f>O45-AD45</f>
        <v>-0.46516396118736364</v>
      </c>
      <c r="AE105" s="3">
        <f>P45-AE45</f>
        <v>-0.53703414532583804</v>
      </c>
      <c r="AF105" s="3">
        <f>Q45-AF45</f>
        <v>-0.5404312494347765</v>
      </c>
      <c r="AG105" s="3">
        <f>R45-AG45</f>
        <v>-0.54255401834291939</v>
      </c>
      <c r="AH105" s="3">
        <f>S45-AH45</f>
        <v>-0.53867826538561414</v>
      </c>
    </row>
    <row r="106" spans="21:34">
      <c r="U106" s="1" t="s">
        <v>29</v>
      </c>
      <c r="V106" s="3">
        <f>G46-V46</f>
        <v>-0.66742567340285142</v>
      </c>
      <c r="W106" s="3">
        <f>H46-W46</f>
        <v>-0.47664861917189261</v>
      </c>
      <c r="X106" s="3">
        <f>I46-X46</f>
        <v>-0.46618618775169751</v>
      </c>
      <c r="Y106" s="3">
        <f>J46-Y46</f>
        <v>-0.45742815961356176</v>
      </c>
      <c r="Z106" s="3">
        <f>K46-Z46</f>
        <v>-0.45323265813604108</v>
      </c>
      <c r="AA106" s="3">
        <f>L46-AA46</f>
        <v>-0.42741882926447777</v>
      </c>
      <c r="AB106" s="3">
        <f>M46-AB46</f>
        <v>-0.40719583604424209</v>
      </c>
      <c r="AC106" s="3">
        <f>N46-AC46</f>
        <v>-0.45270462725601385</v>
      </c>
      <c r="AD106" s="3">
        <f>O46-AD46</f>
        <v>-0.50727726374883053</v>
      </c>
      <c r="AE106" s="3">
        <f>P46-AE46</f>
        <v>-0.56971531928279329</v>
      </c>
      <c r="AF106" s="3">
        <f>Q46-AF46</f>
        <v>-0.57335390005098108</v>
      </c>
      <c r="AG106" s="3">
        <f>R46-AG46</f>
        <v>-0.57365601185986625</v>
      </c>
      <c r="AH106" s="3">
        <f>S46-AH46</f>
        <v>-0.57155057517371677</v>
      </c>
    </row>
    <row r="107" spans="21:34">
      <c r="U107" s="1" t="s">
        <v>30</v>
      </c>
      <c r="V107" s="3">
        <f>G47-V47</f>
        <v>-0.63707150935302304</v>
      </c>
      <c r="W107" s="3">
        <f>H47-W47</f>
        <v>-0.15173287157883858</v>
      </c>
      <c r="X107" s="3">
        <f>I47-X47</f>
        <v>-0.1099776774126564</v>
      </c>
      <c r="Y107" s="3">
        <f>J47-Y47</f>
        <v>-7.7187569454431337E-2</v>
      </c>
      <c r="Z107" s="3">
        <f>K47-Z47</f>
        <v>-4.245734848680971E-2</v>
      </c>
      <c r="AA107" s="3">
        <f>L47-AA47</f>
        <v>1.0559497710379173E-2</v>
      </c>
      <c r="AB107" s="3">
        <f>M47-AB47</f>
        <v>-0.10463222359762847</v>
      </c>
      <c r="AC107" s="3">
        <f>N47-AC47</f>
        <v>-0.38495333662619913</v>
      </c>
      <c r="AD107" s="3">
        <f>O47-AD47</f>
        <v>-0.41999377383453967</v>
      </c>
      <c r="AE107" s="3">
        <f>P47-AE47</f>
        <v>-0.45910073722874933</v>
      </c>
      <c r="AF107" s="3">
        <f>Q47-AF47</f>
        <v>-0.46252487287198762</v>
      </c>
      <c r="AG107" s="3">
        <f>R47-AG47</f>
        <v>-0.45766173620054895</v>
      </c>
      <c r="AH107" s="3">
        <f>S47-AH47</f>
        <v>-0.45756751810504848</v>
      </c>
    </row>
    <row r="108" spans="21:34">
      <c r="U108" s="1" t="s">
        <v>31</v>
      </c>
      <c r="V108" s="3">
        <f>G48-V48</f>
        <v>-0.37837732211250358</v>
      </c>
      <c r="W108" s="3">
        <f>H48-W48</f>
        <v>0.11954965508265003</v>
      </c>
      <c r="X108" s="3">
        <f>I48-X48</f>
        <v>0.14824759384647318</v>
      </c>
      <c r="Y108" s="3">
        <f>J48-Y48</f>
        <v>0.17765620126832316</v>
      </c>
      <c r="Z108" s="3">
        <f>K48-Z48</f>
        <v>0.20638788621170462</v>
      </c>
      <c r="AA108" s="3">
        <f>L48-AA48</f>
        <v>0.2864376411934253</v>
      </c>
      <c r="AB108" s="3">
        <f>M48-AB48</f>
        <v>0.4020274672295624</v>
      </c>
      <c r="AC108" s="3">
        <f>N48-AC48</f>
        <v>0.10637523715466385</v>
      </c>
      <c r="AD108" s="3">
        <f>O48-AD48</f>
        <v>-0.1843592147060355</v>
      </c>
      <c r="AE108" s="3">
        <f>P48-AE48</f>
        <v>-0.24237578971999063</v>
      </c>
      <c r="AF108" s="3">
        <f>Q48-AF48</f>
        <v>-0.24046428013131155</v>
      </c>
      <c r="AG108" s="3">
        <f>R48-AG48</f>
        <v>-0.23379785525565971</v>
      </c>
      <c r="AH108" s="3">
        <f>S48-AH48</f>
        <v>-0.23152862528664148</v>
      </c>
    </row>
    <row r="109" spans="21:34">
      <c r="U109" s="1" t="s">
        <v>32</v>
      </c>
      <c r="V109" s="3">
        <f>G49-V49</f>
        <v>-0.11939106759516205</v>
      </c>
      <c r="W109" s="3">
        <f>H49-W49</f>
        <v>0.3808011915961117</v>
      </c>
      <c r="X109" s="3">
        <f>I49-X49</f>
        <v>0.4012123729539584</v>
      </c>
      <c r="Y109" s="3">
        <f>J49-Y49</f>
        <v>0.41978453261250959</v>
      </c>
      <c r="Z109" s="3">
        <f>K49-Z49</f>
        <v>0.4384762449765246</v>
      </c>
      <c r="AA109" s="3">
        <f>L49-AA49</f>
        <v>0.49638760131548282</v>
      </c>
      <c r="AB109" s="3">
        <f>M49-AB49</f>
        <v>0.62330378853243396</v>
      </c>
      <c r="AC109" s="3">
        <f>N49-AC49</f>
        <v>0.59512468113904937</v>
      </c>
      <c r="AD109" s="3">
        <f>O49-AD49</f>
        <v>0.28565896975876715</v>
      </c>
      <c r="AE109" s="3">
        <f>P49-AE49</f>
        <v>-1.8976587327323435E-2</v>
      </c>
      <c r="AF109" s="3">
        <f>Q49-AF49</f>
        <v>-1.9172289581185331E-2</v>
      </c>
      <c r="AG109" s="3">
        <f>R49-AG49</f>
        <v>-1.9261159037330611E-2</v>
      </c>
      <c r="AH109" s="3">
        <f>S49-AH49</f>
        <v>-1.5498756991920437E-2</v>
      </c>
    </row>
    <row r="110" spans="21:34">
      <c r="U110" s="1" t="s">
        <v>33</v>
      </c>
      <c r="V110" s="3">
        <f>G50-V50</f>
        <v>0.14180938633792378</v>
      </c>
      <c r="W110" s="3">
        <f>H50-W50</f>
        <v>0.63662665676193464</v>
      </c>
      <c r="X110" s="3">
        <f>I50-X50</f>
        <v>0.64781029026839076</v>
      </c>
      <c r="Y110" s="3">
        <f>J50-Y50</f>
        <v>0.65919522244823447</v>
      </c>
      <c r="Z110" s="3">
        <f>K50-Z50</f>
        <v>0.66630022248396803</v>
      </c>
      <c r="AA110" s="3">
        <f>L50-AA50</f>
        <v>0.70473642514837853</v>
      </c>
      <c r="AB110" s="3">
        <f>M50-AB50</f>
        <v>0.77758915612689194</v>
      </c>
      <c r="AC110" s="3">
        <f>N50-AC50</f>
        <v>0.7926191060745067</v>
      </c>
      <c r="AD110" s="3">
        <f>O50-AD50</f>
        <v>0.75739060346844855</v>
      </c>
      <c r="AE110" s="3">
        <f>P50-AE50</f>
        <v>0.43676443844015478</v>
      </c>
      <c r="AF110" s="3">
        <f>Q50-AF50</f>
        <v>0.43471115342976774</v>
      </c>
      <c r="AG110" s="3">
        <f>R50-AG50</f>
        <v>0.4343443539786177</v>
      </c>
      <c r="AH110" s="3">
        <f>S50-AH50</f>
        <v>0.4357766188164825</v>
      </c>
    </row>
    <row r="111" spans="21:34">
      <c r="U111" s="1" t="s">
        <v>34</v>
      </c>
      <c r="V111" s="3">
        <f>G51-V51</f>
        <v>-0.35067805254416823</v>
      </c>
      <c r="W111" s="3">
        <f>H51-W51</f>
        <v>3.7782984066168757E-2</v>
      </c>
      <c r="X111" s="3">
        <f>I51-X51</f>
        <v>5.0314711286602309E-2</v>
      </c>
      <c r="Y111" s="3">
        <f>J51-Y51</f>
        <v>6.4912509793679796E-2</v>
      </c>
      <c r="Z111" s="3">
        <f>K51-Z51</f>
        <v>8.0341991061597229E-2</v>
      </c>
      <c r="AA111" s="3">
        <f>L51-AA51</f>
        <v>0.1142170240415854</v>
      </c>
      <c r="AB111" s="3">
        <f>M51-AB51</f>
        <v>0.14374495140318422</v>
      </c>
      <c r="AC111" s="3">
        <f>N51-AC51</f>
        <v>5.7170757112167181E-2</v>
      </c>
      <c r="AD111" s="3">
        <f>O51-AD51</f>
        <v>-4.070641446293416E-2</v>
      </c>
      <c r="AE111" s="3">
        <f>P51-AE51</f>
        <v>-0.15735557185694243</v>
      </c>
      <c r="AF111" s="3">
        <f>Q51-AF51</f>
        <v>-0.16343836704919956</v>
      </c>
      <c r="AG111" s="3">
        <f>R51-AG51</f>
        <v>-0.16619275763123392</v>
      </c>
      <c r="AH111" s="3">
        <f>S51-AH51</f>
        <v>-0.16116381709226923</v>
      </c>
    </row>
    <row r="112" spans="21:34">
      <c r="U112" s="1" t="s">
        <v>35</v>
      </c>
      <c r="V112" s="3">
        <f>G52-V52</f>
        <v>-0.37317426546408572</v>
      </c>
      <c r="W112" s="3">
        <f>H52-W52</f>
        <v>1.3359273670557337E-3</v>
      </c>
      <c r="X112" s="3">
        <f>I52-X52</f>
        <v>1.2992918859221769E-2</v>
      </c>
      <c r="Y112" s="3">
        <f>J52-Y52</f>
        <v>2.2577414781964067E-2</v>
      </c>
      <c r="Z112" s="3">
        <f>K52-Z52</f>
        <v>3.6327412448089846E-2</v>
      </c>
      <c r="AA112" s="3">
        <f>L52-AA52</f>
        <v>7.1817319807240154E-2</v>
      </c>
      <c r="AB112" s="3">
        <f>M52-AB52</f>
        <v>0.10552429200015673</v>
      </c>
      <c r="AC112" s="3">
        <f>N52-AC52</f>
        <v>2.3954658642871995E-2</v>
      </c>
      <c r="AD112" s="3">
        <f>O52-AD52</f>
        <v>-7.4573965812636478E-2</v>
      </c>
      <c r="AE112" s="3">
        <f>P52-AE52</f>
        <v>-0.19792222670641685</v>
      </c>
      <c r="AF112" s="3">
        <f>Q52-AF52</f>
        <v>-0.18731599766552109</v>
      </c>
      <c r="AG112" s="3">
        <f>R52-AG52</f>
        <v>-0.19032981855440129</v>
      </c>
      <c r="AH112" s="3">
        <f>S52-AH52</f>
        <v>-0.1897962895598399</v>
      </c>
    </row>
    <row r="113" spans="21:34">
      <c r="U113" s="1" t="s">
        <v>36</v>
      </c>
      <c r="V113" s="3">
        <f>G53-V53</f>
        <v>-0.38935249172034314</v>
      </c>
      <c r="W113" s="3">
        <f>H53-W53</f>
        <v>-3.9061384030023238E-2</v>
      </c>
      <c r="X113" s="3">
        <f>I53-X53</f>
        <v>-2.6536149661806951E-2</v>
      </c>
      <c r="Y113" s="3">
        <f>J53-Y53</f>
        <v>-1.488833746898266E-2</v>
      </c>
      <c r="Z113" s="3">
        <f>K53-Z53</f>
        <v>1.1783443614279965E-3</v>
      </c>
      <c r="AA113" s="3">
        <f>L53-AA53</f>
        <v>3.3832870316025665E-2</v>
      </c>
      <c r="AB113" s="3">
        <f>M53-AB53</f>
        <v>6.4219826916100953E-2</v>
      </c>
      <c r="AC113" s="3">
        <f>N53-AC53</f>
        <v>-8.3312657517073951E-3</v>
      </c>
      <c r="AD113" s="3">
        <f>O53-AD53</f>
        <v>-0.10216046173044924</v>
      </c>
      <c r="AE113" s="3">
        <f>P53-AE53</f>
        <v>-0.22378330649768868</v>
      </c>
      <c r="AF113" s="3">
        <f>Q53-AF53</f>
        <v>-0.21643000713220517</v>
      </c>
      <c r="AG113" s="3">
        <f>R53-AG53</f>
        <v>-0.2244504035339992</v>
      </c>
      <c r="AH113" s="3">
        <f>S53-AH53</f>
        <v>-0.22798838375288122</v>
      </c>
    </row>
    <row r="114" spans="21:34">
      <c r="U114" s="1" t="s">
        <v>37</v>
      </c>
      <c r="V114" s="3">
        <f>G54-V54</f>
        <v>-0.41780777298607219</v>
      </c>
      <c r="W114" s="3">
        <f>H54-W54</f>
        <v>-7.0836033700583279E-2</v>
      </c>
      <c r="X114" s="3">
        <f>I54-X54</f>
        <v>-6.7095349441413377E-2</v>
      </c>
      <c r="Y114" s="3">
        <f>J54-Y54</f>
        <v>-6.0044929813398429E-2</v>
      </c>
      <c r="Z114" s="3">
        <f>K54-Z54</f>
        <v>-3.4226151891513457E-2</v>
      </c>
      <c r="AA114" s="3">
        <f>L54-AA54</f>
        <v>-5.3135515050731774E-3</v>
      </c>
      <c r="AB114" s="3">
        <f>M54-AB54</f>
        <v>3.0688311688311709E-2</v>
      </c>
      <c r="AC114" s="3">
        <f>N54-AC54</f>
        <v>-5.698694211654648E-2</v>
      </c>
      <c r="AD114" s="3">
        <f>O54-AD54</f>
        <v>-0.14124501847930448</v>
      </c>
      <c r="AE114" s="3">
        <f>P54-AE54</f>
        <v>-0.26034522916073594</v>
      </c>
      <c r="AF114" s="3">
        <f>Q54-AF54</f>
        <v>-0.25453790562194289</v>
      </c>
      <c r="AG114" s="3">
        <f>R54-AG54</f>
        <v>-0.25047480292426566</v>
      </c>
      <c r="AH114" s="3">
        <f>S54-AH54</f>
        <v>-0.25280035427737835</v>
      </c>
    </row>
    <row r="115" spans="21:34">
      <c r="U115" s="1" t="s">
        <v>38</v>
      </c>
      <c r="V115" s="3">
        <f>G55-V55</f>
        <v>-0.43972019941012197</v>
      </c>
      <c r="W115" s="3">
        <f>H55-W55</f>
        <v>-0.10931253174282779</v>
      </c>
      <c r="X115" s="3">
        <f>I55-X55</f>
        <v>-0.10411808387290089</v>
      </c>
      <c r="Y115" s="3">
        <f>J55-Y55</f>
        <v>-9.0157629173783282E-2</v>
      </c>
      <c r="Z115" s="3">
        <f>K55-Z55</f>
        <v>-7.8662618713996546E-2</v>
      </c>
      <c r="AA115" s="3">
        <f>L55-AA55</f>
        <v>-4.1021450989546848E-2</v>
      </c>
      <c r="AB115" s="3">
        <f>M55-AB55</f>
        <v>-1.7669309290636814E-2</v>
      </c>
      <c r="AC115" s="3">
        <f>N55-AC55</f>
        <v>-9.3027487166157663E-2</v>
      </c>
      <c r="AD115" s="3">
        <f>O55-AD55</f>
        <v>-0.17814905687320692</v>
      </c>
      <c r="AE115" s="3">
        <f>P55-AE55</f>
        <v>-0.29319419237749544</v>
      </c>
      <c r="AF115" s="3">
        <f>Q55-AF55</f>
        <v>-0.28318861395834694</v>
      </c>
      <c r="AG115" s="3">
        <f>R55-AG55</f>
        <v>-0.28195625129587398</v>
      </c>
      <c r="AH115" s="3">
        <f>S55-AH55</f>
        <v>-0.28011186264308019</v>
      </c>
    </row>
    <row r="116" spans="21:34">
      <c r="U116" s="1" t="s">
        <v>39</v>
      </c>
      <c r="V116" s="3">
        <f>G56-V56</f>
        <v>-0.6395353344790603</v>
      </c>
      <c r="W116" s="3">
        <f>H56-W56</f>
        <v>-0.15568221836726709</v>
      </c>
      <c r="X116" s="3">
        <f>I56-X56</f>
        <v>-0.11233746794913507</v>
      </c>
      <c r="Y116" s="3">
        <f>J56-Y56</f>
        <v>-7.9303649844285451E-2</v>
      </c>
      <c r="Z116" s="3">
        <f>K56-Z56</f>
        <v>-4.3666409549085516E-2</v>
      </c>
      <c r="AA116" s="3">
        <f>L56-AA56</f>
        <v>1.5246520098868177E-2</v>
      </c>
      <c r="AB116" s="3">
        <f>M56-AB56</f>
        <v>-0.10847835094261449</v>
      </c>
      <c r="AC116" s="3">
        <f>N56-AC56</f>
        <v>-0.37960054447411129</v>
      </c>
      <c r="AD116" s="3">
        <f>O56-AD56</f>
        <v>-0.42063925515591272</v>
      </c>
      <c r="AE116" s="3">
        <f>P56-AE56</f>
        <v>-0.45989838504808567</v>
      </c>
      <c r="AF116" s="3">
        <f>Q56-AF56</f>
        <v>-0.46294115363211641</v>
      </c>
      <c r="AG116" s="3">
        <f>R56-AG56</f>
        <v>-0.46177843058245482</v>
      </c>
      <c r="AH116" s="3">
        <f>S56-AH56</f>
        <v>-0.46710756662127995</v>
      </c>
    </row>
    <row r="117" spans="21:34">
      <c r="U117" s="1" t="s">
        <v>40</v>
      </c>
      <c r="V117" s="3">
        <f>G57-V57</f>
        <v>-0.37982634878197552</v>
      </c>
      <c r="W117" s="3">
        <f>H57-W57</f>
        <v>0.12400020842560505</v>
      </c>
      <c r="X117" s="3">
        <f>I57-X57</f>
        <v>0.14213331233099685</v>
      </c>
      <c r="Y117" s="3">
        <f>J57-Y57</f>
        <v>0.1793372572406462</v>
      </c>
      <c r="Z117" s="3">
        <f>K57-Z57</f>
        <v>0.20661350235083253</v>
      </c>
      <c r="AA117" s="3">
        <f>L57-AA57</f>
        <v>0.28146328146328153</v>
      </c>
      <c r="AB117" s="3">
        <f>M57-AB57</f>
        <v>0.39916058914206509</v>
      </c>
      <c r="AC117" s="3">
        <f>N57-AC57</f>
        <v>0.10850519812581932</v>
      </c>
      <c r="AD117" s="3">
        <f>O57-AD57</f>
        <v>-0.18414608731895382</v>
      </c>
      <c r="AE117" s="3">
        <f>P57-AE57</f>
        <v>-0.23874148556600716</v>
      </c>
      <c r="AF117" s="3">
        <f>Q57-AF57</f>
        <v>-0.2467559566504518</v>
      </c>
      <c r="AG117" s="3">
        <f>R57-AG57</f>
        <v>-0.2404963382760138</v>
      </c>
      <c r="AH117" s="3">
        <f>S57-AH57</f>
        <v>-0.24376381844193001</v>
      </c>
    </row>
    <row r="118" spans="21:34">
      <c r="U118" s="1" t="s">
        <v>41</v>
      </c>
      <c r="V118" s="3">
        <f>G58-V58</f>
        <v>-0.11586806416665579</v>
      </c>
      <c r="W118" s="3">
        <f>H58-W58</f>
        <v>0.38972355769230765</v>
      </c>
      <c r="X118" s="3">
        <f>I58-X58</f>
        <v>0.40135843998504939</v>
      </c>
      <c r="Y118" s="3">
        <f>J58-Y58</f>
        <v>0.42289658765303467</v>
      </c>
      <c r="Z118" s="3">
        <f>K58-Z58</f>
        <v>0.441776007497657</v>
      </c>
      <c r="AA118" s="3">
        <f>L58-AA58</f>
        <v>0.50082998314096749</v>
      </c>
      <c r="AB118" s="3">
        <f>M58-AB58</f>
        <v>0.61527777777777781</v>
      </c>
      <c r="AC118" s="3">
        <f>N58-AC58</f>
        <v>0.59076667056697485</v>
      </c>
      <c r="AD118" s="3">
        <f>O58-AD58</f>
        <v>0.28742043356444719</v>
      </c>
      <c r="AE118" s="3">
        <f>P58-AE58</f>
        <v>-1.2508134843160212E-2</v>
      </c>
      <c r="AF118" s="3">
        <f>Q58-AF58</f>
        <v>-1.9229765013054845E-2</v>
      </c>
      <c r="AG118" s="3">
        <f>R58-AG58</f>
        <v>-1.1679325772552263E-2</v>
      </c>
      <c r="AH118" s="3">
        <f>S58-AH58</f>
        <v>-1.1755669539406877E-2</v>
      </c>
    </row>
    <row r="119" spans="21:34">
      <c r="U119" s="1" t="s">
        <v>42</v>
      </c>
      <c r="V119" s="3">
        <f>G59-V59</f>
        <v>0.14775068457425999</v>
      </c>
      <c r="W119" s="3">
        <f>H59-W59</f>
        <v>0.63586383000898938</v>
      </c>
      <c r="X119" s="3">
        <f>I59-X59</f>
        <v>0.64502507600758774</v>
      </c>
      <c r="Y119" s="3">
        <f>J59-Y59</f>
        <v>0.65873098157123977</v>
      </c>
      <c r="Z119" s="3">
        <f>K59-Z59</f>
        <v>0.6731489764432862</v>
      </c>
      <c r="AA119" s="3">
        <f>L59-AA59</f>
        <v>0.70486088528726953</v>
      </c>
      <c r="AB119" s="3">
        <f>M59-AB59</f>
        <v>0.77430645579465907</v>
      </c>
      <c r="AC119" s="3">
        <f>N59-AC59</f>
        <v>0.79225904244198198</v>
      </c>
      <c r="AD119" s="3">
        <f>O59-AD59</f>
        <v>0.75788389586348048</v>
      </c>
      <c r="AE119" s="3">
        <f>P59-AE59</f>
        <v>0.43418778988943602</v>
      </c>
      <c r="AF119" s="3">
        <f>Q59-AF59</f>
        <v>0.43885945252684899</v>
      </c>
      <c r="AG119" s="3">
        <f>R59-AG59</f>
        <v>0.4329814855890296</v>
      </c>
      <c r="AH119" s="3">
        <f>S59-AH59</f>
        <v>0.42814786042597264</v>
      </c>
    </row>
    <row r="120" spans="21:34">
      <c r="U120" s="1" t="s">
        <v>43</v>
      </c>
      <c r="V120" s="3">
        <f>G60-V60</f>
        <v>0.69095267875755684</v>
      </c>
      <c r="W120" s="3">
        <f>H60-W60</f>
        <v>1</v>
      </c>
      <c r="X120" s="3">
        <f>I60-X60</f>
        <v>1</v>
      </c>
      <c r="Y120" s="3">
        <f>J60-Y60</f>
        <v>1</v>
      </c>
      <c r="Z120" s="3">
        <f>K60-Z60</f>
        <v>1</v>
      </c>
      <c r="AA120" s="3">
        <f>L60-AA60</f>
        <v>1</v>
      </c>
      <c r="AB120" s="3">
        <f>M60-AB60</f>
        <v>1</v>
      </c>
      <c r="AC120" s="3">
        <f>N60-AC60</f>
        <v>1</v>
      </c>
      <c r="AD120" s="3">
        <f>O60-AD60</f>
        <v>1</v>
      </c>
      <c r="AE120" s="3">
        <f>P60-AE60</f>
        <v>0.92334689526978719</v>
      </c>
      <c r="AF120" s="3">
        <f>Q60-AF60</f>
        <v>0.92288890641015531</v>
      </c>
      <c r="AG120" s="3">
        <f>R60-AG60</f>
        <v>0.92179891148668003</v>
      </c>
      <c r="AH120" s="3">
        <f>S60-AH60</f>
        <v>0.92080280672789183</v>
      </c>
    </row>
    <row r="122" spans="21:34">
      <c r="AE122" s="14"/>
      <c r="AF122" s="14"/>
      <c r="AG122" s="14"/>
      <c r="AH122" s="14"/>
    </row>
    <row r="123" spans="21:34">
      <c r="AE123" s="15"/>
      <c r="AF123" s="15"/>
      <c r="AG123" s="12"/>
      <c r="AH123" s="13"/>
    </row>
    <row r="124" spans="21:34">
      <c r="AE124" s="15"/>
      <c r="AF124" s="15"/>
      <c r="AG124" s="12"/>
      <c r="AH124" s="13"/>
    </row>
    <row r="125" spans="21:34">
      <c r="AE125" s="15"/>
      <c r="AF125" s="15"/>
      <c r="AG125" s="12"/>
      <c r="AH125" s="13"/>
    </row>
    <row r="126" spans="21:34">
      <c r="AE126" s="15"/>
      <c r="AF126" s="15"/>
      <c r="AG126" s="12"/>
      <c r="AH126" s="13"/>
    </row>
    <row r="127" spans="21:34">
      <c r="AE127" s="15"/>
      <c r="AF127" s="15"/>
      <c r="AG127" s="12"/>
      <c r="AH127" s="13"/>
    </row>
    <row r="128" spans="21:34">
      <c r="AE128" s="15"/>
      <c r="AF128" s="15"/>
      <c r="AG128" s="12"/>
      <c r="AH128" s="13"/>
    </row>
    <row r="129" spans="31:34">
      <c r="AE129" s="15"/>
      <c r="AF129" s="15"/>
      <c r="AG129" s="12"/>
      <c r="AH129" s="13"/>
    </row>
    <row r="130" spans="31:34">
      <c r="AE130" s="15"/>
      <c r="AF130" s="15"/>
      <c r="AG130" s="16"/>
      <c r="AH130" s="16"/>
    </row>
  </sheetData>
  <mergeCells count="288">
    <mergeCell ref="F2:S2"/>
    <mergeCell ref="U2:AH2"/>
    <mergeCell ref="P64:Q64"/>
    <mergeCell ref="P65:Q65"/>
    <mergeCell ref="P66:Q66"/>
    <mergeCell ref="P67:Q67"/>
    <mergeCell ref="P68:Q68"/>
    <mergeCell ref="P69:Q69"/>
    <mergeCell ref="P70:Q70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C10:D10"/>
    <mergeCell ref="AE68:AF68"/>
    <mergeCell ref="AE69:AF69"/>
    <mergeCell ref="AE70:AF70"/>
    <mergeCell ref="AG70:AH70"/>
    <mergeCell ref="Z62:AC62"/>
    <mergeCell ref="Z63:AA63"/>
    <mergeCell ref="Z64:AA64"/>
    <mergeCell ref="Z65:AA65"/>
    <mergeCell ref="Z66:AA66"/>
    <mergeCell ref="AE62:AH62"/>
    <mergeCell ref="AE63:AF63"/>
    <mergeCell ref="AE64:AF64"/>
    <mergeCell ref="AE65:AF65"/>
    <mergeCell ref="AE66:AF66"/>
    <mergeCell ref="AE67:AF67"/>
    <mergeCell ref="Z67:AA67"/>
    <mergeCell ref="Z68:AA68"/>
    <mergeCell ref="Z69:AA69"/>
    <mergeCell ref="Z70:AA70"/>
    <mergeCell ref="AB70:AC70"/>
    <mergeCell ref="AB80:AC80"/>
    <mergeCell ref="U72:X72"/>
    <mergeCell ref="U73:V73"/>
    <mergeCell ref="U74:V74"/>
    <mergeCell ref="U75:V75"/>
    <mergeCell ref="U76:V76"/>
    <mergeCell ref="U77:V77"/>
    <mergeCell ref="U78:V78"/>
    <mergeCell ref="U79:V79"/>
    <mergeCell ref="U80:V80"/>
    <mergeCell ref="W80:X80"/>
    <mergeCell ref="K79:L79"/>
    <mergeCell ref="K80:L80"/>
    <mergeCell ref="M80:N80"/>
    <mergeCell ref="Z74:AA74"/>
    <mergeCell ref="Z75:AA75"/>
    <mergeCell ref="Z76:AA76"/>
    <mergeCell ref="Z77:AA77"/>
    <mergeCell ref="Z78:AA78"/>
    <mergeCell ref="Z79:AA79"/>
    <mergeCell ref="Z80:AA80"/>
    <mergeCell ref="P77:Q77"/>
    <mergeCell ref="P78:Q78"/>
    <mergeCell ref="P79:Q79"/>
    <mergeCell ref="P80:Q80"/>
    <mergeCell ref="R80:S80"/>
    <mergeCell ref="P72:S72"/>
    <mergeCell ref="P73:Q73"/>
    <mergeCell ref="P74:Q74"/>
    <mergeCell ref="P75:Q75"/>
    <mergeCell ref="P76:Q76"/>
    <mergeCell ref="F85:G85"/>
    <mergeCell ref="F86:G86"/>
    <mergeCell ref="F87:G87"/>
    <mergeCell ref="F88:G88"/>
    <mergeCell ref="F89:G89"/>
    <mergeCell ref="F90:G90"/>
    <mergeCell ref="H90:I90"/>
    <mergeCell ref="U82:X82"/>
    <mergeCell ref="U83:V83"/>
    <mergeCell ref="U84:V84"/>
    <mergeCell ref="U85:V85"/>
    <mergeCell ref="U86:V86"/>
    <mergeCell ref="U87:V87"/>
    <mergeCell ref="U88:V88"/>
    <mergeCell ref="F82:I82"/>
    <mergeCell ref="F83:G83"/>
    <mergeCell ref="F84:G84"/>
    <mergeCell ref="U89:V89"/>
    <mergeCell ref="U90:V90"/>
    <mergeCell ref="W90:X90"/>
    <mergeCell ref="K82:N82"/>
    <mergeCell ref="K83:L83"/>
    <mergeCell ref="K84:L84"/>
    <mergeCell ref="K85:L85"/>
    <mergeCell ref="AJ2:AW2"/>
    <mergeCell ref="F32:S32"/>
    <mergeCell ref="U32:AH32"/>
    <mergeCell ref="AJ32:AW32"/>
    <mergeCell ref="AE77:AF77"/>
    <mergeCell ref="AE78:AF78"/>
    <mergeCell ref="AE79:AF79"/>
    <mergeCell ref="AE80:AF80"/>
    <mergeCell ref="AE72:AH72"/>
    <mergeCell ref="AG80:AH80"/>
    <mergeCell ref="AE73:AF73"/>
    <mergeCell ref="AE74:AF74"/>
    <mergeCell ref="AE75:AF75"/>
    <mergeCell ref="AE76:AF76"/>
    <mergeCell ref="AO62:AR62"/>
    <mergeCell ref="AO63:AP63"/>
    <mergeCell ref="AO64:AP64"/>
    <mergeCell ref="AO69:AP69"/>
    <mergeCell ref="AO70:AP70"/>
    <mergeCell ref="AQ70:AR70"/>
    <mergeCell ref="U67:V67"/>
    <mergeCell ref="U68:V68"/>
    <mergeCell ref="U69:V69"/>
    <mergeCell ref="U70:V70"/>
    <mergeCell ref="K86:L86"/>
    <mergeCell ref="K87:L87"/>
    <mergeCell ref="K88:L88"/>
    <mergeCell ref="K89:L89"/>
    <mergeCell ref="K90:L90"/>
    <mergeCell ref="M90:N90"/>
    <mergeCell ref="P82:S82"/>
    <mergeCell ref="P83:Q83"/>
    <mergeCell ref="P84:Q84"/>
    <mergeCell ref="P85:Q85"/>
    <mergeCell ref="P86:Q86"/>
    <mergeCell ref="P87:Q87"/>
    <mergeCell ref="P88:Q88"/>
    <mergeCell ref="P89:Q89"/>
    <mergeCell ref="P90:Q90"/>
    <mergeCell ref="R90:S90"/>
    <mergeCell ref="Z87:AA87"/>
    <mergeCell ref="Z88:AA88"/>
    <mergeCell ref="Z89:AA89"/>
    <mergeCell ref="Z90:AA90"/>
    <mergeCell ref="AB90:AC90"/>
    <mergeCell ref="Z82:AC82"/>
    <mergeCell ref="Z83:AA83"/>
    <mergeCell ref="Z84:AA84"/>
    <mergeCell ref="Z85:AA85"/>
    <mergeCell ref="Z86:AA86"/>
    <mergeCell ref="AE82:AH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G90:AH90"/>
    <mergeCell ref="AJ70:AK70"/>
    <mergeCell ref="AL70:AM70"/>
    <mergeCell ref="AO65:AP65"/>
    <mergeCell ref="AO66:AP66"/>
    <mergeCell ref="AO67:AP67"/>
    <mergeCell ref="AO68:AP68"/>
    <mergeCell ref="AT62:AW62"/>
    <mergeCell ref="AT63:AU63"/>
    <mergeCell ref="AT64:AU64"/>
    <mergeCell ref="AT65:AU65"/>
    <mergeCell ref="AT66:AU66"/>
    <mergeCell ref="AT67:AU67"/>
    <mergeCell ref="AT68:AU68"/>
    <mergeCell ref="AT69:AU69"/>
    <mergeCell ref="AT70:AU70"/>
    <mergeCell ref="AV70:AW70"/>
    <mergeCell ref="AJ62:AM62"/>
    <mergeCell ref="AJ63:AK63"/>
    <mergeCell ref="AJ64:AK64"/>
    <mergeCell ref="AJ65:AK65"/>
    <mergeCell ref="AJ66:AK66"/>
    <mergeCell ref="AJ67:AK67"/>
    <mergeCell ref="AJ68:AK68"/>
    <mergeCell ref="AJ69:AK69"/>
    <mergeCell ref="AO79:AP79"/>
    <mergeCell ref="AO80:AP80"/>
    <mergeCell ref="AQ80:AR80"/>
    <mergeCell ref="AJ72:AM72"/>
    <mergeCell ref="AJ73:AK73"/>
    <mergeCell ref="AJ74:AK74"/>
    <mergeCell ref="AJ75:AK75"/>
    <mergeCell ref="AJ76:AK76"/>
    <mergeCell ref="AJ77:AK77"/>
    <mergeCell ref="AJ78:AK78"/>
    <mergeCell ref="AJ79:AK79"/>
    <mergeCell ref="AJ80:AK80"/>
    <mergeCell ref="AL80:AM80"/>
    <mergeCell ref="AJ85:AK85"/>
    <mergeCell ref="AJ86:AK86"/>
    <mergeCell ref="AJ87:AK87"/>
    <mergeCell ref="AJ88:AK88"/>
    <mergeCell ref="AJ89:AK89"/>
    <mergeCell ref="AJ90:AK90"/>
    <mergeCell ref="AL90:AM90"/>
    <mergeCell ref="AT72:AW72"/>
    <mergeCell ref="AT73:AU73"/>
    <mergeCell ref="AT74:AU74"/>
    <mergeCell ref="AT75:AU75"/>
    <mergeCell ref="AT76:AU76"/>
    <mergeCell ref="AT77:AU77"/>
    <mergeCell ref="AT78:AU78"/>
    <mergeCell ref="AT79:AU79"/>
    <mergeCell ref="AT80:AU80"/>
    <mergeCell ref="AV80:AW80"/>
    <mergeCell ref="AO72:AR72"/>
    <mergeCell ref="AO73:AP73"/>
    <mergeCell ref="AO74:AP74"/>
    <mergeCell ref="AO75:AP75"/>
    <mergeCell ref="AO76:AP76"/>
    <mergeCell ref="AO77:AP77"/>
    <mergeCell ref="AO78:AP78"/>
    <mergeCell ref="F80:G80"/>
    <mergeCell ref="H80:I80"/>
    <mergeCell ref="K65:L65"/>
    <mergeCell ref="K66:L66"/>
    <mergeCell ref="K67:L67"/>
    <mergeCell ref="K68:L68"/>
    <mergeCell ref="K69:L69"/>
    <mergeCell ref="K70:L70"/>
    <mergeCell ref="M70:N70"/>
    <mergeCell ref="F72:I72"/>
    <mergeCell ref="F73:G73"/>
    <mergeCell ref="F74:G74"/>
    <mergeCell ref="F75:G75"/>
    <mergeCell ref="F76:G76"/>
    <mergeCell ref="F77:G77"/>
    <mergeCell ref="F78:G78"/>
    <mergeCell ref="F79:G79"/>
    <mergeCell ref="K72:N72"/>
    <mergeCell ref="K73:L73"/>
    <mergeCell ref="K74:L74"/>
    <mergeCell ref="K75:L75"/>
    <mergeCell ref="K76:L76"/>
    <mergeCell ref="K77:L77"/>
    <mergeCell ref="K78:L78"/>
    <mergeCell ref="U92:AH92"/>
    <mergeCell ref="AT82:AW82"/>
    <mergeCell ref="AT83:AU83"/>
    <mergeCell ref="AT84:AU84"/>
    <mergeCell ref="AT85:AU85"/>
    <mergeCell ref="AT86:AU86"/>
    <mergeCell ref="AT87:AU87"/>
    <mergeCell ref="AT88:AU88"/>
    <mergeCell ref="AT89:AU89"/>
    <mergeCell ref="AT90:AU90"/>
    <mergeCell ref="AV90:AW90"/>
    <mergeCell ref="AO82:AR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Q90:AR90"/>
    <mergeCell ref="AJ82:AM82"/>
    <mergeCell ref="AJ83:AK83"/>
    <mergeCell ref="AJ84:AK84"/>
    <mergeCell ref="F67:G67"/>
    <mergeCell ref="F68:G68"/>
    <mergeCell ref="F69:G69"/>
    <mergeCell ref="F70:G70"/>
    <mergeCell ref="H70:I70"/>
    <mergeCell ref="P62:S62"/>
    <mergeCell ref="P63:Q63"/>
    <mergeCell ref="Z72:AC72"/>
    <mergeCell ref="Z73:AA73"/>
    <mergeCell ref="R70:S70"/>
    <mergeCell ref="W70:X70"/>
    <mergeCell ref="U62:X62"/>
    <mergeCell ref="U63:V63"/>
    <mergeCell ref="U64:V64"/>
    <mergeCell ref="U65:V65"/>
    <mergeCell ref="U66:V66"/>
    <mergeCell ref="K62:N62"/>
    <mergeCell ref="K63:L63"/>
    <mergeCell ref="K64:L64"/>
    <mergeCell ref="B12:D12"/>
    <mergeCell ref="F62:I62"/>
    <mergeCell ref="F63:G63"/>
    <mergeCell ref="F64:G64"/>
    <mergeCell ref="F65:G65"/>
    <mergeCell ref="F66:G66"/>
  </mergeCells>
  <conditionalFormatting sqref="G34:S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:AH6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4:AW60">
    <cfRule type="colorScale" priority="5">
      <colorScale>
        <cfvo type="min"/>
        <cfvo type="max"/>
        <color rgb="FFFCFCFF"/>
        <color rgb="FF63BE7B"/>
      </colorScale>
    </cfRule>
  </conditionalFormatting>
  <conditionalFormatting sqref="G4:S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0">
    <cfRule type="colorScale" priority="2">
      <colorScale>
        <cfvo type="min"/>
        <cfvo type="max"/>
        <color rgb="FFFCFCFF"/>
        <color rgb="FF63BE7B"/>
      </colorScale>
    </cfRule>
  </conditionalFormatting>
  <conditionalFormatting sqref="V94:AH1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2025-12-18T18:21:53Z</dcterms:created>
  <dcterms:modified xsi:type="dcterms:W3CDTF">2025-12-26T17:59:25Z</dcterms:modified>
  <cp:category/>
  <cp:contentStatus/>
</cp:coreProperties>
</file>