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1EF3\EXCELCNV\ba901b19-11bb-46da-9cbd-514b20922769\"/>
    </mc:Choice>
  </mc:AlternateContent>
  <xr:revisionPtr revIDLastSave="84" documentId="8_{883C389A-4A1E-4A06-A593-B930B40C7233}" xr6:coauthVersionLast="47" xr6:coauthVersionMax="47" xr10:uidLastSave="{30B7FD10-837D-498B-A6DC-9539F2991942}"/>
  <bookViews>
    <workbookView xWindow="-60" yWindow="-60" windowWidth="15480" windowHeight="11640" xr2:uid="{E9BA122F-FC20-430D-8830-C335AF490C2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5" i="1" l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K34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W34" i="1"/>
  <c r="X34" i="1"/>
  <c r="Y34" i="1"/>
  <c r="Z34" i="1"/>
  <c r="AA34" i="1"/>
  <c r="AB34" i="1"/>
  <c r="AC34" i="1"/>
  <c r="AD34" i="1"/>
  <c r="AE34" i="1"/>
  <c r="AF34" i="1"/>
  <c r="AG34" i="1"/>
  <c r="AH34" i="1"/>
  <c r="V34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H34" i="1"/>
  <c r="I34" i="1"/>
  <c r="J34" i="1"/>
  <c r="K34" i="1"/>
  <c r="L34" i="1"/>
  <c r="M34" i="1"/>
  <c r="N34" i="1"/>
  <c r="O34" i="1"/>
  <c r="P34" i="1"/>
  <c r="Q34" i="1"/>
  <c r="R34" i="1"/>
  <c r="S34" i="1"/>
  <c r="G34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<sst xmlns="http://schemas.openxmlformats.org/spreadsheetml/2006/main" count="200" uniqueCount="45">
  <si>
    <t>RESULTADOS NUMÉRICOS DE VITÓRIAS</t>
  </si>
  <si>
    <t>RESULTADOS NUMÉRICOS DE DERROTAS</t>
  </si>
  <si>
    <t>RESULTADOS NUMÉRICOS DE EMPATES</t>
  </si>
  <si>
    <t>Vitórias</t>
  </si>
  <si>
    <t>A</t>
  </si>
  <si>
    <t>J</t>
  </si>
  <si>
    <t>Q</t>
  </si>
  <si>
    <t>K</t>
  </si>
  <si>
    <t>Derrotas</t>
  </si>
  <si>
    <t>4H</t>
  </si>
  <si>
    <t>Empates</t>
  </si>
  <si>
    <t>5H</t>
  </si>
  <si>
    <t>Busts do jogador</t>
  </si>
  <si>
    <t>6H</t>
  </si>
  <si>
    <t>Blackjacks do jogador</t>
  </si>
  <si>
    <t>7H</t>
  </si>
  <si>
    <t>Busts do dealer</t>
  </si>
  <si>
    <t>8H</t>
  </si>
  <si>
    <t>Blackjacks do dealer</t>
  </si>
  <si>
    <t>9H</t>
  </si>
  <si>
    <t>Saldo final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</si>
  <si>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</si>
  <si>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</si>
  <si>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</si>
  <si>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</si>
  <si>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</si>
  <si>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</si>
  <si>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</si>
  <si>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</si>
  <si>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</si>
  <si>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</si>
  <si>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</si>
  <si>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</si>
  <si>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</si>
  <si>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</si>
  <si>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</si>
  <si>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</si>
  <si>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</si>
  <si>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</si>
  <si>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</si>
  <si>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</si>
  <si>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</si>
  <si>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RESULTADOS PERCENTUAIS DE VITÓRIAS</t>
  </si>
  <si>
    <t>RESULTADOS PERCENTUAIS DE DERROTAS</t>
  </si>
  <si>
    <t>RESULTADOS PERCENTUAIS DE EMPATES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</si>
</sst>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  <xf numFmtId="0" fontId="0" fillId="0" borderId="10" xfId="0" applyBorder="1"/>
    <xf numFmtId="0" fontId="19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/>
    <xf numFmtId="0" fontId="18" fillId="0" borderId="10" xfId="0" applyFont="1" applyBorder="1" applyAlignment="1"/>
    <xf numFmtId="0" fontId="19" fillId="33" borderId="1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/>
    <xf numFmtId="10" fontId="0" fillId="0" borderId="10" xfId="0" applyNumberFormat="1" applyBorder="1"/>
    <xf numFmtId="10" fontId="18" fillId="0" borderId="10" xfId="0" applyNumberFormat="1" applyFont="1" applyBorder="1" applyAlignment="1"/>
    <xf numFmtId="0" fontId="16" fillId="0" borderId="0" xfId="0" applyFon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E5BF-35B9-4F33-87D4-6837011F6B9D}">
  <dimension ref="A2:AW60"/>
  <sheetViews>
    <sheetView tabSelected="1" workbookViewId="0">
      <selection activeCell="C16" sqref="C16"/>
    </sheetView>
  </sheetViews>
  <sheetFormatPr defaultRowHeight="15"/>
  <sheetData>
    <row r="2" spans="1:49">
      <c r="F2" s="1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U2" s="1" t="s">
        <v>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J2" s="1" t="s">
        <v>2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13" t="s">
        <v>3</v>
      </c>
      <c r="B3" s="13"/>
      <c r="C3">
        <v>418105</v>
      </c>
      <c r="D3" s="10">
        <f>C3/1000000</f>
        <v>0.418105</v>
      </c>
      <c r="F3" s="2"/>
      <c r="G3" s="2" t="s">
        <v>4</v>
      </c>
      <c r="H3" s="2">
        <v>2</v>
      </c>
      <c r="I3" s="2">
        <v>3</v>
      </c>
      <c r="J3" s="2">
        <v>4</v>
      </c>
      <c r="K3" s="2">
        <v>5</v>
      </c>
      <c r="L3" s="2">
        <v>6</v>
      </c>
      <c r="M3" s="2">
        <v>7</v>
      </c>
      <c r="N3" s="2">
        <v>8</v>
      </c>
      <c r="O3" s="2">
        <v>9</v>
      </c>
      <c r="P3" s="2">
        <v>10</v>
      </c>
      <c r="Q3" s="2" t="s">
        <v>5</v>
      </c>
      <c r="R3" s="2" t="s">
        <v>6</v>
      </c>
      <c r="S3" s="2" t="s">
        <v>7</v>
      </c>
      <c r="U3" s="5"/>
      <c r="V3" s="5" t="s">
        <v>4</v>
      </c>
      <c r="W3" s="5">
        <v>2</v>
      </c>
      <c r="X3" s="5">
        <v>3</v>
      </c>
      <c r="Y3" s="5">
        <v>4</v>
      </c>
      <c r="Z3" s="5">
        <v>5</v>
      </c>
      <c r="AA3" s="5">
        <v>6</v>
      </c>
      <c r="AB3" s="5">
        <v>7</v>
      </c>
      <c r="AC3" s="5">
        <v>8</v>
      </c>
      <c r="AD3" s="5">
        <v>9</v>
      </c>
      <c r="AE3" s="5">
        <v>10</v>
      </c>
      <c r="AF3" s="5" t="s">
        <v>5</v>
      </c>
      <c r="AG3" s="5" t="s">
        <v>6</v>
      </c>
      <c r="AH3" s="5" t="s">
        <v>7</v>
      </c>
      <c r="AJ3" s="8"/>
      <c r="AK3" s="8" t="s">
        <v>4</v>
      </c>
      <c r="AL3" s="8">
        <v>2</v>
      </c>
      <c r="AM3" s="8">
        <v>3</v>
      </c>
      <c r="AN3" s="8">
        <v>4</v>
      </c>
      <c r="AO3" s="8">
        <v>5</v>
      </c>
      <c r="AP3" s="8">
        <v>6</v>
      </c>
      <c r="AQ3" s="8">
        <v>7</v>
      </c>
      <c r="AR3" s="8">
        <v>8</v>
      </c>
      <c r="AS3" s="8">
        <v>9</v>
      </c>
      <c r="AT3" s="8">
        <v>10</v>
      </c>
      <c r="AU3" s="8" t="s">
        <v>5</v>
      </c>
      <c r="AV3" s="8" t="s">
        <v>6</v>
      </c>
      <c r="AW3" s="8" t="s">
        <v>7</v>
      </c>
    </row>
    <row r="4" spans="1:49">
      <c r="A4" s="13" t="s">
        <v>8</v>
      </c>
      <c r="B4" s="13"/>
      <c r="C4">
        <v>515006</v>
      </c>
      <c r="D4" s="10">
        <f t="shared" ref="D4:D9" si="0">C4/1000000</f>
        <v>0.51500599999999996</v>
      </c>
      <c r="F4" s="3" t="s">
        <v>9</v>
      </c>
      <c r="G4" s="4">
        <v>28</v>
      </c>
      <c r="H4" s="4">
        <v>65</v>
      </c>
      <c r="I4" s="4">
        <v>70</v>
      </c>
      <c r="J4" s="4">
        <v>66</v>
      </c>
      <c r="K4" s="4">
        <v>78</v>
      </c>
      <c r="L4" s="4">
        <v>80</v>
      </c>
      <c r="M4" s="4">
        <v>63</v>
      </c>
      <c r="N4" s="4">
        <v>40</v>
      </c>
      <c r="O4" s="4">
        <v>41</v>
      </c>
      <c r="P4" s="4">
        <v>42</v>
      </c>
      <c r="Q4" s="4">
        <v>37</v>
      </c>
      <c r="R4" s="4">
        <v>28</v>
      </c>
      <c r="S4" s="4">
        <v>39</v>
      </c>
      <c r="U4" s="6" t="s">
        <v>9</v>
      </c>
      <c r="V4" s="7">
        <v>238</v>
      </c>
      <c r="W4" s="7">
        <v>120</v>
      </c>
      <c r="X4" s="7">
        <v>117</v>
      </c>
      <c r="Y4" s="7">
        <v>138</v>
      </c>
      <c r="Z4" s="7">
        <v>109</v>
      </c>
      <c r="AA4" s="7">
        <v>110</v>
      </c>
      <c r="AB4" s="7">
        <v>158</v>
      </c>
      <c r="AC4" s="7">
        <v>159</v>
      </c>
      <c r="AD4" s="7">
        <v>163</v>
      </c>
      <c r="AE4" s="7">
        <v>171</v>
      </c>
      <c r="AF4" s="7">
        <v>177</v>
      </c>
      <c r="AG4" s="7">
        <v>171</v>
      </c>
      <c r="AH4" s="7">
        <v>165</v>
      </c>
      <c r="AJ4" s="6" t="s">
        <v>9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</row>
    <row r="5" spans="1:49">
      <c r="A5" s="13" t="s">
        <v>10</v>
      </c>
      <c r="B5" s="13"/>
      <c r="C5">
        <v>66889</v>
      </c>
      <c r="D5" s="10">
        <f t="shared" si="0"/>
        <v>6.6889000000000004E-2</v>
      </c>
      <c r="F5" s="3" t="s">
        <v>11</v>
      </c>
      <c r="G5" s="4">
        <v>58</v>
      </c>
      <c r="H5" s="4">
        <v>175</v>
      </c>
      <c r="I5" s="4">
        <v>179</v>
      </c>
      <c r="J5" s="4">
        <v>196</v>
      </c>
      <c r="K5" s="4">
        <v>203</v>
      </c>
      <c r="L5" s="4">
        <v>233</v>
      </c>
      <c r="M5" s="4">
        <v>106</v>
      </c>
      <c r="N5" s="4">
        <v>113</v>
      </c>
      <c r="O5" s="4">
        <v>134</v>
      </c>
      <c r="P5" s="4">
        <v>102</v>
      </c>
      <c r="Q5" s="4">
        <v>104</v>
      </c>
      <c r="R5" s="4">
        <v>91</v>
      </c>
      <c r="S5" s="4">
        <v>98</v>
      </c>
      <c r="U5" s="6" t="s">
        <v>11</v>
      </c>
      <c r="V5" s="7">
        <v>582</v>
      </c>
      <c r="W5" s="7">
        <v>309</v>
      </c>
      <c r="X5" s="7">
        <v>299</v>
      </c>
      <c r="Y5" s="7">
        <v>296</v>
      </c>
      <c r="Z5" s="7">
        <v>275</v>
      </c>
      <c r="AA5" s="7">
        <v>279</v>
      </c>
      <c r="AB5" s="7">
        <v>392</v>
      </c>
      <c r="AC5" s="7">
        <v>403</v>
      </c>
      <c r="AD5" s="7">
        <v>360</v>
      </c>
      <c r="AE5" s="7">
        <v>414</v>
      </c>
      <c r="AF5" s="7">
        <v>389</v>
      </c>
      <c r="AG5" s="7">
        <v>393</v>
      </c>
      <c r="AH5" s="7">
        <v>443</v>
      </c>
      <c r="AJ5" s="6" t="s">
        <v>11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</row>
    <row r="6" spans="1:49">
      <c r="A6" s="13" t="s">
        <v>12</v>
      </c>
      <c r="B6" s="13"/>
      <c r="C6">
        <v>43837</v>
      </c>
      <c r="D6" s="10">
        <f t="shared" si="0"/>
        <v>4.3837000000000001E-2</v>
      </c>
      <c r="F6" s="3" t="s">
        <v>13</v>
      </c>
      <c r="G6" s="4">
        <v>102</v>
      </c>
      <c r="H6" s="4">
        <v>280</v>
      </c>
      <c r="I6" s="4">
        <v>313</v>
      </c>
      <c r="J6" s="4">
        <v>351</v>
      </c>
      <c r="K6" s="4">
        <v>349</v>
      </c>
      <c r="L6" s="4">
        <v>366</v>
      </c>
      <c r="M6" s="4">
        <v>181</v>
      </c>
      <c r="N6" s="4">
        <v>176</v>
      </c>
      <c r="O6" s="4">
        <v>183</v>
      </c>
      <c r="P6" s="4">
        <v>178</v>
      </c>
      <c r="Q6" s="4">
        <v>158</v>
      </c>
      <c r="R6" s="4">
        <v>195</v>
      </c>
      <c r="S6" s="4">
        <v>171</v>
      </c>
      <c r="U6" s="6" t="s">
        <v>13</v>
      </c>
      <c r="V6" s="7">
        <v>906</v>
      </c>
      <c r="W6" s="7">
        <v>526</v>
      </c>
      <c r="X6" s="7">
        <v>518</v>
      </c>
      <c r="Y6" s="7">
        <v>461</v>
      </c>
      <c r="Z6" s="7">
        <v>492</v>
      </c>
      <c r="AA6" s="7">
        <v>463</v>
      </c>
      <c r="AB6" s="7">
        <v>644</v>
      </c>
      <c r="AC6" s="7">
        <v>602</v>
      </c>
      <c r="AD6" s="7">
        <v>676</v>
      </c>
      <c r="AE6" s="7">
        <v>713</v>
      </c>
      <c r="AF6" s="7">
        <v>698</v>
      </c>
      <c r="AG6" s="7">
        <v>732</v>
      </c>
      <c r="AH6" s="7">
        <v>661</v>
      </c>
      <c r="AJ6" s="6" t="s">
        <v>13</v>
      </c>
      <c r="AK6" s="7">
        <v>12</v>
      </c>
      <c r="AL6" s="7">
        <v>17</v>
      </c>
      <c r="AM6" s="7">
        <v>15</v>
      </c>
      <c r="AN6" s="7">
        <v>13</v>
      </c>
      <c r="AO6" s="7">
        <v>10</v>
      </c>
      <c r="AP6" s="7">
        <v>18</v>
      </c>
      <c r="AQ6" s="7">
        <v>39</v>
      </c>
      <c r="AR6" s="7">
        <v>16</v>
      </c>
      <c r="AS6" s="7">
        <v>14</v>
      </c>
      <c r="AT6" s="7">
        <v>15</v>
      </c>
      <c r="AU6" s="7">
        <v>10</v>
      </c>
      <c r="AV6" s="7">
        <v>13</v>
      </c>
      <c r="AW6" s="7">
        <v>11</v>
      </c>
    </row>
    <row r="7" spans="1:49">
      <c r="A7" s="13" t="s">
        <v>14</v>
      </c>
      <c r="B7" s="13"/>
      <c r="C7">
        <v>47642</v>
      </c>
      <c r="D7" s="10">
        <f t="shared" si="0"/>
        <v>4.7641999999999997E-2</v>
      </c>
      <c r="F7" s="3" t="s">
        <v>15</v>
      </c>
      <c r="G7" s="4">
        <v>171</v>
      </c>
      <c r="H7" s="4">
        <v>465</v>
      </c>
      <c r="I7" s="4">
        <v>471</v>
      </c>
      <c r="J7" s="4">
        <v>534</v>
      </c>
      <c r="K7" s="4">
        <v>572</v>
      </c>
      <c r="L7" s="4">
        <v>622</v>
      </c>
      <c r="M7" s="4">
        <v>424</v>
      </c>
      <c r="N7" s="4">
        <v>353</v>
      </c>
      <c r="O7" s="4">
        <v>329</v>
      </c>
      <c r="P7" s="4">
        <v>327</v>
      </c>
      <c r="Q7" s="4">
        <v>293</v>
      </c>
      <c r="R7" s="4">
        <v>287</v>
      </c>
      <c r="S7" s="4">
        <v>318</v>
      </c>
      <c r="U7" s="6" t="s">
        <v>15</v>
      </c>
      <c r="V7" s="7">
        <v>1254</v>
      </c>
      <c r="W7" s="7">
        <v>705</v>
      </c>
      <c r="X7" s="7">
        <v>707</v>
      </c>
      <c r="Y7" s="7">
        <v>698</v>
      </c>
      <c r="Z7" s="7">
        <v>665</v>
      </c>
      <c r="AA7" s="7">
        <v>684</v>
      </c>
      <c r="AB7" s="7">
        <v>745</v>
      </c>
      <c r="AC7" s="7">
        <v>839</v>
      </c>
      <c r="AD7" s="7">
        <v>944</v>
      </c>
      <c r="AE7" s="7">
        <v>1030</v>
      </c>
      <c r="AF7" s="7">
        <v>1022</v>
      </c>
      <c r="AG7" s="7">
        <v>1059</v>
      </c>
      <c r="AH7" s="7">
        <v>980</v>
      </c>
      <c r="AJ7" s="6" t="s">
        <v>15</v>
      </c>
      <c r="AK7" s="7">
        <v>63</v>
      </c>
      <c r="AL7" s="7">
        <v>82</v>
      </c>
      <c r="AM7" s="7">
        <v>96</v>
      </c>
      <c r="AN7" s="7">
        <v>94</v>
      </c>
      <c r="AO7" s="7">
        <v>77</v>
      </c>
      <c r="AP7" s="7">
        <v>122</v>
      </c>
      <c r="AQ7" s="7">
        <v>270</v>
      </c>
      <c r="AR7" s="7">
        <v>118</v>
      </c>
      <c r="AS7" s="7">
        <v>102</v>
      </c>
      <c r="AT7" s="7">
        <v>73</v>
      </c>
      <c r="AU7" s="7">
        <v>78</v>
      </c>
      <c r="AV7" s="7">
        <v>83</v>
      </c>
      <c r="AW7" s="7">
        <v>80</v>
      </c>
    </row>
    <row r="8" spans="1:49">
      <c r="A8" s="13" t="s">
        <v>16</v>
      </c>
      <c r="B8" s="13"/>
      <c r="C8">
        <v>246976</v>
      </c>
      <c r="D8" s="10">
        <f t="shared" si="0"/>
        <v>0.246976</v>
      </c>
      <c r="F8" s="3" t="s">
        <v>17</v>
      </c>
      <c r="G8" s="4">
        <v>367</v>
      </c>
      <c r="H8" s="4">
        <v>808</v>
      </c>
      <c r="I8" s="4">
        <v>913</v>
      </c>
      <c r="J8" s="4">
        <v>891</v>
      </c>
      <c r="K8" s="4">
        <v>925</v>
      </c>
      <c r="L8" s="4">
        <v>966</v>
      </c>
      <c r="M8" s="4">
        <v>916</v>
      </c>
      <c r="N8" s="4">
        <v>642</v>
      </c>
      <c r="O8" s="4">
        <v>580</v>
      </c>
      <c r="P8" s="4">
        <v>528</v>
      </c>
      <c r="Q8" s="4">
        <v>525</v>
      </c>
      <c r="R8" s="4">
        <v>502</v>
      </c>
      <c r="S8" s="4">
        <v>511</v>
      </c>
      <c r="U8" s="6" t="s">
        <v>17</v>
      </c>
      <c r="V8" s="7">
        <v>1560</v>
      </c>
      <c r="W8" s="7">
        <v>911</v>
      </c>
      <c r="X8" s="7">
        <v>822</v>
      </c>
      <c r="Y8" s="7">
        <v>817</v>
      </c>
      <c r="Z8" s="7">
        <v>832</v>
      </c>
      <c r="AA8" s="7">
        <v>774</v>
      </c>
      <c r="AB8" s="7">
        <v>830</v>
      </c>
      <c r="AC8" s="7">
        <v>916</v>
      </c>
      <c r="AD8" s="7">
        <v>1173</v>
      </c>
      <c r="AE8" s="7">
        <v>1280</v>
      </c>
      <c r="AF8" s="7">
        <v>1286</v>
      </c>
      <c r="AG8" s="7">
        <v>1307</v>
      </c>
      <c r="AH8" s="7">
        <v>1282</v>
      </c>
      <c r="AJ8" s="6" t="s">
        <v>17</v>
      </c>
      <c r="AK8" s="7">
        <v>152</v>
      </c>
      <c r="AL8" s="7">
        <v>145</v>
      </c>
      <c r="AM8" s="7">
        <v>155</v>
      </c>
      <c r="AN8" s="7">
        <v>152</v>
      </c>
      <c r="AO8" s="7">
        <v>141</v>
      </c>
      <c r="AP8" s="7">
        <v>155</v>
      </c>
      <c r="AQ8" s="7">
        <v>200</v>
      </c>
      <c r="AR8" s="7">
        <v>347</v>
      </c>
      <c r="AS8" s="7">
        <v>180</v>
      </c>
      <c r="AT8" s="7">
        <v>122</v>
      </c>
      <c r="AU8" s="7">
        <v>131</v>
      </c>
      <c r="AV8" s="7">
        <v>131</v>
      </c>
      <c r="AW8" s="7">
        <v>111</v>
      </c>
    </row>
    <row r="9" spans="1:49">
      <c r="A9" s="13" t="s">
        <v>18</v>
      </c>
      <c r="B9" s="13"/>
      <c r="C9">
        <v>47433</v>
      </c>
      <c r="D9" s="10">
        <f t="shared" si="0"/>
        <v>4.7433000000000003E-2</v>
      </c>
      <c r="F9" s="3" t="s">
        <v>19</v>
      </c>
      <c r="G9" s="4">
        <v>659</v>
      </c>
      <c r="H9" s="4">
        <v>1261</v>
      </c>
      <c r="I9" s="4">
        <v>1352</v>
      </c>
      <c r="J9" s="4">
        <v>1404</v>
      </c>
      <c r="K9" s="4">
        <v>1527</v>
      </c>
      <c r="L9" s="4">
        <v>1465</v>
      </c>
      <c r="M9" s="4">
        <v>1331</v>
      </c>
      <c r="N9" s="4">
        <v>1262</v>
      </c>
      <c r="O9" s="4">
        <v>995</v>
      </c>
      <c r="P9" s="4">
        <v>881</v>
      </c>
      <c r="Q9" s="4">
        <v>886</v>
      </c>
      <c r="R9" s="4">
        <v>811</v>
      </c>
      <c r="S9" s="4">
        <v>867</v>
      </c>
      <c r="U9" s="6" t="s">
        <v>19</v>
      </c>
      <c r="V9" s="7">
        <v>1843</v>
      </c>
      <c r="W9" s="7">
        <v>1085</v>
      </c>
      <c r="X9" s="7">
        <v>1017</v>
      </c>
      <c r="Y9" s="7">
        <v>963</v>
      </c>
      <c r="Z9" s="7">
        <v>955</v>
      </c>
      <c r="AA9" s="7">
        <v>933</v>
      </c>
      <c r="AB9" s="7">
        <v>1010</v>
      </c>
      <c r="AC9" s="7">
        <v>1089</v>
      </c>
      <c r="AD9" s="7">
        <v>1183</v>
      </c>
      <c r="AE9" s="7">
        <v>1550</v>
      </c>
      <c r="AF9" s="7">
        <v>1570</v>
      </c>
      <c r="AG9" s="7">
        <v>1574</v>
      </c>
      <c r="AH9" s="7">
        <v>1518</v>
      </c>
      <c r="AJ9" s="6" t="s">
        <v>19</v>
      </c>
      <c r="AK9" s="7">
        <v>208</v>
      </c>
      <c r="AL9" s="7">
        <v>209</v>
      </c>
      <c r="AM9" s="7">
        <v>170</v>
      </c>
      <c r="AN9" s="7">
        <v>223</v>
      </c>
      <c r="AO9" s="7">
        <v>197</v>
      </c>
      <c r="AP9" s="7">
        <v>172</v>
      </c>
      <c r="AQ9" s="7">
        <v>205</v>
      </c>
      <c r="AR9" s="7">
        <v>283</v>
      </c>
      <c r="AS9" s="7">
        <v>427</v>
      </c>
      <c r="AT9" s="7">
        <v>245</v>
      </c>
      <c r="AU9" s="7">
        <v>243</v>
      </c>
      <c r="AV9" s="7">
        <v>250</v>
      </c>
      <c r="AW9" s="7">
        <v>247</v>
      </c>
    </row>
    <row r="10" spans="1:49">
      <c r="A10" s="13" t="s">
        <v>20</v>
      </c>
      <c r="B10" s="13"/>
      <c r="C10" s="9">
        <v>-119676</v>
      </c>
      <c r="D10" s="9"/>
      <c r="F10" s="3" t="s">
        <v>21</v>
      </c>
      <c r="G10" s="4">
        <v>1133</v>
      </c>
      <c r="H10" s="4">
        <v>1919</v>
      </c>
      <c r="I10" s="4">
        <v>2022</v>
      </c>
      <c r="J10" s="4">
        <v>2056</v>
      </c>
      <c r="K10" s="4">
        <v>2149</v>
      </c>
      <c r="L10" s="4">
        <v>2196</v>
      </c>
      <c r="M10" s="4">
        <v>1976</v>
      </c>
      <c r="N10" s="4">
        <v>1825</v>
      </c>
      <c r="O10" s="4">
        <v>1719</v>
      </c>
      <c r="P10" s="4">
        <v>1466</v>
      </c>
      <c r="Q10" s="4">
        <v>1385</v>
      </c>
      <c r="R10" s="4">
        <v>1394</v>
      </c>
      <c r="S10" s="4">
        <v>1415</v>
      </c>
      <c r="U10" s="6" t="s">
        <v>21</v>
      </c>
      <c r="V10" s="7">
        <v>2023</v>
      </c>
      <c r="W10" s="7">
        <v>1137</v>
      </c>
      <c r="X10" s="7">
        <v>1211</v>
      </c>
      <c r="Y10" s="7">
        <v>1060</v>
      </c>
      <c r="Z10" s="7">
        <v>1070</v>
      </c>
      <c r="AA10" s="7">
        <v>1019</v>
      </c>
      <c r="AB10" s="7">
        <v>1094</v>
      </c>
      <c r="AC10" s="7">
        <v>1256</v>
      </c>
      <c r="AD10" s="7">
        <v>1325</v>
      </c>
      <c r="AE10" s="7">
        <v>1526</v>
      </c>
      <c r="AF10" s="7">
        <v>1494</v>
      </c>
      <c r="AG10" s="7">
        <v>1597</v>
      </c>
      <c r="AH10" s="7">
        <v>1549</v>
      </c>
      <c r="AJ10" s="6" t="s">
        <v>21</v>
      </c>
      <c r="AK10" s="7">
        <v>281</v>
      </c>
      <c r="AL10" s="7">
        <v>258</v>
      </c>
      <c r="AM10" s="7">
        <v>270</v>
      </c>
      <c r="AN10" s="7">
        <v>244</v>
      </c>
      <c r="AO10" s="7">
        <v>215</v>
      </c>
      <c r="AP10" s="7">
        <v>209</v>
      </c>
      <c r="AQ10" s="7">
        <v>195</v>
      </c>
      <c r="AR10" s="7">
        <v>253</v>
      </c>
      <c r="AS10" s="7">
        <v>334</v>
      </c>
      <c r="AT10" s="7">
        <v>523</v>
      </c>
      <c r="AU10" s="7">
        <v>497</v>
      </c>
      <c r="AV10" s="7">
        <v>444</v>
      </c>
      <c r="AW10" s="7">
        <v>533</v>
      </c>
    </row>
    <row r="11" spans="1:49">
      <c r="F11" s="3" t="s">
        <v>22</v>
      </c>
      <c r="G11" s="4">
        <v>1486</v>
      </c>
      <c r="H11" s="4">
        <v>2620</v>
      </c>
      <c r="I11" s="4">
        <v>2652</v>
      </c>
      <c r="J11" s="4">
        <v>2652</v>
      </c>
      <c r="K11" s="4">
        <v>2750</v>
      </c>
      <c r="L11" s="4">
        <v>2758</v>
      </c>
      <c r="M11" s="4">
        <v>2653</v>
      </c>
      <c r="N11" s="4">
        <v>2448</v>
      </c>
      <c r="O11" s="4">
        <v>2316</v>
      </c>
      <c r="P11" s="4">
        <v>2092</v>
      </c>
      <c r="Q11" s="4">
        <v>2094</v>
      </c>
      <c r="R11" s="4">
        <v>2052</v>
      </c>
      <c r="S11" s="4">
        <v>2119</v>
      </c>
      <c r="U11" s="6" t="s">
        <v>22</v>
      </c>
      <c r="V11" s="7">
        <v>2442</v>
      </c>
      <c r="W11" s="7">
        <v>1576</v>
      </c>
      <c r="X11" s="7">
        <v>1539</v>
      </c>
      <c r="Y11" s="7">
        <v>1557</v>
      </c>
      <c r="Z11" s="7">
        <v>1492</v>
      </c>
      <c r="AA11" s="7">
        <v>1501</v>
      </c>
      <c r="AB11" s="7">
        <v>1570</v>
      </c>
      <c r="AC11" s="7">
        <v>1709</v>
      </c>
      <c r="AD11" s="7">
        <v>1821</v>
      </c>
      <c r="AE11" s="7">
        <v>2129</v>
      </c>
      <c r="AF11" s="7">
        <v>2131</v>
      </c>
      <c r="AG11" s="7">
        <v>2043</v>
      </c>
      <c r="AH11" s="7">
        <v>2059</v>
      </c>
      <c r="AJ11" s="6" t="s">
        <v>22</v>
      </c>
      <c r="AK11" s="7">
        <v>165</v>
      </c>
      <c r="AL11" s="7">
        <v>196</v>
      </c>
      <c r="AM11" s="7">
        <v>183</v>
      </c>
      <c r="AN11" s="7">
        <v>167</v>
      </c>
      <c r="AO11" s="7">
        <v>168</v>
      </c>
      <c r="AP11" s="7">
        <v>162</v>
      </c>
      <c r="AQ11" s="7">
        <v>235</v>
      </c>
      <c r="AR11" s="7">
        <v>265</v>
      </c>
      <c r="AS11" s="7">
        <v>208</v>
      </c>
      <c r="AT11" s="7">
        <v>258</v>
      </c>
      <c r="AU11" s="7">
        <v>256</v>
      </c>
      <c r="AV11" s="7">
        <v>244</v>
      </c>
      <c r="AW11" s="7">
        <v>231</v>
      </c>
    </row>
    <row r="12" spans="1:49">
      <c r="F12" s="3" t="s">
        <v>23</v>
      </c>
      <c r="G12" s="4">
        <v>1431</v>
      </c>
      <c r="H12" s="4">
        <v>2570</v>
      </c>
      <c r="I12" s="4">
        <v>2717</v>
      </c>
      <c r="J12" s="4">
        <v>2775</v>
      </c>
      <c r="K12" s="4">
        <v>2800</v>
      </c>
      <c r="L12" s="4">
        <v>2838</v>
      </c>
      <c r="M12" s="4">
        <v>2648</v>
      </c>
      <c r="N12" s="4">
        <v>2352</v>
      </c>
      <c r="O12" s="4">
        <v>2165</v>
      </c>
      <c r="P12" s="4">
        <v>1906</v>
      </c>
      <c r="Q12" s="4">
        <v>1839</v>
      </c>
      <c r="R12" s="4">
        <v>1853</v>
      </c>
      <c r="S12" s="4">
        <v>1828</v>
      </c>
      <c r="U12" s="6" t="s">
        <v>23</v>
      </c>
      <c r="V12" s="7">
        <v>5983</v>
      </c>
      <c r="W12" s="7">
        <v>4849</v>
      </c>
      <c r="X12" s="7">
        <v>4915</v>
      </c>
      <c r="Y12" s="7">
        <v>4937</v>
      </c>
      <c r="Z12" s="7">
        <v>4745</v>
      </c>
      <c r="AA12" s="7">
        <v>4577</v>
      </c>
      <c r="AB12" s="7">
        <v>4871</v>
      </c>
      <c r="AC12" s="7">
        <v>4974</v>
      </c>
      <c r="AD12" s="7">
        <v>5380</v>
      </c>
      <c r="AE12" s="7">
        <v>5413</v>
      </c>
      <c r="AF12" s="7">
        <v>5426</v>
      </c>
      <c r="AG12" s="7">
        <v>5601</v>
      </c>
      <c r="AH12" s="7">
        <v>5673</v>
      </c>
      <c r="AJ12" s="6" t="s">
        <v>23</v>
      </c>
      <c r="AK12" s="7">
        <v>291</v>
      </c>
      <c r="AL12" s="7">
        <v>306</v>
      </c>
      <c r="AM12" s="7">
        <v>323</v>
      </c>
      <c r="AN12" s="7">
        <v>311</v>
      </c>
      <c r="AO12" s="7">
        <v>297</v>
      </c>
      <c r="AP12" s="7">
        <v>281</v>
      </c>
      <c r="AQ12" s="7">
        <v>411</v>
      </c>
      <c r="AR12" s="7">
        <v>413</v>
      </c>
      <c r="AS12" s="7">
        <v>401</v>
      </c>
      <c r="AT12" s="7">
        <v>399</v>
      </c>
      <c r="AU12" s="7">
        <v>426</v>
      </c>
      <c r="AV12" s="7">
        <v>394</v>
      </c>
      <c r="AW12" s="7">
        <v>406</v>
      </c>
    </row>
    <row r="13" spans="1:49">
      <c r="F13" s="3" t="s">
        <v>24</v>
      </c>
      <c r="G13" s="4">
        <v>719</v>
      </c>
      <c r="H13" s="4">
        <v>2203</v>
      </c>
      <c r="I13" s="4">
        <v>2359</v>
      </c>
      <c r="J13" s="4">
        <v>2524</v>
      </c>
      <c r="K13" s="4">
        <v>2738</v>
      </c>
      <c r="L13" s="4">
        <v>2690</v>
      </c>
      <c r="M13" s="4">
        <v>1612</v>
      </c>
      <c r="N13" s="4">
        <v>1627</v>
      </c>
      <c r="O13" s="4">
        <v>1416</v>
      </c>
      <c r="P13" s="4">
        <v>1406</v>
      </c>
      <c r="Q13" s="4">
        <v>1346</v>
      </c>
      <c r="R13" s="4">
        <v>1357</v>
      </c>
      <c r="S13" s="4">
        <v>1352</v>
      </c>
      <c r="U13" s="6" t="s">
        <v>24</v>
      </c>
      <c r="V13" s="7">
        <v>5674</v>
      </c>
      <c r="W13" s="7">
        <v>4163</v>
      </c>
      <c r="X13" s="7">
        <v>3925</v>
      </c>
      <c r="Y13" s="7">
        <v>3939</v>
      </c>
      <c r="Z13" s="7">
        <v>3837</v>
      </c>
      <c r="AA13" s="7">
        <v>3667</v>
      </c>
      <c r="AB13" s="7">
        <v>4657</v>
      </c>
      <c r="AC13" s="7">
        <v>4974</v>
      </c>
      <c r="AD13" s="7">
        <v>4965</v>
      </c>
      <c r="AE13" s="7">
        <v>5082</v>
      </c>
      <c r="AF13" s="7">
        <v>5087</v>
      </c>
      <c r="AG13" s="7">
        <v>5160</v>
      </c>
      <c r="AH13" s="7">
        <v>5002</v>
      </c>
      <c r="AJ13" s="6" t="s">
        <v>24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</row>
    <row r="14" spans="1:49">
      <c r="F14" s="3" t="s">
        <v>25</v>
      </c>
      <c r="G14" s="4">
        <v>668</v>
      </c>
      <c r="H14" s="4">
        <v>2167</v>
      </c>
      <c r="I14" s="4">
        <v>2254</v>
      </c>
      <c r="J14" s="4">
        <v>2347</v>
      </c>
      <c r="K14" s="4">
        <v>2544</v>
      </c>
      <c r="L14" s="4">
        <v>2524</v>
      </c>
      <c r="M14" s="4">
        <v>1528</v>
      </c>
      <c r="N14" s="4">
        <v>1487</v>
      </c>
      <c r="O14" s="4">
        <v>1329</v>
      </c>
      <c r="P14" s="4">
        <v>1223</v>
      </c>
      <c r="Q14" s="4">
        <v>1263</v>
      </c>
      <c r="R14" s="4">
        <v>1279</v>
      </c>
      <c r="S14" s="4">
        <v>1241</v>
      </c>
      <c r="U14" s="6" t="s">
        <v>25</v>
      </c>
      <c r="V14" s="7">
        <v>5354</v>
      </c>
      <c r="W14" s="7">
        <v>3765</v>
      </c>
      <c r="X14" s="7">
        <v>3727</v>
      </c>
      <c r="Y14" s="7">
        <v>3485</v>
      </c>
      <c r="Z14" s="7">
        <v>3421</v>
      </c>
      <c r="AA14" s="7">
        <v>3307</v>
      </c>
      <c r="AB14" s="7">
        <v>4436</v>
      </c>
      <c r="AC14" s="7">
        <v>4427</v>
      </c>
      <c r="AD14" s="7">
        <v>4504</v>
      </c>
      <c r="AE14" s="7">
        <v>4740</v>
      </c>
      <c r="AF14" s="7">
        <v>4558</v>
      </c>
      <c r="AG14" s="7">
        <v>4755</v>
      </c>
      <c r="AH14" s="7">
        <v>4664</v>
      </c>
      <c r="AJ14" s="6" t="s">
        <v>25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</row>
    <row r="15" spans="1:49">
      <c r="F15" s="3" t="s">
        <v>26</v>
      </c>
      <c r="G15" s="4">
        <v>672</v>
      </c>
      <c r="H15" s="4">
        <v>1926</v>
      </c>
      <c r="I15" s="4">
        <v>2222</v>
      </c>
      <c r="J15" s="4">
        <v>2169</v>
      </c>
      <c r="K15" s="4">
        <v>2265</v>
      </c>
      <c r="L15" s="4">
        <v>2225</v>
      </c>
      <c r="M15" s="4">
        <v>1403</v>
      </c>
      <c r="N15" s="4">
        <v>1362</v>
      </c>
      <c r="O15" s="4">
        <v>1275</v>
      </c>
      <c r="P15" s="4">
        <v>1203</v>
      </c>
      <c r="Q15" s="4">
        <v>1139</v>
      </c>
      <c r="R15" s="4">
        <v>1177</v>
      </c>
      <c r="S15" s="4">
        <v>1144</v>
      </c>
      <c r="U15" s="6" t="s">
        <v>26</v>
      </c>
      <c r="V15" s="7">
        <v>4815</v>
      </c>
      <c r="W15" s="7">
        <v>3439</v>
      </c>
      <c r="X15" s="7">
        <v>3410</v>
      </c>
      <c r="Y15" s="7">
        <v>3288</v>
      </c>
      <c r="Z15" s="7">
        <v>3080</v>
      </c>
      <c r="AA15" s="7">
        <v>3180</v>
      </c>
      <c r="AB15" s="7">
        <v>4134</v>
      </c>
      <c r="AC15" s="7">
        <v>3970</v>
      </c>
      <c r="AD15" s="7">
        <v>4145</v>
      </c>
      <c r="AE15" s="7">
        <v>4295</v>
      </c>
      <c r="AF15" s="7">
        <v>4258</v>
      </c>
      <c r="AG15" s="7">
        <v>4440</v>
      </c>
      <c r="AH15" s="7">
        <v>4260</v>
      </c>
      <c r="AJ15" s="6" t="s">
        <v>26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</row>
    <row r="16" spans="1:49">
      <c r="F16" s="3" t="s">
        <v>27</v>
      </c>
      <c r="G16" s="4">
        <v>639</v>
      </c>
      <c r="H16" s="4">
        <v>1761</v>
      </c>
      <c r="I16" s="4">
        <v>1862</v>
      </c>
      <c r="J16" s="4">
        <v>2000</v>
      </c>
      <c r="K16" s="4">
        <v>2122</v>
      </c>
      <c r="L16" s="4">
        <v>1962</v>
      </c>
      <c r="M16" s="4">
        <v>1326</v>
      </c>
      <c r="N16" s="4">
        <v>1181</v>
      </c>
      <c r="O16" s="4">
        <v>1122</v>
      </c>
      <c r="P16" s="4">
        <v>1033</v>
      </c>
      <c r="Q16" s="4">
        <v>1026</v>
      </c>
      <c r="R16" s="4">
        <v>1049</v>
      </c>
      <c r="S16" s="4">
        <v>1071</v>
      </c>
      <c r="U16" s="6" t="s">
        <v>27</v>
      </c>
      <c r="V16" s="7">
        <v>4552</v>
      </c>
      <c r="W16" s="7">
        <v>3232</v>
      </c>
      <c r="X16" s="7">
        <v>3140</v>
      </c>
      <c r="Y16" s="7">
        <v>3032</v>
      </c>
      <c r="Z16" s="7">
        <v>2960</v>
      </c>
      <c r="AA16" s="7">
        <v>2925</v>
      </c>
      <c r="AB16" s="7">
        <v>3761</v>
      </c>
      <c r="AC16" s="7">
        <v>3784</v>
      </c>
      <c r="AD16" s="7">
        <v>3929</v>
      </c>
      <c r="AE16" s="7">
        <v>3913</v>
      </c>
      <c r="AF16" s="7">
        <v>3947</v>
      </c>
      <c r="AG16" s="7">
        <v>4059</v>
      </c>
      <c r="AH16" s="7">
        <v>3981</v>
      </c>
      <c r="AJ16" s="6" t="s">
        <v>27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</row>
    <row r="17" spans="6:49">
      <c r="F17" s="3" t="s">
        <v>28</v>
      </c>
      <c r="G17" s="4">
        <v>564</v>
      </c>
      <c r="H17" s="4">
        <v>1556</v>
      </c>
      <c r="I17" s="4">
        <v>1702</v>
      </c>
      <c r="J17" s="4">
        <v>1877</v>
      </c>
      <c r="K17" s="4">
        <v>1956</v>
      </c>
      <c r="L17" s="4">
        <v>1922</v>
      </c>
      <c r="M17" s="4">
        <v>1155</v>
      </c>
      <c r="N17" s="4">
        <v>1049</v>
      </c>
      <c r="O17" s="4">
        <v>1071</v>
      </c>
      <c r="P17" s="4">
        <v>997</v>
      </c>
      <c r="Q17" s="4">
        <v>962</v>
      </c>
      <c r="R17" s="4">
        <v>915</v>
      </c>
      <c r="S17" s="4">
        <v>997</v>
      </c>
      <c r="U17" s="6" t="s">
        <v>28</v>
      </c>
      <c r="V17" s="7">
        <v>3539</v>
      </c>
      <c r="W17" s="7">
        <v>2337</v>
      </c>
      <c r="X17" s="7">
        <v>2236</v>
      </c>
      <c r="Y17" s="7">
        <v>2198</v>
      </c>
      <c r="Z17" s="7">
        <v>2109</v>
      </c>
      <c r="AA17" s="7">
        <v>1939</v>
      </c>
      <c r="AB17" s="7">
        <v>1604</v>
      </c>
      <c r="AC17" s="7">
        <v>2742</v>
      </c>
      <c r="AD17" s="7">
        <v>3087</v>
      </c>
      <c r="AE17" s="7">
        <v>3100</v>
      </c>
      <c r="AF17" s="7">
        <v>3108</v>
      </c>
      <c r="AG17" s="7">
        <v>3021</v>
      </c>
      <c r="AH17" s="7">
        <v>3131</v>
      </c>
      <c r="AJ17" s="6" t="s">
        <v>28</v>
      </c>
      <c r="AK17" s="7">
        <v>565</v>
      </c>
      <c r="AL17" s="7">
        <v>621</v>
      </c>
      <c r="AM17" s="7">
        <v>627</v>
      </c>
      <c r="AN17" s="7">
        <v>584</v>
      </c>
      <c r="AO17" s="7">
        <v>592</v>
      </c>
      <c r="AP17" s="7">
        <v>807</v>
      </c>
      <c r="AQ17" s="7">
        <v>1717</v>
      </c>
      <c r="AR17" s="7">
        <v>554</v>
      </c>
      <c r="AS17" s="7">
        <v>517</v>
      </c>
      <c r="AT17" s="7">
        <v>495</v>
      </c>
      <c r="AU17" s="7">
        <v>504</v>
      </c>
      <c r="AV17" s="7">
        <v>501</v>
      </c>
      <c r="AW17" s="7">
        <v>462</v>
      </c>
    </row>
    <row r="18" spans="6:49">
      <c r="F18" s="3" t="s">
        <v>29</v>
      </c>
      <c r="G18" s="4">
        <v>976</v>
      </c>
      <c r="H18" s="4">
        <v>1957</v>
      </c>
      <c r="I18" s="4">
        <v>2049</v>
      </c>
      <c r="J18" s="4">
        <v>2243</v>
      </c>
      <c r="K18" s="4">
        <v>2350</v>
      </c>
      <c r="L18" s="4">
        <v>2435</v>
      </c>
      <c r="M18" s="4">
        <v>2723</v>
      </c>
      <c r="N18" s="4">
        <v>1495</v>
      </c>
      <c r="O18" s="4">
        <v>1472</v>
      </c>
      <c r="P18" s="4">
        <v>1340</v>
      </c>
      <c r="Q18" s="4">
        <v>1332</v>
      </c>
      <c r="R18" s="4">
        <v>1296</v>
      </c>
      <c r="S18" s="4">
        <v>1386</v>
      </c>
      <c r="U18" s="6" t="s">
        <v>29</v>
      </c>
      <c r="V18" s="7">
        <v>2527</v>
      </c>
      <c r="W18" s="7">
        <v>1565</v>
      </c>
      <c r="X18" s="7">
        <v>1475</v>
      </c>
      <c r="Y18" s="7">
        <v>1447</v>
      </c>
      <c r="Z18" s="7">
        <v>1401</v>
      </c>
      <c r="AA18" s="7">
        <v>1192</v>
      </c>
      <c r="AB18" s="7">
        <v>973</v>
      </c>
      <c r="AC18" s="7">
        <v>1099</v>
      </c>
      <c r="AD18" s="7">
        <v>2255</v>
      </c>
      <c r="AE18" s="7">
        <v>2427</v>
      </c>
      <c r="AF18" s="7">
        <v>2342</v>
      </c>
      <c r="AG18" s="7">
        <v>2286</v>
      </c>
      <c r="AH18" s="7">
        <v>2179</v>
      </c>
      <c r="AJ18" s="6" t="s">
        <v>29</v>
      </c>
      <c r="AK18" s="7">
        <v>537</v>
      </c>
      <c r="AL18" s="7">
        <v>552</v>
      </c>
      <c r="AM18" s="7">
        <v>534</v>
      </c>
      <c r="AN18" s="7">
        <v>527</v>
      </c>
      <c r="AO18" s="7">
        <v>514</v>
      </c>
      <c r="AP18" s="7">
        <v>467</v>
      </c>
      <c r="AQ18" s="7">
        <v>559</v>
      </c>
      <c r="AR18" s="7">
        <v>1370</v>
      </c>
      <c r="AS18" s="7">
        <v>483</v>
      </c>
      <c r="AT18" s="7">
        <v>454</v>
      </c>
      <c r="AU18" s="7">
        <v>443</v>
      </c>
      <c r="AV18" s="7">
        <v>458</v>
      </c>
      <c r="AW18" s="7">
        <v>412</v>
      </c>
    </row>
    <row r="19" spans="6:49">
      <c r="F19" s="3" t="s">
        <v>30</v>
      </c>
      <c r="G19" s="4">
        <v>1371</v>
      </c>
      <c r="H19" s="4">
        <v>2325</v>
      </c>
      <c r="I19" s="4">
        <v>2355</v>
      </c>
      <c r="J19" s="4">
        <v>2394</v>
      </c>
      <c r="K19" s="4">
        <v>2430</v>
      </c>
      <c r="L19" s="4">
        <v>2496</v>
      </c>
      <c r="M19" s="4">
        <v>2919</v>
      </c>
      <c r="N19" s="4">
        <v>2716</v>
      </c>
      <c r="O19" s="4">
        <v>1646</v>
      </c>
      <c r="P19" s="4">
        <v>1604</v>
      </c>
      <c r="Q19" s="4">
        <v>1584</v>
      </c>
      <c r="R19" s="4">
        <v>1529</v>
      </c>
      <c r="S19" s="4">
        <v>1593</v>
      </c>
      <c r="U19" s="6" t="s">
        <v>30</v>
      </c>
      <c r="V19" s="7">
        <v>1824</v>
      </c>
      <c r="W19" s="7">
        <v>899</v>
      </c>
      <c r="X19" s="7">
        <v>926</v>
      </c>
      <c r="Y19" s="7">
        <v>840</v>
      </c>
      <c r="Z19" s="7">
        <v>810</v>
      </c>
      <c r="AA19" s="7">
        <v>696</v>
      </c>
      <c r="AB19" s="7">
        <v>556</v>
      </c>
      <c r="AC19" s="7">
        <v>544</v>
      </c>
      <c r="AD19" s="7">
        <v>656</v>
      </c>
      <c r="AE19" s="7">
        <v>1564</v>
      </c>
      <c r="AF19" s="7">
        <v>1700</v>
      </c>
      <c r="AG19" s="7">
        <v>1621</v>
      </c>
      <c r="AH19" s="7">
        <v>1622</v>
      </c>
      <c r="AJ19" s="6" t="s">
        <v>30</v>
      </c>
      <c r="AK19" s="7">
        <v>514</v>
      </c>
      <c r="AL19" s="7">
        <v>467</v>
      </c>
      <c r="AM19" s="7">
        <v>465</v>
      </c>
      <c r="AN19" s="7">
        <v>455</v>
      </c>
      <c r="AO19" s="7">
        <v>449</v>
      </c>
      <c r="AP19" s="7">
        <v>412</v>
      </c>
      <c r="AQ19" s="7">
        <v>296</v>
      </c>
      <c r="AR19" s="7">
        <v>459</v>
      </c>
      <c r="AS19" s="7">
        <v>1219</v>
      </c>
      <c r="AT19" s="7">
        <v>386</v>
      </c>
      <c r="AU19" s="7">
        <v>387</v>
      </c>
      <c r="AV19" s="7">
        <v>418</v>
      </c>
      <c r="AW19" s="7">
        <v>407</v>
      </c>
    </row>
    <row r="20" spans="6:49">
      <c r="F20" s="3" t="s">
        <v>31</v>
      </c>
      <c r="G20" s="4">
        <v>3717</v>
      </c>
      <c r="H20" s="4">
        <v>5546</v>
      </c>
      <c r="I20" s="4">
        <v>5625</v>
      </c>
      <c r="J20" s="4">
        <v>5575</v>
      </c>
      <c r="K20" s="4">
        <v>5744</v>
      </c>
      <c r="L20" s="4">
        <v>5894</v>
      </c>
      <c r="M20" s="4">
        <v>6193</v>
      </c>
      <c r="N20" s="4">
        <v>6267</v>
      </c>
      <c r="O20" s="4">
        <v>5900</v>
      </c>
      <c r="P20" s="4">
        <v>4012</v>
      </c>
      <c r="Q20" s="4">
        <v>3841</v>
      </c>
      <c r="R20" s="4">
        <v>4012</v>
      </c>
      <c r="S20" s="4">
        <v>3950</v>
      </c>
      <c r="U20" s="6" t="s">
        <v>31</v>
      </c>
      <c r="V20" s="7">
        <v>2531</v>
      </c>
      <c r="W20" s="7">
        <v>853</v>
      </c>
      <c r="X20" s="7">
        <v>800</v>
      </c>
      <c r="Y20" s="7">
        <v>830</v>
      </c>
      <c r="Z20" s="7">
        <v>793</v>
      </c>
      <c r="AA20" s="7">
        <v>740</v>
      </c>
      <c r="AB20" s="7">
        <v>522</v>
      </c>
      <c r="AC20" s="7">
        <v>497</v>
      </c>
      <c r="AD20" s="7">
        <v>448</v>
      </c>
      <c r="AE20" s="7">
        <v>798</v>
      </c>
      <c r="AF20" s="7">
        <v>799</v>
      </c>
      <c r="AG20" s="7">
        <v>800</v>
      </c>
      <c r="AH20" s="7">
        <v>806</v>
      </c>
      <c r="AJ20" s="6" t="s">
        <v>31</v>
      </c>
      <c r="AK20" s="7">
        <v>1004</v>
      </c>
      <c r="AL20" s="7">
        <v>861</v>
      </c>
      <c r="AM20" s="7">
        <v>897</v>
      </c>
      <c r="AN20" s="7">
        <v>884</v>
      </c>
      <c r="AO20" s="7">
        <v>802</v>
      </c>
      <c r="AP20" s="7">
        <v>663</v>
      </c>
      <c r="AQ20" s="7">
        <v>604</v>
      </c>
      <c r="AR20" s="7">
        <v>557</v>
      </c>
      <c r="AS20" s="7">
        <v>879</v>
      </c>
      <c r="AT20" s="7">
        <v>2413</v>
      </c>
      <c r="AU20" s="7">
        <v>2370</v>
      </c>
      <c r="AV20" s="7">
        <v>2465</v>
      </c>
      <c r="AW20" s="7">
        <v>2423</v>
      </c>
    </row>
    <row r="21" spans="6:49">
      <c r="F21" s="3" t="s">
        <v>32</v>
      </c>
      <c r="G21" s="4">
        <v>80</v>
      </c>
      <c r="H21" s="4">
        <v>146</v>
      </c>
      <c r="I21" s="4">
        <v>175</v>
      </c>
      <c r="J21" s="4">
        <v>140</v>
      </c>
      <c r="K21" s="4">
        <v>172</v>
      </c>
      <c r="L21" s="4">
        <v>159</v>
      </c>
      <c r="M21" s="4">
        <v>153</v>
      </c>
      <c r="N21" s="4">
        <v>133</v>
      </c>
      <c r="O21" s="4">
        <v>119</v>
      </c>
      <c r="P21" s="4">
        <v>95</v>
      </c>
      <c r="Q21" s="4">
        <v>83</v>
      </c>
      <c r="R21" s="4">
        <v>117</v>
      </c>
      <c r="S21" s="4">
        <v>101</v>
      </c>
      <c r="U21" s="6" t="s">
        <v>32</v>
      </c>
      <c r="V21" s="7">
        <v>311</v>
      </c>
      <c r="W21" s="7">
        <v>278</v>
      </c>
      <c r="X21" s="7">
        <v>285</v>
      </c>
      <c r="Y21" s="7">
        <v>266</v>
      </c>
      <c r="Z21" s="7">
        <v>274</v>
      </c>
      <c r="AA21" s="7">
        <v>274</v>
      </c>
      <c r="AB21" s="7">
        <v>287</v>
      </c>
      <c r="AC21" s="7">
        <v>289</v>
      </c>
      <c r="AD21" s="7">
        <v>275</v>
      </c>
      <c r="AE21" s="7">
        <v>311</v>
      </c>
      <c r="AF21" s="7">
        <v>298</v>
      </c>
      <c r="AG21" s="7">
        <v>287</v>
      </c>
      <c r="AH21" s="7">
        <v>286</v>
      </c>
      <c r="AJ21" s="6" t="s">
        <v>32</v>
      </c>
      <c r="AK21" s="7">
        <v>22</v>
      </c>
      <c r="AL21" s="7">
        <v>11</v>
      </c>
      <c r="AM21" s="7">
        <v>27</v>
      </c>
      <c r="AN21" s="7">
        <v>19</v>
      </c>
      <c r="AO21" s="7">
        <v>16</v>
      </c>
      <c r="AP21" s="7">
        <v>13</v>
      </c>
      <c r="AQ21" s="7">
        <v>18</v>
      </c>
      <c r="AR21" s="7">
        <v>22</v>
      </c>
      <c r="AS21" s="7">
        <v>21</v>
      </c>
      <c r="AT21" s="7">
        <v>27</v>
      </c>
      <c r="AU21" s="7">
        <v>31</v>
      </c>
      <c r="AV21" s="7">
        <v>23</v>
      </c>
      <c r="AW21" s="7">
        <v>26</v>
      </c>
    </row>
    <row r="22" spans="6:49">
      <c r="F22" s="3" t="s">
        <v>33</v>
      </c>
      <c r="G22" s="4">
        <v>97</v>
      </c>
      <c r="H22" s="4">
        <v>319</v>
      </c>
      <c r="I22" s="4">
        <v>356</v>
      </c>
      <c r="J22" s="4">
        <v>341</v>
      </c>
      <c r="K22" s="4">
        <v>396</v>
      </c>
      <c r="L22" s="4">
        <v>383</v>
      </c>
      <c r="M22" s="4">
        <v>241</v>
      </c>
      <c r="N22" s="4">
        <v>214</v>
      </c>
      <c r="O22" s="4">
        <v>229</v>
      </c>
      <c r="P22" s="4">
        <v>180</v>
      </c>
      <c r="Q22" s="4">
        <v>166</v>
      </c>
      <c r="R22" s="4">
        <v>224</v>
      </c>
      <c r="S22" s="4">
        <v>222</v>
      </c>
      <c r="U22" s="6" t="s">
        <v>33</v>
      </c>
      <c r="V22" s="7">
        <v>823</v>
      </c>
      <c r="W22" s="7">
        <v>567</v>
      </c>
      <c r="X22" s="7">
        <v>549</v>
      </c>
      <c r="Y22" s="7">
        <v>580</v>
      </c>
      <c r="Z22" s="7">
        <v>512</v>
      </c>
      <c r="AA22" s="7">
        <v>539</v>
      </c>
      <c r="AB22" s="7">
        <v>677</v>
      </c>
      <c r="AC22" s="7">
        <v>667</v>
      </c>
      <c r="AD22" s="7">
        <v>698</v>
      </c>
      <c r="AE22" s="7">
        <v>736</v>
      </c>
      <c r="AF22" s="7">
        <v>664</v>
      </c>
      <c r="AG22" s="7">
        <v>726</v>
      </c>
      <c r="AH22" s="7">
        <v>728</v>
      </c>
      <c r="AJ22" s="6" t="s">
        <v>33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</row>
    <row r="23" spans="6:49">
      <c r="F23" s="3" t="s">
        <v>34</v>
      </c>
      <c r="G23" s="4">
        <v>108</v>
      </c>
      <c r="H23" s="4">
        <v>340</v>
      </c>
      <c r="I23" s="4">
        <v>329</v>
      </c>
      <c r="J23" s="4">
        <v>385</v>
      </c>
      <c r="K23" s="4">
        <v>369</v>
      </c>
      <c r="L23" s="4">
        <v>430</v>
      </c>
      <c r="M23" s="4">
        <v>258</v>
      </c>
      <c r="N23" s="4">
        <v>220</v>
      </c>
      <c r="O23" s="4">
        <v>211</v>
      </c>
      <c r="P23" s="4">
        <v>205</v>
      </c>
      <c r="Q23" s="4">
        <v>200</v>
      </c>
      <c r="R23" s="4">
        <v>168</v>
      </c>
      <c r="S23" s="4">
        <v>197</v>
      </c>
      <c r="U23" s="6" t="s">
        <v>34</v>
      </c>
      <c r="V23" s="7">
        <v>746</v>
      </c>
      <c r="W23" s="7">
        <v>602</v>
      </c>
      <c r="X23" s="7">
        <v>517</v>
      </c>
      <c r="Y23" s="7">
        <v>501</v>
      </c>
      <c r="Z23" s="7">
        <v>547</v>
      </c>
      <c r="AA23" s="7">
        <v>555</v>
      </c>
      <c r="AB23" s="7">
        <v>686</v>
      </c>
      <c r="AC23" s="7">
        <v>688</v>
      </c>
      <c r="AD23" s="7">
        <v>672</v>
      </c>
      <c r="AE23" s="7">
        <v>727</v>
      </c>
      <c r="AF23" s="7">
        <v>748</v>
      </c>
      <c r="AG23" s="7">
        <v>691</v>
      </c>
      <c r="AH23" s="7">
        <v>735</v>
      </c>
      <c r="AJ23" s="6" t="s">
        <v>34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</row>
    <row r="24" spans="6:49">
      <c r="F24" s="3" t="s">
        <v>35</v>
      </c>
      <c r="G24" s="4">
        <v>118</v>
      </c>
      <c r="H24" s="4">
        <v>329</v>
      </c>
      <c r="I24" s="4">
        <v>331</v>
      </c>
      <c r="J24" s="4">
        <v>347</v>
      </c>
      <c r="K24" s="4">
        <v>363</v>
      </c>
      <c r="L24" s="4">
        <v>371</v>
      </c>
      <c r="M24" s="4">
        <v>243</v>
      </c>
      <c r="N24" s="4">
        <v>204</v>
      </c>
      <c r="O24" s="4">
        <v>214</v>
      </c>
      <c r="P24" s="4">
        <v>218</v>
      </c>
      <c r="Q24" s="4">
        <v>179</v>
      </c>
      <c r="R24" s="4">
        <v>201</v>
      </c>
      <c r="S24" s="4">
        <v>206</v>
      </c>
      <c r="U24" s="6" t="s">
        <v>35</v>
      </c>
      <c r="V24" s="7">
        <v>768</v>
      </c>
      <c r="W24" s="7">
        <v>590</v>
      </c>
      <c r="X24" s="7">
        <v>555</v>
      </c>
      <c r="Y24" s="7">
        <v>541</v>
      </c>
      <c r="Z24" s="7">
        <v>514</v>
      </c>
      <c r="AA24" s="7">
        <v>532</v>
      </c>
      <c r="AB24" s="7">
        <v>671</v>
      </c>
      <c r="AC24" s="7">
        <v>689</v>
      </c>
      <c r="AD24" s="7">
        <v>720</v>
      </c>
      <c r="AE24" s="7">
        <v>699</v>
      </c>
      <c r="AF24" s="7">
        <v>717</v>
      </c>
      <c r="AG24" s="7">
        <v>723</v>
      </c>
      <c r="AH24" s="7">
        <v>675</v>
      </c>
      <c r="AJ24" s="6" t="s">
        <v>35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</row>
    <row r="25" spans="6:49">
      <c r="F25" s="3" t="s">
        <v>36</v>
      </c>
      <c r="G25" s="4">
        <v>98</v>
      </c>
      <c r="H25" s="4">
        <v>308</v>
      </c>
      <c r="I25" s="4">
        <v>342</v>
      </c>
      <c r="J25" s="4">
        <v>354</v>
      </c>
      <c r="K25" s="4">
        <v>407</v>
      </c>
      <c r="L25" s="4">
        <v>382</v>
      </c>
      <c r="M25" s="4">
        <v>252</v>
      </c>
      <c r="N25" s="4">
        <v>214</v>
      </c>
      <c r="O25" s="4">
        <v>227</v>
      </c>
      <c r="P25" s="4">
        <v>212</v>
      </c>
      <c r="Q25" s="4">
        <v>199</v>
      </c>
      <c r="R25" s="4">
        <v>215</v>
      </c>
      <c r="S25" s="4">
        <v>206</v>
      </c>
      <c r="U25" s="6" t="s">
        <v>36</v>
      </c>
      <c r="V25" s="7">
        <v>771</v>
      </c>
      <c r="W25" s="7">
        <v>594</v>
      </c>
      <c r="X25" s="7">
        <v>553</v>
      </c>
      <c r="Y25" s="7">
        <v>587</v>
      </c>
      <c r="Z25" s="7">
        <v>519</v>
      </c>
      <c r="AA25" s="7">
        <v>531</v>
      </c>
      <c r="AB25" s="7">
        <v>668</v>
      </c>
      <c r="AC25" s="7">
        <v>664</v>
      </c>
      <c r="AD25" s="7">
        <v>690</v>
      </c>
      <c r="AE25" s="7">
        <v>701</v>
      </c>
      <c r="AF25" s="7">
        <v>709</v>
      </c>
      <c r="AG25" s="7">
        <v>735</v>
      </c>
      <c r="AH25" s="7">
        <v>738</v>
      </c>
      <c r="AJ25" s="6" t="s">
        <v>36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</row>
    <row r="26" spans="6:49">
      <c r="F26" s="3" t="s">
        <v>37</v>
      </c>
      <c r="G26" s="4">
        <v>94</v>
      </c>
      <c r="H26" s="4">
        <v>339</v>
      </c>
      <c r="I26" s="4">
        <v>376</v>
      </c>
      <c r="J26" s="4">
        <v>377</v>
      </c>
      <c r="K26" s="4">
        <v>353</v>
      </c>
      <c r="L26" s="4">
        <v>378</v>
      </c>
      <c r="M26" s="4">
        <v>251</v>
      </c>
      <c r="N26" s="4">
        <v>226</v>
      </c>
      <c r="O26" s="4">
        <v>223</v>
      </c>
      <c r="P26" s="4">
        <v>211</v>
      </c>
      <c r="Q26" s="4">
        <v>184</v>
      </c>
      <c r="R26" s="4">
        <v>175</v>
      </c>
      <c r="S26" s="4">
        <v>195</v>
      </c>
      <c r="U26" s="6" t="s">
        <v>37</v>
      </c>
      <c r="V26" s="7">
        <v>666</v>
      </c>
      <c r="W26" s="7">
        <v>426</v>
      </c>
      <c r="X26" s="7">
        <v>468</v>
      </c>
      <c r="Y26" s="7">
        <v>427</v>
      </c>
      <c r="Z26" s="7">
        <v>438</v>
      </c>
      <c r="AA26" s="7">
        <v>379</v>
      </c>
      <c r="AB26" s="7">
        <v>328</v>
      </c>
      <c r="AC26" s="7">
        <v>619</v>
      </c>
      <c r="AD26" s="7">
        <v>602</v>
      </c>
      <c r="AE26" s="7">
        <v>643</v>
      </c>
      <c r="AF26" s="7">
        <v>607</v>
      </c>
      <c r="AG26" s="7">
        <v>641</v>
      </c>
      <c r="AH26" s="7">
        <v>640</v>
      </c>
      <c r="AJ26" s="6" t="s">
        <v>37</v>
      </c>
      <c r="AK26" s="7">
        <v>109</v>
      </c>
      <c r="AL26" s="7">
        <v>131</v>
      </c>
      <c r="AM26" s="7">
        <v>153</v>
      </c>
      <c r="AN26" s="7">
        <v>121</v>
      </c>
      <c r="AO26" s="7">
        <v>101</v>
      </c>
      <c r="AP26" s="7">
        <v>136</v>
      </c>
      <c r="AQ26" s="7">
        <v>341</v>
      </c>
      <c r="AR26" s="7">
        <v>110</v>
      </c>
      <c r="AS26" s="7">
        <v>97</v>
      </c>
      <c r="AT26" s="7">
        <v>113</v>
      </c>
      <c r="AU26" s="7">
        <v>113</v>
      </c>
      <c r="AV26" s="7">
        <v>108</v>
      </c>
      <c r="AW26" s="7">
        <v>109</v>
      </c>
    </row>
    <row r="27" spans="6:49">
      <c r="F27" s="3" t="s">
        <v>38</v>
      </c>
      <c r="G27" s="4">
        <v>200</v>
      </c>
      <c r="H27" s="4">
        <v>442</v>
      </c>
      <c r="I27" s="4">
        <v>478</v>
      </c>
      <c r="J27" s="4">
        <v>478</v>
      </c>
      <c r="K27" s="4">
        <v>464</v>
      </c>
      <c r="L27" s="4">
        <v>535</v>
      </c>
      <c r="M27" s="4">
        <v>651</v>
      </c>
      <c r="N27" s="4">
        <v>334</v>
      </c>
      <c r="O27" s="4">
        <v>302</v>
      </c>
      <c r="P27" s="4">
        <v>283</v>
      </c>
      <c r="Q27" s="4">
        <v>305</v>
      </c>
      <c r="R27" s="4">
        <v>317</v>
      </c>
      <c r="S27" s="4">
        <v>317</v>
      </c>
      <c r="U27" s="6" t="s">
        <v>38</v>
      </c>
      <c r="V27" s="7">
        <v>547</v>
      </c>
      <c r="W27" s="7">
        <v>313</v>
      </c>
      <c r="X27" s="7">
        <v>307</v>
      </c>
      <c r="Y27" s="7">
        <v>282</v>
      </c>
      <c r="Z27" s="7">
        <v>325</v>
      </c>
      <c r="AA27" s="7">
        <v>268</v>
      </c>
      <c r="AB27" s="7">
        <v>200</v>
      </c>
      <c r="AC27" s="7">
        <v>223</v>
      </c>
      <c r="AD27" s="7">
        <v>551</v>
      </c>
      <c r="AE27" s="7">
        <v>511</v>
      </c>
      <c r="AF27" s="7">
        <v>506</v>
      </c>
      <c r="AG27" s="7">
        <v>527</v>
      </c>
      <c r="AH27" s="7">
        <v>501</v>
      </c>
      <c r="AJ27" s="6" t="s">
        <v>38</v>
      </c>
      <c r="AK27" s="7">
        <v>113</v>
      </c>
      <c r="AL27" s="7">
        <v>123</v>
      </c>
      <c r="AM27" s="7">
        <v>134</v>
      </c>
      <c r="AN27" s="7">
        <v>123</v>
      </c>
      <c r="AO27" s="7">
        <v>101</v>
      </c>
      <c r="AP27" s="7">
        <v>93</v>
      </c>
      <c r="AQ27" s="7">
        <v>110</v>
      </c>
      <c r="AR27" s="7">
        <v>343</v>
      </c>
      <c r="AS27" s="7">
        <v>126</v>
      </c>
      <c r="AT27" s="7">
        <v>107</v>
      </c>
      <c r="AU27" s="7">
        <v>93</v>
      </c>
      <c r="AV27" s="7">
        <v>104</v>
      </c>
      <c r="AW27" s="7">
        <v>98</v>
      </c>
    </row>
    <row r="28" spans="6:49">
      <c r="F28" s="3" t="s">
        <v>39</v>
      </c>
      <c r="G28" s="4">
        <v>354</v>
      </c>
      <c r="H28" s="4">
        <v>552</v>
      </c>
      <c r="I28" s="4">
        <v>586</v>
      </c>
      <c r="J28" s="4">
        <v>564</v>
      </c>
      <c r="K28" s="4">
        <v>601</v>
      </c>
      <c r="L28" s="4">
        <v>600</v>
      </c>
      <c r="M28" s="4">
        <v>674</v>
      </c>
      <c r="N28" s="4">
        <v>616</v>
      </c>
      <c r="O28" s="4">
        <v>446</v>
      </c>
      <c r="P28" s="4">
        <v>392</v>
      </c>
      <c r="Q28" s="4">
        <v>391</v>
      </c>
      <c r="R28" s="4">
        <v>405</v>
      </c>
      <c r="S28" s="4">
        <v>383</v>
      </c>
      <c r="U28" s="6" t="s">
        <v>39</v>
      </c>
      <c r="V28" s="7">
        <v>461</v>
      </c>
      <c r="W28" s="7">
        <v>193</v>
      </c>
      <c r="X28" s="7">
        <v>236</v>
      </c>
      <c r="Y28" s="7">
        <v>211</v>
      </c>
      <c r="Z28" s="7">
        <v>220</v>
      </c>
      <c r="AA28" s="7">
        <v>190</v>
      </c>
      <c r="AB28" s="7">
        <v>155</v>
      </c>
      <c r="AC28" s="7">
        <v>127</v>
      </c>
      <c r="AD28" s="7">
        <v>172</v>
      </c>
      <c r="AE28" s="7">
        <v>386</v>
      </c>
      <c r="AF28" s="7">
        <v>398</v>
      </c>
      <c r="AG28" s="7">
        <v>433</v>
      </c>
      <c r="AH28" s="7">
        <v>374</v>
      </c>
      <c r="AJ28" s="6" t="s">
        <v>39</v>
      </c>
      <c r="AK28" s="7">
        <v>116</v>
      </c>
      <c r="AL28" s="7">
        <v>121</v>
      </c>
      <c r="AM28" s="7">
        <v>126</v>
      </c>
      <c r="AN28" s="7">
        <v>104</v>
      </c>
      <c r="AO28" s="7">
        <v>102</v>
      </c>
      <c r="AP28" s="7">
        <v>98</v>
      </c>
      <c r="AQ28" s="7">
        <v>66</v>
      </c>
      <c r="AR28" s="7">
        <v>100</v>
      </c>
      <c r="AS28" s="7">
        <v>335</v>
      </c>
      <c r="AT28" s="7">
        <v>124</v>
      </c>
      <c r="AU28" s="7">
        <v>99</v>
      </c>
      <c r="AV28" s="7">
        <v>102</v>
      </c>
      <c r="AW28" s="7">
        <v>100</v>
      </c>
    </row>
    <row r="29" spans="6:49">
      <c r="F29" s="3" t="s">
        <v>40</v>
      </c>
      <c r="G29" s="4">
        <v>418</v>
      </c>
      <c r="H29" s="4">
        <v>710</v>
      </c>
      <c r="I29" s="4">
        <v>645</v>
      </c>
      <c r="J29" s="4">
        <v>755</v>
      </c>
      <c r="K29" s="4">
        <v>653</v>
      </c>
      <c r="L29" s="4">
        <v>753</v>
      </c>
      <c r="M29" s="4">
        <v>794</v>
      </c>
      <c r="N29" s="4">
        <v>788</v>
      </c>
      <c r="O29" s="4">
        <v>700</v>
      </c>
      <c r="P29" s="4">
        <v>492</v>
      </c>
      <c r="Q29" s="4">
        <v>529</v>
      </c>
      <c r="R29" s="4">
        <v>512</v>
      </c>
      <c r="S29" s="4">
        <v>517</v>
      </c>
      <c r="U29" s="6" t="s">
        <v>40</v>
      </c>
      <c r="V29" s="7">
        <v>314</v>
      </c>
      <c r="W29" s="7">
        <v>116</v>
      </c>
      <c r="X29" s="7">
        <v>116</v>
      </c>
      <c r="Y29" s="7">
        <v>103</v>
      </c>
      <c r="Z29" s="7">
        <v>96</v>
      </c>
      <c r="AA29" s="7">
        <v>90</v>
      </c>
      <c r="AB29" s="7">
        <v>65</v>
      </c>
      <c r="AC29" s="7">
        <v>65</v>
      </c>
      <c r="AD29" s="7">
        <v>57</v>
      </c>
      <c r="AE29" s="7">
        <v>107</v>
      </c>
      <c r="AF29" s="7">
        <v>95</v>
      </c>
      <c r="AG29" s="7">
        <v>101</v>
      </c>
      <c r="AH29" s="7">
        <v>118</v>
      </c>
      <c r="AJ29" s="6" t="s">
        <v>40</v>
      </c>
      <c r="AK29" s="7">
        <v>128</v>
      </c>
      <c r="AL29" s="7">
        <v>124</v>
      </c>
      <c r="AM29" s="7">
        <v>113</v>
      </c>
      <c r="AN29" s="7">
        <v>97</v>
      </c>
      <c r="AO29" s="7">
        <v>80</v>
      </c>
      <c r="AP29" s="7">
        <v>95</v>
      </c>
      <c r="AQ29" s="7">
        <v>63</v>
      </c>
      <c r="AR29" s="7">
        <v>59</v>
      </c>
      <c r="AS29" s="7">
        <v>86</v>
      </c>
      <c r="AT29" s="7">
        <v>320</v>
      </c>
      <c r="AU29" s="7">
        <v>308</v>
      </c>
      <c r="AV29" s="7">
        <v>312</v>
      </c>
      <c r="AW29" s="7">
        <v>326</v>
      </c>
    </row>
    <row r="30" spans="6:49">
      <c r="F30" s="3" t="s">
        <v>41</v>
      </c>
      <c r="G30" s="4">
        <v>2445</v>
      </c>
      <c r="H30" s="4">
        <v>3756</v>
      </c>
      <c r="I30" s="4">
        <v>3709</v>
      </c>
      <c r="J30" s="4">
        <v>3697</v>
      </c>
      <c r="K30" s="4">
        <v>3785</v>
      </c>
      <c r="L30" s="4">
        <v>3603</v>
      </c>
      <c r="M30" s="4">
        <v>3713</v>
      </c>
      <c r="N30" s="4">
        <v>3714</v>
      </c>
      <c r="O30" s="4">
        <v>3725</v>
      </c>
      <c r="P30" s="4">
        <v>3440</v>
      </c>
      <c r="Q30" s="4">
        <v>3378</v>
      </c>
      <c r="R30" s="4">
        <v>3319</v>
      </c>
      <c r="S30" s="4">
        <v>3266</v>
      </c>
      <c r="U30" s="6" t="s">
        <v>41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J30" s="6" t="s">
        <v>41</v>
      </c>
      <c r="AK30" s="7">
        <v>1043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223</v>
      </c>
      <c r="AU30" s="7">
        <v>282</v>
      </c>
      <c r="AV30" s="7">
        <v>274</v>
      </c>
      <c r="AW30" s="7">
        <v>270</v>
      </c>
    </row>
    <row r="32" spans="6:49">
      <c r="F32" s="1" t="s">
        <v>42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U32" s="1" t="s">
        <v>43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J32" s="1" t="s">
        <v>44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6:49">
      <c r="F33" s="2"/>
      <c r="G33" s="2" t="s">
        <v>4</v>
      </c>
      <c r="H33" s="2">
        <v>2</v>
      </c>
      <c r="I33" s="2">
        <v>3</v>
      </c>
      <c r="J33" s="2">
        <v>4</v>
      </c>
      <c r="K33" s="2">
        <v>5</v>
      </c>
      <c r="L33" s="2">
        <v>6</v>
      </c>
      <c r="M33" s="2">
        <v>7</v>
      </c>
      <c r="N33" s="2">
        <v>8</v>
      </c>
      <c r="O33" s="2">
        <v>9</v>
      </c>
      <c r="P33" s="2">
        <v>10</v>
      </c>
      <c r="Q33" s="2" t="s">
        <v>5</v>
      </c>
      <c r="R33" s="2" t="s">
        <v>6</v>
      </c>
      <c r="S33" s="2" t="s">
        <v>7</v>
      </c>
      <c r="U33" s="5"/>
      <c r="V33" s="5" t="s">
        <v>4</v>
      </c>
      <c r="W33" s="5">
        <v>2</v>
      </c>
      <c r="X33" s="5">
        <v>3</v>
      </c>
      <c r="Y33" s="5">
        <v>4</v>
      </c>
      <c r="Z33" s="5">
        <v>5</v>
      </c>
      <c r="AA33" s="5">
        <v>6</v>
      </c>
      <c r="AB33" s="5">
        <v>7</v>
      </c>
      <c r="AC33" s="5">
        <v>8</v>
      </c>
      <c r="AD33" s="5">
        <v>9</v>
      </c>
      <c r="AE33" s="5">
        <v>10</v>
      </c>
      <c r="AF33" s="5" t="s">
        <v>5</v>
      </c>
      <c r="AG33" s="5" t="s">
        <v>6</v>
      </c>
      <c r="AH33" s="5" t="s">
        <v>7</v>
      </c>
      <c r="AJ33" s="8"/>
      <c r="AK33" s="8" t="s">
        <v>4</v>
      </c>
      <c r="AL33" s="8">
        <v>2</v>
      </c>
      <c r="AM33" s="8">
        <v>3</v>
      </c>
      <c r="AN33" s="8">
        <v>4</v>
      </c>
      <c r="AO33" s="8">
        <v>5</v>
      </c>
      <c r="AP33" s="8">
        <v>6</v>
      </c>
      <c r="AQ33" s="8">
        <v>7</v>
      </c>
      <c r="AR33" s="8">
        <v>8</v>
      </c>
      <c r="AS33" s="8">
        <v>9</v>
      </c>
      <c r="AT33" s="8">
        <v>10</v>
      </c>
      <c r="AU33" s="8" t="s">
        <v>5</v>
      </c>
      <c r="AV33" s="8" t="s">
        <v>6</v>
      </c>
      <c r="AW33" s="8" t="s">
        <v>7</v>
      </c>
    </row>
    <row r="34" spans="6:49">
      <c r="F34" s="3" t="s">
        <v>9</v>
      </c>
      <c r="G34" s="11">
        <f>G4/SUM(G4,V4,AK4)</f>
        <v>0.10526315789473684</v>
      </c>
      <c r="H34" s="11">
        <f t="shared" ref="H34:S34" si="1">H4/SUM(H4,W4,AL4)</f>
        <v>0.35135135135135137</v>
      </c>
      <c r="I34" s="11">
        <f t="shared" si="1"/>
        <v>0.37433155080213903</v>
      </c>
      <c r="J34" s="11">
        <f t="shared" si="1"/>
        <v>0.3235294117647059</v>
      </c>
      <c r="K34" s="11">
        <f t="shared" si="1"/>
        <v>0.41711229946524064</v>
      </c>
      <c r="L34" s="11">
        <f t="shared" si="1"/>
        <v>0.42105263157894735</v>
      </c>
      <c r="M34" s="11">
        <f t="shared" si="1"/>
        <v>0.28506787330316741</v>
      </c>
      <c r="N34" s="11">
        <f t="shared" si="1"/>
        <v>0.20100502512562815</v>
      </c>
      <c r="O34" s="11">
        <f t="shared" si="1"/>
        <v>0.20098039215686275</v>
      </c>
      <c r="P34" s="11">
        <f t="shared" si="1"/>
        <v>0.19718309859154928</v>
      </c>
      <c r="Q34" s="11">
        <f t="shared" si="1"/>
        <v>0.17289719626168223</v>
      </c>
      <c r="R34" s="11">
        <f t="shared" si="1"/>
        <v>0.1407035175879397</v>
      </c>
      <c r="S34" s="11">
        <f t="shared" si="1"/>
        <v>0.19117647058823528</v>
      </c>
      <c r="U34" s="6" t="s">
        <v>9</v>
      </c>
      <c r="V34" s="12">
        <f>V4/SUM(G4,V4,AK4)</f>
        <v>0.89473684210526316</v>
      </c>
      <c r="W34" s="12">
        <f t="shared" ref="W34:AH34" si="2">W4/SUM(H4,W4,AL4)</f>
        <v>0.64864864864864868</v>
      </c>
      <c r="X34" s="12">
        <f t="shared" si="2"/>
        <v>0.62566844919786091</v>
      </c>
      <c r="Y34" s="12">
        <f t="shared" si="2"/>
        <v>0.67647058823529416</v>
      </c>
      <c r="Z34" s="12">
        <f t="shared" si="2"/>
        <v>0.58288770053475936</v>
      </c>
      <c r="AA34" s="12">
        <f t="shared" si="2"/>
        <v>0.57894736842105265</v>
      </c>
      <c r="AB34" s="12">
        <f t="shared" si="2"/>
        <v>0.71493212669683259</v>
      </c>
      <c r="AC34" s="12">
        <f t="shared" si="2"/>
        <v>0.79899497487437188</v>
      </c>
      <c r="AD34" s="12">
        <f t="shared" si="2"/>
        <v>0.7990196078431373</v>
      </c>
      <c r="AE34" s="12">
        <f t="shared" si="2"/>
        <v>0.80281690140845074</v>
      </c>
      <c r="AF34" s="12">
        <f t="shared" si="2"/>
        <v>0.82710280373831779</v>
      </c>
      <c r="AG34" s="12">
        <f t="shared" si="2"/>
        <v>0.85929648241206025</v>
      </c>
      <c r="AH34" s="12">
        <f t="shared" si="2"/>
        <v>0.80882352941176472</v>
      </c>
      <c r="AJ34" s="6" t="s">
        <v>9</v>
      </c>
      <c r="AK34" s="12">
        <f>AK4/SUM(G4,V4,AK4)</f>
        <v>0</v>
      </c>
      <c r="AL34" s="12">
        <f t="shared" ref="AL34:AW34" si="3">AL4/SUM(H4,W4,AL4)</f>
        <v>0</v>
      </c>
      <c r="AM34" s="12">
        <f t="shared" si="3"/>
        <v>0</v>
      </c>
      <c r="AN34" s="12">
        <f t="shared" si="3"/>
        <v>0</v>
      </c>
      <c r="AO34" s="12">
        <f t="shared" si="3"/>
        <v>0</v>
      </c>
      <c r="AP34" s="12">
        <f t="shared" si="3"/>
        <v>0</v>
      </c>
      <c r="AQ34" s="12">
        <f t="shared" si="3"/>
        <v>0</v>
      </c>
      <c r="AR34" s="12">
        <f t="shared" si="3"/>
        <v>0</v>
      </c>
      <c r="AS34" s="12">
        <f t="shared" si="3"/>
        <v>0</v>
      </c>
      <c r="AT34" s="12">
        <f t="shared" si="3"/>
        <v>0</v>
      </c>
      <c r="AU34" s="12">
        <f t="shared" si="3"/>
        <v>0</v>
      </c>
      <c r="AV34" s="12">
        <f t="shared" si="3"/>
        <v>0</v>
      </c>
      <c r="AW34" s="12">
        <f t="shared" si="3"/>
        <v>0</v>
      </c>
    </row>
    <row r="35" spans="6:49">
      <c r="F35" s="3" t="s">
        <v>11</v>
      </c>
      <c r="G35" s="11">
        <f t="shared" ref="G35:G59" si="4">G5/SUM(G5,V5,AK5)</f>
        <v>9.0624999999999997E-2</v>
      </c>
      <c r="H35" s="11">
        <f t="shared" ref="H35:H60" si="5">H5/SUM(H5,W5,AL5)</f>
        <v>0.36157024793388431</v>
      </c>
      <c r="I35" s="11">
        <f t="shared" ref="I35:I60" si="6">I5/SUM(I5,X5,AM5)</f>
        <v>0.37447698744769875</v>
      </c>
      <c r="J35" s="11">
        <f t="shared" ref="J35:J60" si="7">J5/SUM(J5,Y5,AN5)</f>
        <v>0.3983739837398374</v>
      </c>
      <c r="K35" s="11">
        <f t="shared" ref="K35:K60" si="8">K5/SUM(K5,Z5,AO5)</f>
        <v>0.42468619246861927</v>
      </c>
      <c r="L35" s="11">
        <f t="shared" ref="L35:L60" si="9">L5/SUM(L5,AA5,AP5)</f>
        <v>0.455078125</v>
      </c>
      <c r="M35" s="11">
        <f t="shared" ref="M35:M60" si="10">M5/SUM(M5,AB5,AQ5)</f>
        <v>0.21285140562248997</v>
      </c>
      <c r="N35" s="11">
        <f t="shared" ref="N35:N60" si="11">N5/SUM(N5,AC5,AR5)</f>
        <v>0.2189922480620155</v>
      </c>
      <c r="O35" s="11">
        <f t="shared" ref="O35:O60" si="12">O5/SUM(O5,AD5,AS5)</f>
        <v>0.27125506072874495</v>
      </c>
      <c r="P35" s="11">
        <f t="shared" ref="P35:P60" si="13">P5/SUM(P5,AE5,AT5)</f>
        <v>0.19767441860465115</v>
      </c>
      <c r="Q35" s="11">
        <f t="shared" ref="Q35:Q60" si="14">Q5/SUM(Q5,AF5,AU5)</f>
        <v>0.21095334685598377</v>
      </c>
      <c r="R35" s="11">
        <f t="shared" ref="R35:R60" si="15">R5/SUM(R5,AG5,AV5)</f>
        <v>0.18801652892561985</v>
      </c>
      <c r="S35" s="11">
        <f t="shared" ref="S35:S60" si="16">S5/SUM(S5,AH5,AW5)</f>
        <v>0.18114602587800369</v>
      </c>
      <c r="U35" s="6" t="s">
        <v>11</v>
      </c>
      <c r="V35" s="12">
        <f t="shared" ref="V35:V60" si="17">V5/SUM(G5,V5,AK5)</f>
        <v>0.90937500000000004</v>
      </c>
      <c r="W35" s="12">
        <f t="shared" ref="W35:W60" si="18">W5/SUM(H5,W5,AL5)</f>
        <v>0.63842975206611574</v>
      </c>
      <c r="X35" s="12">
        <f t="shared" ref="X35:X60" si="19">X5/SUM(I5,X5,AM5)</f>
        <v>0.62552301255230125</v>
      </c>
      <c r="Y35" s="12">
        <f t="shared" ref="Y35:Y60" si="20">Y5/SUM(J5,Y5,AN5)</f>
        <v>0.60162601626016265</v>
      </c>
      <c r="Z35" s="12">
        <f t="shared" ref="Z35:Z60" si="21">Z5/SUM(K5,Z5,AO5)</f>
        <v>0.57531380753138073</v>
      </c>
      <c r="AA35" s="12">
        <f t="shared" ref="AA35:AA60" si="22">AA5/SUM(L5,AA5,AP5)</f>
        <v>0.544921875</v>
      </c>
      <c r="AB35" s="12">
        <f t="shared" ref="AB35:AB60" si="23">AB5/SUM(M5,AB5,AQ5)</f>
        <v>0.78714859437751006</v>
      </c>
      <c r="AC35" s="12">
        <f t="shared" ref="AC35:AC60" si="24">AC5/SUM(N5,AC5,AR5)</f>
        <v>0.78100775193798455</v>
      </c>
      <c r="AD35" s="12">
        <f t="shared" ref="AD35:AD60" si="25">AD5/SUM(O5,AD5,AS5)</f>
        <v>0.72874493927125505</v>
      </c>
      <c r="AE35" s="12">
        <f t="shared" ref="AE35:AE60" si="26">AE5/SUM(P5,AE5,AT5)</f>
        <v>0.80232558139534882</v>
      </c>
      <c r="AF35" s="12">
        <f t="shared" ref="AF35:AF60" si="27">AF5/SUM(Q5,AF5,AU5)</f>
        <v>0.78904665314401623</v>
      </c>
      <c r="AG35" s="12">
        <f t="shared" ref="AG35:AG60" si="28">AG5/SUM(R5,AG5,AV5)</f>
        <v>0.81198347107438018</v>
      </c>
      <c r="AH35" s="12">
        <f t="shared" ref="AH35:AH60" si="29">AH5/SUM(S5,AH5,AW5)</f>
        <v>0.81885397412199634</v>
      </c>
      <c r="AJ35" s="6" t="s">
        <v>11</v>
      </c>
      <c r="AK35" s="12">
        <f t="shared" ref="AK35:AK60" si="30">AK5/SUM(G5,V5,AK5)</f>
        <v>0</v>
      </c>
      <c r="AL35" s="12">
        <f t="shared" ref="AL35:AL60" si="31">AL5/SUM(H5,W5,AL5)</f>
        <v>0</v>
      </c>
      <c r="AM35" s="12">
        <f t="shared" ref="AM35:AM60" si="32">AM5/SUM(I5,X5,AM5)</f>
        <v>0</v>
      </c>
      <c r="AN35" s="12">
        <f t="shared" ref="AN35:AN60" si="33">AN5/SUM(J5,Y5,AN5)</f>
        <v>0</v>
      </c>
      <c r="AO35" s="12">
        <f t="shared" ref="AO35:AO60" si="34">AO5/SUM(K5,Z5,AO5)</f>
        <v>0</v>
      </c>
      <c r="AP35" s="12">
        <f t="shared" ref="AP35:AP60" si="35">AP5/SUM(L5,AA5,AP5)</f>
        <v>0</v>
      </c>
      <c r="AQ35" s="12">
        <f t="shared" ref="AQ35:AQ60" si="36">AQ5/SUM(M5,AB5,AQ5)</f>
        <v>0</v>
      </c>
      <c r="AR35" s="12">
        <f t="shared" ref="AR35:AR60" si="37">AR5/SUM(N5,AC5,AR5)</f>
        <v>0</v>
      </c>
      <c r="AS35" s="12">
        <f t="shared" ref="AS35:AS60" si="38">AS5/SUM(O5,AD5,AS5)</f>
        <v>0</v>
      </c>
      <c r="AT35" s="12">
        <f t="shared" ref="AT35:AT60" si="39">AT5/SUM(P5,AE5,AT5)</f>
        <v>0</v>
      </c>
      <c r="AU35" s="12">
        <f t="shared" ref="AU35:AU60" si="40">AU5/SUM(Q5,AF5,AU5)</f>
        <v>0</v>
      </c>
      <c r="AV35" s="12">
        <f t="shared" ref="AV35:AV60" si="41">AV5/SUM(R5,AG5,AV5)</f>
        <v>0</v>
      </c>
      <c r="AW35" s="12">
        <f t="shared" ref="AW35:AW60" si="42">AW5/SUM(S5,AH5,AW5)</f>
        <v>0</v>
      </c>
    </row>
    <row r="36" spans="6:49">
      <c r="F36" s="3" t="s">
        <v>13</v>
      </c>
      <c r="G36" s="11">
        <f t="shared" si="4"/>
        <v>0.1</v>
      </c>
      <c r="H36" s="11">
        <f t="shared" si="5"/>
        <v>0.3402187120291616</v>
      </c>
      <c r="I36" s="11">
        <f t="shared" si="6"/>
        <v>0.36997635933806144</v>
      </c>
      <c r="J36" s="11">
        <f t="shared" si="7"/>
        <v>0.42545454545454547</v>
      </c>
      <c r="K36" s="11">
        <f t="shared" si="8"/>
        <v>0.41010575793184489</v>
      </c>
      <c r="L36" s="11">
        <f t="shared" si="9"/>
        <v>0.43211334120425027</v>
      </c>
      <c r="M36" s="11">
        <f t="shared" si="10"/>
        <v>0.20949074074074073</v>
      </c>
      <c r="N36" s="11">
        <f t="shared" si="11"/>
        <v>0.22166246851385391</v>
      </c>
      <c r="O36" s="11">
        <f t="shared" si="12"/>
        <v>0.20962199312714777</v>
      </c>
      <c r="P36" s="11">
        <f t="shared" si="13"/>
        <v>0.19646799116997793</v>
      </c>
      <c r="Q36" s="11">
        <f t="shared" si="14"/>
        <v>0.18244803695150116</v>
      </c>
      <c r="R36" s="11">
        <f t="shared" si="15"/>
        <v>0.20744680851063829</v>
      </c>
      <c r="S36" s="11">
        <f t="shared" si="16"/>
        <v>0.20284697508896798</v>
      </c>
      <c r="U36" s="6" t="s">
        <v>13</v>
      </c>
      <c r="V36" s="12">
        <f t="shared" si="17"/>
        <v>0.88823529411764701</v>
      </c>
      <c r="W36" s="12">
        <f t="shared" si="18"/>
        <v>0.63912515188335361</v>
      </c>
      <c r="X36" s="12">
        <f t="shared" si="19"/>
        <v>0.61229314420803782</v>
      </c>
      <c r="Y36" s="12">
        <f t="shared" si="20"/>
        <v>0.55878787878787883</v>
      </c>
      <c r="Z36" s="12">
        <f t="shared" si="21"/>
        <v>0.57814336075205641</v>
      </c>
      <c r="AA36" s="12">
        <f t="shared" si="22"/>
        <v>0.54663518299881941</v>
      </c>
      <c r="AB36" s="12">
        <f t="shared" si="23"/>
        <v>0.74537037037037035</v>
      </c>
      <c r="AC36" s="12">
        <f t="shared" si="24"/>
        <v>0.75818639798488663</v>
      </c>
      <c r="AD36" s="12">
        <f t="shared" si="25"/>
        <v>0.77434135166093931</v>
      </c>
      <c r="AE36" s="12">
        <f t="shared" si="26"/>
        <v>0.78697571743929362</v>
      </c>
      <c r="AF36" s="12">
        <f t="shared" si="27"/>
        <v>0.8060046189376443</v>
      </c>
      <c r="AG36" s="12">
        <f t="shared" si="28"/>
        <v>0.77872340425531916</v>
      </c>
      <c r="AH36" s="12">
        <f t="shared" si="29"/>
        <v>0.78410438908659552</v>
      </c>
      <c r="AJ36" s="6" t="s">
        <v>13</v>
      </c>
      <c r="AK36" s="12">
        <f t="shared" si="30"/>
        <v>1.1764705882352941E-2</v>
      </c>
      <c r="AL36" s="12">
        <f t="shared" si="31"/>
        <v>2.0656136087484813E-2</v>
      </c>
      <c r="AM36" s="12">
        <f t="shared" si="32"/>
        <v>1.7730496453900711E-2</v>
      </c>
      <c r="AN36" s="12">
        <f t="shared" si="33"/>
        <v>1.5757575757575758E-2</v>
      </c>
      <c r="AO36" s="12">
        <f t="shared" si="34"/>
        <v>1.1750881316098707E-2</v>
      </c>
      <c r="AP36" s="12">
        <f t="shared" si="35"/>
        <v>2.1251475796930343E-2</v>
      </c>
      <c r="AQ36" s="12">
        <f t="shared" si="36"/>
        <v>4.5138888888888888E-2</v>
      </c>
      <c r="AR36" s="12">
        <f t="shared" si="37"/>
        <v>2.0151133501259445E-2</v>
      </c>
      <c r="AS36" s="12">
        <f t="shared" si="38"/>
        <v>1.6036655211912942E-2</v>
      </c>
      <c r="AT36" s="12">
        <f t="shared" si="39"/>
        <v>1.6556291390728478E-2</v>
      </c>
      <c r="AU36" s="12">
        <f t="shared" si="40"/>
        <v>1.1547344110854504E-2</v>
      </c>
      <c r="AV36" s="12">
        <f t="shared" si="41"/>
        <v>1.3829787234042552E-2</v>
      </c>
      <c r="AW36" s="12">
        <f t="shared" si="42"/>
        <v>1.3048635824436536E-2</v>
      </c>
    </row>
    <row r="37" spans="6:49">
      <c r="F37" s="3" t="s">
        <v>15</v>
      </c>
      <c r="G37" s="11">
        <f t="shared" si="4"/>
        <v>0.11491935483870967</v>
      </c>
      <c r="H37" s="11">
        <f t="shared" si="5"/>
        <v>0.37140575079872207</v>
      </c>
      <c r="I37" s="11">
        <f t="shared" si="6"/>
        <v>0.36970172684458397</v>
      </c>
      <c r="J37" s="11">
        <f t="shared" si="7"/>
        <v>0.40271493212669685</v>
      </c>
      <c r="K37" s="11">
        <f t="shared" si="8"/>
        <v>0.43531202435312022</v>
      </c>
      <c r="L37" s="11">
        <f t="shared" si="9"/>
        <v>0.43557422969187676</v>
      </c>
      <c r="M37" s="11">
        <f t="shared" si="10"/>
        <v>0.29464906184850592</v>
      </c>
      <c r="N37" s="11">
        <f t="shared" si="11"/>
        <v>0.26946564885496183</v>
      </c>
      <c r="O37" s="11">
        <f t="shared" si="12"/>
        <v>0.23927272727272728</v>
      </c>
      <c r="P37" s="11">
        <f t="shared" si="13"/>
        <v>0.22867132867132867</v>
      </c>
      <c r="Q37" s="11">
        <f t="shared" si="14"/>
        <v>0.21033740129217515</v>
      </c>
      <c r="R37" s="11">
        <f t="shared" si="15"/>
        <v>0.20083974807557733</v>
      </c>
      <c r="S37" s="11">
        <f t="shared" si="16"/>
        <v>0.23076923076923078</v>
      </c>
      <c r="U37" s="6" t="s">
        <v>15</v>
      </c>
      <c r="V37" s="12">
        <f t="shared" si="17"/>
        <v>0.842741935483871</v>
      </c>
      <c r="W37" s="12">
        <f t="shared" si="18"/>
        <v>0.56309904153354629</v>
      </c>
      <c r="X37" s="12">
        <f t="shared" si="19"/>
        <v>0.55494505494505497</v>
      </c>
      <c r="Y37" s="12">
        <f t="shared" si="20"/>
        <v>0.526395173453997</v>
      </c>
      <c r="Z37" s="12">
        <f t="shared" si="21"/>
        <v>0.5060882800608828</v>
      </c>
      <c r="AA37" s="12">
        <f t="shared" si="22"/>
        <v>0.47899159663865548</v>
      </c>
      <c r="AB37" s="12">
        <f t="shared" si="23"/>
        <v>0.51772063933287005</v>
      </c>
      <c r="AC37" s="12">
        <f t="shared" si="24"/>
        <v>0.64045801526717561</v>
      </c>
      <c r="AD37" s="12">
        <f t="shared" si="25"/>
        <v>0.68654545454545457</v>
      </c>
      <c r="AE37" s="12">
        <f t="shared" si="26"/>
        <v>0.72027972027972031</v>
      </c>
      <c r="AF37" s="12">
        <f t="shared" si="27"/>
        <v>0.73366834170854267</v>
      </c>
      <c r="AG37" s="12">
        <f t="shared" si="28"/>
        <v>0.74107767669699087</v>
      </c>
      <c r="AH37" s="12">
        <f t="shared" si="29"/>
        <v>0.71117561683599417</v>
      </c>
      <c r="AJ37" s="6" t="s">
        <v>15</v>
      </c>
      <c r="AK37" s="12">
        <f t="shared" si="30"/>
        <v>4.2338709677419352E-2</v>
      </c>
      <c r="AL37" s="12">
        <f t="shared" si="31"/>
        <v>6.5495207667731634E-2</v>
      </c>
      <c r="AM37" s="12">
        <f t="shared" si="32"/>
        <v>7.5353218210361061E-2</v>
      </c>
      <c r="AN37" s="12">
        <f t="shared" si="33"/>
        <v>7.0889894419306182E-2</v>
      </c>
      <c r="AO37" s="12">
        <f t="shared" si="34"/>
        <v>5.8599695585996953E-2</v>
      </c>
      <c r="AP37" s="12">
        <f t="shared" si="35"/>
        <v>8.5434173669467789E-2</v>
      </c>
      <c r="AQ37" s="12">
        <f t="shared" si="36"/>
        <v>0.18763029881862406</v>
      </c>
      <c r="AR37" s="12">
        <f t="shared" si="37"/>
        <v>9.0076335877862596E-2</v>
      </c>
      <c r="AS37" s="12">
        <f t="shared" si="38"/>
        <v>7.4181818181818182E-2</v>
      </c>
      <c r="AT37" s="12">
        <f t="shared" si="39"/>
        <v>5.1048951048951047E-2</v>
      </c>
      <c r="AU37" s="12">
        <f t="shared" si="40"/>
        <v>5.5994256999282122E-2</v>
      </c>
      <c r="AV37" s="12">
        <f t="shared" si="41"/>
        <v>5.8082575227431772E-2</v>
      </c>
      <c r="AW37" s="12">
        <f t="shared" si="42"/>
        <v>5.8055152394775038E-2</v>
      </c>
    </row>
    <row r="38" spans="6:49">
      <c r="F38" s="3" t="s">
        <v>17</v>
      </c>
      <c r="G38" s="11">
        <f t="shared" si="4"/>
        <v>0.17652717652717653</v>
      </c>
      <c r="H38" s="11">
        <f t="shared" si="5"/>
        <v>0.4334763948497854</v>
      </c>
      <c r="I38" s="11">
        <f t="shared" si="6"/>
        <v>0.48306878306878309</v>
      </c>
      <c r="J38" s="11">
        <f t="shared" si="7"/>
        <v>0.4790322580645161</v>
      </c>
      <c r="K38" s="11">
        <f t="shared" si="8"/>
        <v>0.48735511064278186</v>
      </c>
      <c r="L38" s="11">
        <f t="shared" si="9"/>
        <v>0.50976253298153029</v>
      </c>
      <c r="M38" s="11">
        <f t="shared" si="10"/>
        <v>0.47070914696813976</v>
      </c>
      <c r="N38" s="11">
        <f t="shared" si="11"/>
        <v>0.33700787401574805</v>
      </c>
      <c r="O38" s="11">
        <f t="shared" si="12"/>
        <v>0.30005173305742372</v>
      </c>
      <c r="P38" s="11">
        <f t="shared" si="13"/>
        <v>0.27357512953367874</v>
      </c>
      <c r="Q38" s="11">
        <f t="shared" si="14"/>
        <v>0.27033985581874359</v>
      </c>
      <c r="R38" s="11">
        <f t="shared" si="15"/>
        <v>0.25876288659793817</v>
      </c>
      <c r="S38" s="11">
        <f t="shared" si="16"/>
        <v>0.26838235294117646</v>
      </c>
      <c r="U38" s="6" t="s">
        <v>17</v>
      </c>
      <c r="V38" s="12">
        <f t="shared" si="17"/>
        <v>0.75036075036075034</v>
      </c>
      <c r="W38" s="12">
        <f t="shared" si="18"/>
        <v>0.48873390557939916</v>
      </c>
      <c r="X38" s="12">
        <f t="shared" si="19"/>
        <v>0.43492063492063493</v>
      </c>
      <c r="Y38" s="12">
        <f t="shared" si="20"/>
        <v>0.43924731182795701</v>
      </c>
      <c r="Z38" s="12">
        <f t="shared" si="21"/>
        <v>0.43835616438356162</v>
      </c>
      <c r="AA38" s="12">
        <f t="shared" si="22"/>
        <v>0.40844327176781003</v>
      </c>
      <c r="AB38" s="12">
        <f t="shared" si="23"/>
        <v>0.42651593011305239</v>
      </c>
      <c r="AC38" s="12">
        <f t="shared" si="24"/>
        <v>0.48083989501312335</v>
      </c>
      <c r="AD38" s="12">
        <f t="shared" si="25"/>
        <v>0.60682876357992754</v>
      </c>
      <c r="AE38" s="12">
        <f t="shared" si="26"/>
        <v>0.66321243523316065</v>
      </c>
      <c r="AF38" s="12">
        <f t="shared" si="27"/>
        <v>0.66220391349124619</v>
      </c>
      <c r="AG38" s="12">
        <f t="shared" si="28"/>
        <v>0.67371134020618562</v>
      </c>
      <c r="AH38" s="12">
        <f t="shared" si="29"/>
        <v>0.67331932773109249</v>
      </c>
      <c r="AJ38" s="6" t="s">
        <v>17</v>
      </c>
      <c r="AK38" s="12">
        <f t="shared" si="30"/>
        <v>7.3112073112073114E-2</v>
      </c>
      <c r="AL38" s="12">
        <f t="shared" si="31"/>
        <v>7.7789699570815454E-2</v>
      </c>
      <c r="AM38" s="12">
        <f t="shared" si="32"/>
        <v>8.2010582010582006E-2</v>
      </c>
      <c r="AN38" s="12">
        <f t="shared" si="33"/>
        <v>8.1720430107526887E-2</v>
      </c>
      <c r="AO38" s="12">
        <f t="shared" si="34"/>
        <v>7.4288724973656475E-2</v>
      </c>
      <c r="AP38" s="12">
        <f t="shared" si="35"/>
        <v>8.1794195250659632E-2</v>
      </c>
      <c r="AQ38" s="12">
        <f t="shared" si="36"/>
        <v>0.10277492291880781</v>
      </c>
      <c r="AR38" s="12">
        <f t="shared" si="37"/>
        <v>0.18215223097112862</v>
      </c>
      <c r="AS38" s="12">
        <f t="shared" si="38"/>
        <v>9.3119503362648737E-2</v>
      </c>
      <c r="AT38" s="12">
        <f t="shared" si="39"/>
        <v>6.3212435233160627E-2</v>
      </c>
      <c r="AU38" s="12">
        <f t="shared" si="40"/>
        <v>6.7456230690010305E-2</v>
      </c>
      <c r="AV38" s="12">
        <f t="shared" si="41"/>
        <v>6.7525773195876285E-2</v>
      </c>
      <c r="AW38" s="12">
        <f t="shared" si="42"/>
        <v>5.8298319327731093E-2</v>
      </c>
    </row>
    <row r="39" spans="6:49">
      <c r="F39" s="3" t="s">
        <v>19</v>
      </c>
      <c r="G39" s="11">
        <f t="shared" si="4"/>
        <v>0.24317343173431735</v>
      </c>
      <c r="H39" s="11">
        <f t="shared" si="5"/>
        <v>0.49354207436399217</v>
      </c>
      <c r="I39" s="11">
        <f t="shared" si="6"/>
        <v>0.53249310752264667</v>
      </c>
      <c r="J39" s="11">
        <f t="shared" si="7"/>
        <v>0.54208494208494207</v>
      </c>
      <c r="K39" s="11">
        <f t="shared" si="8"/>
        <v>0.5699888017917133</v>
      </c>
      <c r="L39" s="11">
        <f t="shared" si="9"/>
        <v>0.57003891050583655</v>
      </c>
      <c r="M39" s="11">
        <f t="shared" si="10"/>
        <v>0.52278083267871167</v>
      </c>
      <c r="N39" s="11">
        <f t="shared" si="11"/>
        <v>0.47911921032649962</v>
      </c>
      <c r="O39" s="11">
        <f t="shared" si="12"/>
        <v>0.38195777351247601</v>
      </c>
      <c r="P39" s="11">
        <f t="shared" si="13"/>
        <v>0.32922272047832585</v>
      </c>
      <c r="Q39" s="11">
        <f t="shared" si="14"/>
        <v>0.32826972952945538</v>
      </c>
      <c r="R39" s="11">
        <f t="shared" si="15"/>
        <v>0.30777988614800761</v>
      </c>
      <c r="S39" s="11">
        <f t="shared" si="16"/>
        <v>0.32940729483282677</v>
      </c>
      <c r="U39" s="6" t="s">
        <v>19</v>
      </c>
      <c r="V39" s="12">
        <f t="shared" si="17"/>
        <v>0.68007380073800738</v>
      </c>
      <c r="W39" s="12">
        <f t="shared" si="18"/>
        <v>0.42465753424657532</v>
      </c>
      <c r="X39" s="12">
        <f t="shared" si="19"/>
        <v>0.40055139818826307</v>
      </c>
      <c r="Y39" s="12">
        <f t="shared" si="20"/>
        <v>0.37181467181467182</v>
      </c>
      <c r="Z39" s="12">
        <f t="shared" si="21"/>
        <v>0.35647629712579321</v>
      </c>
      <c r="AA39" s="12">
        <f t="shared" si="22"/>
        <v>0.36303501945525291</v>
      </c>
      <c r="AB39" s="12">
        <f t="shared" si="23"/>
        <v>0.39670070699135901</v>
      </c>
      <c r="AC39" s="12">
        <f t="shared" si="24"/>
        <v>0.41343963553530749</v>
      </c>
      <c r="AD39" s="12">
        <f t="shared" si="25"/>
        <v>0.45412667946257196</v>
      </c>
      <c r="AE39" s="12">
        <f t="shared" si="26"/>
        <v>0.5792227204783259</v>
      </c>
      <c r="AF39" s="12">
        <f t="shared" si="27"/>
        <v>0.58169692478695811</v>
      </c>
      <c r="AG39" s="12">
        <f t="shared" si="28"/>
        <v>0.59734345351043638</v>
      </c>
      <c r="AH39" s="12">
        <f t="shared" si="29"/>
        <v>0.57674772036474165</v>
      </c>
      <c r="AJ39" s="6" t="s">
        <v>19</v>
      </c>
      <c r="AK39" s="12">
        <f t="shared" si="30"/>
        <v>7.6752767527675278E-2</v>
      </c>
      <c r="AL39" s="12">
        <f t="shared" si="31"/>
        <v>8.1800391389432486E-2</v>
      </c>
      <c r="AM39" s="12">
        <f t="shared" si="32"/>
        <v>6.6955494289090187E-2</v>
      </c>
      <c r="AN39" s="12">
        <f t="shared" si="33"/>
        <v>8.6100386100386103E-2</v>
      </c>
      <c r="AO39" s="12">
        <f t="shared" si="34"/>
        <v>7.353490108249347E-2</v>
      </c>
      <c r="AP39" s="12">
        <f t="shared" si="35"/>
        <v>6.6926070038910504E-2</v>
      </c>
      <c r="AQ39" s="12">
        <f t="shared" si="36"/>
        <v>8.0518460329929306E-2</v>
      </c>
      <c r="AR39" s="12">
        <f t="shared" si="37"/>
        <v>0.10744115413819286</v>
      </c>
      <c r="AS39" s="12">
        <f t="shared" si="38"/>
        <v>0.16391554702495201</v>
      </c>
      <c r="AT39" s="12">
        <f t="shared" si="39"/>
        <v>9.1554559043348277E-2</v>
      </c>
      <c r="AU39" s="12">
        <f t="shared" si="40"/>
        <v>9.0033345683586508E-2</v>
      </c>
      <c r="AV39" s="12">
        <f t="shared" si="41"/>
        <v>9.4876660341555979E-2</v>
      </c>
      <c r="AW39" s="12">
        <f t="shared" si="42"/>
        <v>9.3844984802431614E-2</v>
      </c>
    </row>
    <row r="40" spans="6:49">
      <c r="F40" s="3" t="s">
        <v>21</v>
      </c>
      <c r="G40" s="11">
        <f t="shared" si="4"/>
        <v>0.32964794879255166</v>
      </c>
      <c r="H40" s="11">
        <f t="shared" si="5"/>
        <v>0.57905853952926978</v>
      </c>
      <c r="I40" s="11">
        <f t="shared" si="6"/>
        <v>0.57721952612046812</v>
      </c>
      <c r="J40" s="11">
        <f t="shared" si="7"/>
        <v>0.61190476190476195</v>
      </c>
      <c r="K40" s="11">
        <f t="shared" si="8"/>
        <v>0.62580081537565524</v>
      </c>
      <c r="L40" s="11">
        <f t="shared" si="9"/>
        <v>0.64135514018691586</v>
      </c>
      <c r="M40" s="11">
        <f t="shared" si="10"/>
        <v>0.6052067381316999</v>
      </c>
      <c r="N40" s="11">
        <f t="shared" si="11"/>
        <v>0.54739052189562087</v>
      </c>
      <c r="O40" s="11">
        <f t="shared" si="12"/>
        <v>0.50888099467140324</v>
      </c>
      <c r="P40" s="11">
        <f t="shared" si="13"/>
        <v>0.41706970128022758</v>
      </c>
      <c r="Q40" s="11">
        <f t="shared" si="14"/>
        <v>0.4102488151658768</v>
      </c>
      <c r="R40" s="11">
        <f t="shared" si="15"/>
        <v>0.40582241630276567</v>
      </c>
      <c r="S40" s="11">
        <f t="shared" si="16"/>
        <v>0.40463254217901057</v>
      </c>
      <c r="U40" s="6" t="s">
        <v>21</v>
      </c>
      <c r="V40" s="12">
        <f t="shared" si="17"/>
        <v>0.58859470468431774</v>
      </c>
      <c r="W40" s="12">
        <f t="shared" si="18"/>
        <v>0.34308992154496076</v>
      </c>
      <c r="X40" s="12">
        <f t="shared" si="19"/>
        <v>0.34570368255780759</v>
      </c>
      <c r="Y40" s="12">
        <f t="shared" si="20"/>
        <v>0.31547619047619047</v>
      </c>
      <c r="Z40" s="12">
        <f t="shared" si="21"/>
        <v>0.31158998252766451</v>
      </c>
      <c r="AA40" s="12">
        <f t="shared" si="22"/>
        <v>0.29760514018691586</v>
      </c>
      <c r="AB40" s="12">
        <f t="shared" si="23"/>
        <v>0.3350689127105666</v>
      </c>
      <c r="AC40" s="12">
        <f t="shared" si="24"/>
        <v>0.37672465506898623</v>
      </c>
      <c r="AD40" s="12">
        <f t="shared" si="25"/>
        <v>0.39224393132030788</v>
      </c>
      <c r="AE40" s="12">
        <f t="shared" si="26"/>
        <v>0.43413940256045519</v>
      </c>
      <c r="AF40" s="12">
        <f t="shared" si="27"/>
        <v>0.44253554502369669</v>
      </c>
      <c r="AG40" s="12">
        <f t="shared" si="28"/>
        <v>0.46491994177583695</v>
      </c>
      <c r="AH40" s="12">
        <f t="shared" si="29"/>
        <v>0.44295110094366602</v>
      </c>
      <c r="AJ40" s="6" t="s">
        <v>21</v>
      </c>
      <c r="AK40" s="12">
        <f t="shared" si="30"/>
        <v>8.1757346523130631E-2</v>
      </c>
      <c r="AL40" s="12">
        <f t="shared" si="31"/>
        <v>7.7851538925769459E-2</v>
      </c>
      <c r="AM40" s="12">
        <f t="shared" si="32"/>
        <v>7.7076791321724236E-2</v>
      </c>
      <c r="AN40" s="12">
        <f t="shared" si="33"/>
        <v>7.2619047619047625E-2</v>
      </c>
      <c r="AO40" s="12">
        <f t="shared" si="34"/>
        <v>6.260920209668025E-2</v>
      </c>
      <c r="AP40" s="12">
        <f t="shared" si="35"/>
        <v>6.1039719626168228E-2</v>
      </c>
      <c r="AQ40" s="12">
        <f t="shared" si="36"/>
        <v>5.9724349157733538E-2</v>
      </c>
      <c r="AR40" s="12">
        <f t="shared" si="37"/>
        <v>7.5884823035392915E-2</v>
      </c>
      <c r="AS40" s="12">
        <f t="shared" si="38"/>
        <v>9.8875074008288932E-2</v>
      </c>
      <c r="AT40" s="12">
        <f t="shared" si="39"/>
        <v>0.1487908961593172</v>
      </c>
      <c r="AU40" s="12">
        <f t="shared" si="40"/>
        <v>0.14721563981042654</v>
      </c>
      <c r="AV40" s="12">
        <f t="shared" si="41"/>
        <v>0.12925764192139738</v>
      </c>
      <c r="AW40" s="12">
        <f t="shared" si="42"/>
        <v>0.15241635687732341</v>
      </c>
    </row>
    <row r="41" spans="6:49">
      <c r="F41" s="3" t="s">
        <v>22</v>
      </c>
      <c r="G41" s="11">
        <f t="shared" si="4"/>
        <v>0.36305888101636941</v>
      </c>
      <c r="H41" s="11">
        <f t="shared" si="5"/>
        <v>0.59653916211293256</v>
      </c>
      <c r="I41" s="11">
        <f t="shared" si="6"/>
        <v>0.6063100137174211</v>
      </c>
      <c r="J41" s="11">
        <f t="shared" si="7"/>
        <v>0.60603290676416821</v>
      </c>
      <c r="K41" s="11">
        <f t="shared" si="8"/>
        <v>0.62358276643990929</v>
      </c>
      <c r="L41" s="11">
        <f t="shared" si="9"/>
        <v>0.62384076000904776</v>
      </c>
      <c r="M41" s="11">
        <f t="shared" si="10"/>
        <v>0.59510991475998209</v>
      </c>
      <c r="N41" s="11">
        <f t="shared" si="11"/>
        <v>0.55359565807327005</v>
      </c>
      <c r="O41" s="11">
        <f t="shared" si="12"/>
        <v>0.53302646720368241</v>
      </c>
      <c r="P41" s="11">
        <f t="shared" si="13"/>
        <v>0.46706854208528692</v>
      </c>
      <c r="Q41" s="11">
        <f t="shared" si="14"/>
        <v>0.46730640482035257</v>
      </c>
      <c r="R41" s="11">
        <f t="shared" si="15"/>
        <v>0.47292002765614199</v>
      </c>
      <c r="S41" s="11">
        <f t="shared" si="16"/>
        <v>0.48060784758448627</v>
      </c>
      <c r="U41" s="6" t="s">
        <v>22</v>
      </c>
      <c r="V41" s="12">
        <f t="shared" si="17"/>
        <v>0.59662838993403366</v>
      </c>
      <c r="W41" s="12">
        <f t="shared" si="18"/>
        <v>0.35883424408014569</v>
      </c>
      <c r="X41" s="12">
        <f t="shared" si="19"/>
        <v>0.35185185185185186</v>
      </c>
      <c r="Y41" s="12">
        <f t="shared" si="20"/>
        <v>0.35580438756855576</v>
      </c>
      <c r="Z41" s="12">
        <f t="shared" si="21"/>
        <v>0.33832199546485259</v>
      </c>
      <c r="AA41" s="12">
        <f t="shared" si="22"/>
        <v>0.33951594661841211</v>
      </c>
      <c r="AB41" s="12">
        <f t="shared" si="23"/>
        <v>0.35217586361597131</v>
      </c>
      <c r="AC41" s="12">
        <f t="shared" si="24"/>
        <v>0.38647670737222978</v>
      </c>
      <c r="AD41" s="12">
        <f t="shared" si="25"/>
        <v>0.41910241657077102</v>
      </c>
      <c r="AE41" s="12">
        <f t="shared" si="26"/>
        <v>0.47532931457914712</v>
      </c>
      <c r="AF41" s="12">
        <f t="shared" si="27"/>
        <v>0.47556349029234546</v>
      </c>
      <c r="AG41" s="12">
        <f t="shared" si="28"/>
        <v>0.47084581700852729</v>
      </c>
      <c r="AH41" s="12">
        <f t="shared" si="29"/>
        <v>0.46699931957359947</v>
      </c>
      <c r="AJ41" s="6" t="s">
        <v>22</v>
      </c>
      <c r="AK41" s="12">
        <f t="shared" si="30"/>
        <v>4.0312729049596874E-2</v>
      </c>
      <c r="AL41" s="12">
        <f t="shared" si="31"/>
        <v>4.4626593806921674E-2</v>
      </c>
      <c r="AM41" s="12">
        <f t="shared" si="32"/>
        <v>4.1838134430727023E-2</v>
      </c>
      <c r="AN41" s="12">
        <f t="shared" si="33"/>
        <v>3.8162705667276052E-2</v>
      </c>
      <c r="AO41" s="12">
        <f t="shared" si="34"/>
        <v>3.8095238095238099E-2</v>
      </c>
      <c r="AP41" s="12">
        <f t="shared" si="35"/>
        <v>3.6643293372540152E-2</v>
      </c>
      <c r="AQ41" s="12">
        <f t="shared" si="36"/>
        <v>5.271422162404666E-2</v>
      </c>
      <c r="AR41" s="12">
        <f t="shared" si="37"/>
        <v>5.9927634554500224E-2</v>
      </c>
      <c r="AS41" s="12">
        <f t="shared" si="38"/>
        <v>4.7871116225546607E-2</v>
      </c>
      <c r="AT41" s="12">
        <f t="shared" si="39"/>
        <v>5.7602143335565972E-2</v>
      </c>
      <c r="AU41" s="12">
        <f t="shared" si="40"/>
        <v>5.7130104887301941E-2</v>
      </c>
      <c r="AV41" s="12">
        <f t="shared" si="41"/>
        <v>5.6234155335330722E-2</v>
      </c>
      <c r="AW41" s="12">
        <f t="shared" si="42"/>
        <v>5.2392832841914268E-2</v>
      </c>
    </row>
    <row r="42" spans="6:49">
      <c r="F42" s="3" t="s">
        <v>23</v>
      </c>
      <c r="G42" s="11">
        <f t="shared" si="4"/>
        <v>0.18572355613238156</v>
      </c>
      <c r="H42" s="11">
        <f t="shared" si="5"/>
        <v>0.33268608414239481</v>
      </c>
      <c r="I42" s="11">
        <f t="shared" si="6"/>
        <v>0.34154619736015085</v>
      </c>
      <c r="J42" s="11">
        <f t="shared" si="7"/>
        <v>0.34588059329427895</v>
      </c>
      <c r="K42" s="11">
        <f t="shared" si="8"/>
        <v>0.35705177250701353</v>
      </c>
      <c r="L42" s="11">
        <f t="shared" si="9"/>
        <v>0.36876299376299376</v>
      </c>
      <c r="M42" s="11">
        <f t="shared" si="10"/>
        <v>0.33392181588902903</v>
      </c>
      <c r="N42" s="11">
        <f t="shared" si="11"/>
        <v>0.3039152345264246</v>
      </c>
      <c r="O42" s="11">
        <f t="shared" si="12"/>
        <v>0.27246413289705512</v>
      </c>
      <c r="P42" s="11">
        <f t="shared" si="13"/>
        <v>0.24695516973309148</v>
      </c>
      <c r="Q42" s="11">
        <f t="shared" si="14"/>
        <v>0.23911064881029775</v>
      </c>
      <c r="R42" s="11">
        <f t="shared" si="15"/>
        <v>0.2361111111111111</v>
      </c>
      <c r="S42" s="11">
        <f t="shared" si="16"/>
        <v>0.23118755533071961</v>
      </c>
      <c r="U42" s="6" t="s">
        <v>23</v>
      </c>
      <c r="V42" s="12">
        <f t="shared" si="17"/>
        <v>0.77650876054510054</v>
      </c>
      <c r="W42" s="12">
        <f t="shared" si="18"/>
        <v>0.62770226537216833</v>
      </c>
      <c r="X42" s="12">
        <f t="shared" si="19"/>
        <v>0.61785040854808293</v>
      </c>
      <c r="Y42" s="12">
        <f t="shared" si="20"/>
        <v>0.61535585192571363</v>
      </c>
      <c r="Z42" s="12">
        <f t="shared" si="21"/>
        <v>0.60507523590920687</v>
      </c>
      <c r="AA42" s="12">
        <f t="shared" si="22"/>
        <v>0.59472453222453225</v>
      </c>
      <c r="AB42" s="12">
        <f t="shared" si="23"/>
        <v>0.614249684741488</v>
      </c>
      <c r="AC42" s="12">
        <f t="shared" si="24"/>
        <v>0.64271869750613775</v>
      </c>
      <c r="AD42" s="12">
        <f t="shared" si="25"/>
        <v>0.6770702240120815</v>
      </c>
      <c r="AE42" s="12">
        <f t="shared" si="26"/>
        <v>0.70134749935216378</v>
      </c>
      <c r="AF42" s="12">
        <f t="shared" si="27"/>
        <v>0.70549993498894814</v>
      </c>
      <c r="AG42" s="12">
        <f t="shared" si="28"/>
        <v>0.71368501529051986</v>
      </c>
      <c r="AH42" s="12">
        <f t="shared" si="29"/>
        <v>0.71746553686606807</v>
      </c>
      <c r="AJ42" s="6" t="s">
        <v>23</v>
      </c>
      <c r="AK42" s="12">
        <f t="shared" si="30"/>
        <v>3.7767683322517842E-2</v>
      </c>
      <c r="AL42" s="12">
        <f t="shared" si="31"/>
        <v>3.961165048543689E-2</v>
      </c>
      <c r="AM42" s="12">
        <f t="shared" si="32"/>
        <v>4.0603394091766186E-2</v>
      </c>
      <c r="AN42" s="12">
        <f t="shared" si="33"/>
        <v>3.8763554780007481E-2</v>
      </c>
      <c r="AO42" s="12">
        <f t="shared" si="34"/>
        <v>3.7872991583779651E-2</v>
      </c>
      <c r="AP42" s="12">
        <f t="shared" si="35"/>
        <v>3.6512474012474011E-2</v>
      </c>
      <c r="AQ42" s="12">
        <f t="shared" si="36"/>
        <v>5.1828499369482979E-2</v>
      </c>
      <c r="AR42" s="12">
        <f t="shared" si="37"/>
        <v>5.3366067967437654E-2</v>
      </c>
      <c r="AS42" s="12">
        <f t="shared" si="38"/>
        <v>5.0465643090863328E-2</v>
      </c>
      <c r="AT42" s="12">
        <f t="shared" si="39"/>
        <v>5.1697330914744752E-2</v>
      </c>
      <c r="AU42" s="12">
        <f t="shared" si="40"/>
        <v>5.5389416200754125E-2</v>
      </c>
      <c r="AV42" s="12">
        <f t="shared" si="41"/>
        <v>5.020387359836901E-2</v>
      </c>
      <c r="AW42" s="12">
        <f t="shared" si="42"/>
        <v>5.1346907803212341E-2</v>
      </c>
    </row>
    <row r="43" spans="6:49">
      <c r="F43" s="3" t="s">
        <v>24</v>
      </c>
      <c r="G43" s="11">
        <f t="shared" si="4"/>
        <v>0.112466760519318</v>
      </c>
      <c r="H43" s="11">
        <f t="shared" si="5"/>
        <v>0.34605717876217407</v>
      </c>
      <c r="I43" s="11">
        <f t="shared" si="6"/>
        <v>0.37539783577339275</v>
      </c>
      <c r="J43" s="11">
        <f t="shared" si="7"/>
        <v>0.39053071329104133</v>
      </c>
      <c r="K43" s="11">
        <f t="shared" si="8"/>
        <v>0.41642585551330796</v>
      </c>
      <c r="L43" s="11">
        <f t="shared" si="9"/>
        <v>0.42315557652980967</v>
      </c>
      <c r="M43" s="11">
        <f t="shared" si="10"/>
        <v>0.25713829956930928</v>
      </c>
      <c r="N43" s="11">
        <f t="shared" si="11"/>
        <v>0.24647780639297076</v>
      </c>
      <c r="O43" s="11">
        <f t="shared" si="12"/>
        <v>0.22190879172543487</v>
      </c>
      <c r="P43" s="11">
        <f t="shared" si="13"/>
        <v>0.21670776818742293</v>
      </c>
      <c r="Q43" s="11">
        <f t="shared" si="14"/>
        <v>0.20923363904865538</v>
      </c>
      <c r="R43" s="11">
        <f t="shared" si="15"/>
        <v>0.20822464324075496</v>
      </c>
      <c r="S43" s="11">
        <f t="shared" si="16"/>
        <v>0.21277935158954989</v>
      </c>
      <c r="U43" s="6" t="s">
        <v>24</v>
      </c>
      <c r="V43" s="12">
        <f t="shared" si="17"/>
        <v>0.88753323948068197</v>
      </c>
      <c r="W43" s="12">
        <f t="shared" si="18"/>
        <v>0.65394282123782599</v>
      </c>
      <c r="X43" s="12">
        <f t="shared" si="19"/>
        <v>0.6246021642266073</v>
      </c>
      <c r="Y43" s="12">
        <f t="shared" si="20"/>
        <v>0.60946928670895872</v>
      </c>
      <c r="Z43" s="12">
        <f t="shared" si="21"/>
        <v>0.58357414448669198</v>
      </c>
      <c r="AA43" s="12">
        <f t="shared" si="22"/>
        <v>0.57684442347019038</v>
      </c>
      <c r="AB43" s="12">
        <f t="shared" si="23"/>
        <v>0.74286170043069066</v>
      </c>
      <c r="AC43" s="12">
        <f t="shared" si="24"/>
        <v>0.75352219360702921</v>
      </c>
      <c r="AD43" s="12">
        <f t="shared" si="25"/>
        <v>0.77809120827456513</v>
      </c>
      <c r="AE43" s="12">
        <f t="shared" si="26"/>
        <v>0.78329223181257701</v>
      </c>
      <c r="AF43" s="12">
        <f t="shared" si="27"/>
        <v>0.79076636095134467</v>
      </c>
      <c r="AG43" s="12">
        <f t="shared" si="28"/>
        <v>0.79177535675924504</v>
      </c>
      <c r="AH43" s="12">
        <f t="shared" si="29"/>
        <v>0.78722064841045014</v>
      </c>
      <c r="AJ43" s="6" t="s">
        <v>24</v>
      </c>
      <c r="AK43" s="12">
        <f t="shared" si="30"/>
        <v>0</v>
      </c>
      <c r="AL43" s="12">
        <f t="shared" si="31"/>
        <v>0</v>
      </c>
      <c r="AM43" s="12">
        <f t="shared" si="32"/>
        <v>0</v>
      </c>
      <c r="AN43" s="12">
        <f t="shared" si="33"/>
        <v>0</v>
      </c>
      <c r="AO43" s="12">
        <f t="shared" si="34"/>
        <v>0</v>
      </c>
      <c r="AP43" s="12">
        <f t="shared" si="35"/>
        <v>0</v>
      </c>
      <c r="AQ43" s="12">
        <f t="shared" si="36"/>
        <v>0</v>
      </c>
      <c r="AR43" s="12">
        <f t="shared" si="37"/>
        <v>0</v>
      </c>
      <c r="AS43" s="12">
        <f t="shared" si="38"/>
        <v>0</v>
      </c>
      <c r="AT43" s="12">
        <f t="shared" si="39"/>
        <v>0</v>
      </c>
      <c r="AU43" s="12">
        <f t="shared" si="40"/>
        <v>0</v>
      </c>
      <c r="AV43" s="12">
        <f t="shared" si="41"/>
        <v>0</v>
      </c>
      <c r="AW43" s="12">
        <f t="shared" si="42"/>
        <v>0</v>
      </c>
    </row>
    <row r="44" spans="6:49">
      <c r="F44" s="3" t="s">
        <v>25</v>
      </c>
      <c r="G44" s="11">
        <f t="shared" si="4"/>
        <v>0.11092660245765526</v>
      </c>
      <c r="H44" s="11">
        <f t="shared" si="5"/>
        <v>0.36530681051921782</v>
      </c>
      <c r="I44" s="11">
        <f t="shared" si="6"/>
        <v>0.37686005684668117</v>
      </c>
      <c r="J44" s="11">
        <f t="shared" si="7"/>
        <v>0.40243484224965709</v>
      </c>
      <c r="K44" s="11">
        <f t="shared" si="8"/>
        <v>0.42648784576697402</v>
      </c>
      <c r="L44" s="11">
        <f t="shared" si="9"/>
        <v>0.43285885782884581</v>
      </c>
      <c r="M44" s="11">
        <f t="shared" si="10"/>
        <v>0.2562038900067069</v>
      </c>
      <c r="N44" s="11">
        <f t="shared" si="11"/>
        <v>0.25143726750084544</v>
      </c>
      <c r="O44" s="11">
        <f t="shared" si="12"/>
        <v>0.22784159094805417</v>
      </c>
      <c r="P44" s="11">
        <f t="shared" si="13"/>
        <v>0.2050981049807144</v>
      </c>
      <c r="Q44" s="11">
        <f t="shared" si="14"/>
        <v>0.21697302868922866</v>
      </c>
      <c r="R44" s="11">
        <f t="shared" si="15"/>
        <v>0.2119655286708651</v>
      </c>
      <c r="S44" s="11">
        <f t="shared" si="16"/>
        <v>0.21016088060965285</v>
      </c>
      <c r="U44" s="6" t="s">
        <v>25</v>
      </c>
      <c r="V44" s="12">
        <f t="shared" si="17"/>
        <v>0.88907339754234471</v>
      </c>
      <c r="W44" s="12">
        <f t="shared" si="18"/>
        <v>0.63469318948078224</v>
      </c>
      <c r="X44" s="12">
        <f t="shared" si="19"/>
        <v>0.62313994315331889</v>
      </c>
      <c r="Y44" s="12">
        <f t="shared" si="20"/>
        <v>0.59756515775034291</v>
      </c>
      <c r="Z44" s="12">
        <f t="shared" si="21"/>
        <v>0.57351215423302604</v>
      </c>
      <c r="AA44" s="12">
        <f t="shared" si="22"/>
        <v>0.56714114217115419</v>
      </c>
      <c r="AB44" s="12">
        <f t="shared" si="23"/>
        <v>0.74379610999329304</v>
      </c>
      <c r="AC44" s="12">
        <f t="shared" si="24"/>
        <v>0.7485627324991545</v>
      </c>
      <c r="AD44" s="12">
        <f t="shared" si="25"/>
        <v>0.77215840905194577</v>
      </c>
      <c r="AE44" s="12">
        <f t="shared" si="26"/>
        <v>0.79490189501928554</v>
      </c>
      <c r="AF44" s="12">
        <f t="shared" si="27"/>
        <v>0.78302697131077137</v>
      </c>
      <c r="AG44" s="12">
        <f t="shared" si="28"/>
        <v>0.78803447132913496</v>
      </c>
      <c r="AH44" s="12">
        <f t="shared" si="29"/>
        <v>0.78983911939034712</v>
      </c>
      <c r="AJ44" s="6" t="s">
        <v>25</v>
      </c>
      <c r="AK44" s="12">
        <f t="shared" si="30"/>
        <v>0</v>
      </c>
      <c r="AL44" s="12">
        <f t="shared" si="31"/>
        <v>0</v>
      </c>
      <c r="AM44" s="12">
        <f t="shared" si="32"/>
        <v>0</v>
      </c>
      <c r="AN44" s="12">
        <f t="shared" si="33"/>
        <v>0</v>
      </c>
      <c r="AO44" s="12">
        <f t="shared" si="34"/>
        <v>0</v>
      </c>
      <c r="AP44" s="12">
        <f t="shared" si="35"/>
        <v>0</v>
      </c>
      <c r="AQ44" s="12">
        <f t="shared" si="36"/>
        <v>0</v>
      </c>
      <c r="AR44" s="12">
        <f t="shared" si="37"/>
        <v>0</v>
      </c>
      <c r="AS44" s="12">
        <f t="shared" si="38"/>
        <v>0</v>
      </c>
      <c r="AT44" s="12">
        <f t="shared" si="39"/>
        <v>0</v>
      </c>
      <c r="AU44" s="12">
        <f t="shared" si="40"/>
        <v>0</v>
      </c>
      <c r="AV44" s="12">
        <f t="shared" si="41"/>
        <v>0</v>
      </c>
      <c r="AW44" s="12">
        <f t="shared" si="42"/>
        <v>0</v>
      </c>
    </row>
    <row r="45" spans="6:49">
      <c r="F45" s="3" t="s">
        <v>26</v>
      </c>
      <c r="G45" s="11">
        <f t="shared" si="4"/>
        <v>0.1224712957900492</v>
      </c>
      <c r="H45" s="11">
        <f t="shared" si="5"/>
        <v>0.35899347623485556</v>
      </c>
      <c r="I45" s="11">
        <f t="shared" si="6"/>
        <v>0.39453125</v>
      </c>
      <c r="J45" s="11">
        <f t="shared" si="7"/>
        <v>0.39747113798790545</v>
      </c>
      <c r="K45" s="11">
        <f t="shared" si="8"/>
        <v>0.4237605238540692</v>
      </c>
      <c r="L45" s="11">
        <f t="shared" si="9"/>
        <v>0.41165587419056432</v>
      </c>
      <c r="M45" s="11">
        <f t="shared" si="10"/>
        <v>0.25338631027632291</v>
      </c>
      <c r="N45" s="11">
        <f t="shared" si="11"/>
        <v>0.25543885971492875</v>
      </c>
      <c r="O45" s="11">
        <f t="shared" si="12"/>
        <v>0.23523985239852399</v>
      </c>
      <c r="P45" s="11">
        <f t="shared" si="13"/>
        <v>0.2188068388504911</v>
      </c>
      <c r="Q45" s="11">
        <f t="shared" si="14"/>
        <v>0.2110431721326663</v>
      </c>
      <c r="R45" s="11">
        <f t="shared" si="15"/>
        <v>0.20954246038810753</v>
      </c>
      <c r="S45" s="11">
        <f t="shared" si="16"/>
        <v>0.21169504071058476</v>
      </c>
      <c r="U45" s="6" t="s">
        <v>26</v>
      </c>
      <c r="V45" s="12">
        <f t="shared" si="17"/>
        <v>0.87752870420995077</v>
      </c>
      <c r="W45" s="12">
        <f t="shared" si="18"/>
        <v>0.64100652376514444</v>
      </c>
      <c r="X45" s="12">
        <f t="shared" si="19"/>
        <v>0.60546875</v>
      </c>
      <c r="Y45" s="12">
        <f t="shared" si="20"/>
        <v>0.60252886201209455</v>
      </c>
      <c r="Z45" s="12">
        <f t="shared" si="21"/>
        <v>0.57623947614593074</v>
      </c>
      <c r="AA45" s="12">
        <f t="shared" si="22"/>
        <v>0.58834412580943574</v>
      </c>
      <c r="AB45" s="12">
        <f t="shared" si="23"/>
        <v>0.74661368972367703</v>
      </c>
      <c r="AC45" s="12">
        <f t="shared" si="24"/>
        <v>0.74456114028507125</v>
      </c>
      <c r="AD45" s="12">
        <f t="shared" si="25"/>
        <v>0.76476014760147604</v>
      </c>
      <c r="AE45" s="12">
        <f t="shared" si="26"/>
        <v>0.78119316114950887</v>
      </c>
      <c r="AF45" s="12">
        <f t="shared" si="27"/>
        <v>0.78895682786733368</v>
      </c>
      <c r="AG45" s="12">
        <f t="shared" si="28"/>
        <v>0.79045753961189247</v>
      </c>
      <c r="AH45" s="12">
        <f t="shared" si="29"/>
        <v>0.78830495928941524</v>
      </c>
      <c r="AJ45" s="6" t="s">
        <v>26</v>
      </c>
      <c r="AK45" s="12">
        <f t="shared" si="30"/>
        <v>0</v>
      </c>
      <c r="AL45" s="12">
        <f t="shared" si="31"/>
        <v>0</v>
      </c>
      <c r="AM45" s="12">
        <f t="shared" si="32"/>
        <v>0</v>
      </c>
      <c r="AN45" s="12">
        <f t="shared" si="33"/>
        <v>0</v>
      </c>
      <c r="AO45" s="12">
        <f t="shared" si="34"/>
        <v>0</v>
      </c>
      <c r="AP45" s="12">
        <f t="shared" si="35"/>
        <v>0</v>
      </c>
      <c r="AQ45" s="12">
        <f t="shared" si="36"/>
        <v>0</v>
      </c>
      <c r="AR45" s="12">
        <f t="shared" si="37"/>
        <v>0</v>
      </c>
      <c r="AS45" s="12">
        <f t="shared" si="38"/>
        <v>0</v>
      </c>
      <c r="AT45" s="12">
        <f t="shared" si="39"/>
        <v>0</v>
      </c>
      <c r="AU45" s="12">
        <f t="shared" si="40"/>
        <v>0</v>
      </c>
      <c r="AV45" s="12">
        <f t="shared" si="41"/>
        <v>0</v>
      </c>
      <c r="AW45" s="12">
        <f t="shared" si="42"/>
        <v>0</v>
      </c>
    </row>
    <row r="46" spans="6:49">
      <c r="F46" s="3" t="s">
        <v>27</v>
      </c>
      <c r="G46" s="11">
        <f t="shared" si="4"/>
        <v>0.12309766904257369</v>
      </c>
      <c r="H46" s="11">
        <f t="shared" si="5"/>
        <v>0.35269377127979173</v>
      </c>
      <c r="I46" s="11">
        <f t="shared" si="6"/>
        <v>0.37225109956017594</v>
      </c>
      <c r="J46" s="11">
        <f t="shared" si="7"/>
        <v>0.39745627980922099</v>
      </c>
      <c r="K46" s="11">
        <f t="shared" si="8"/>
        <v>0.41755214482487207</v>
      </c>
      <c r="L46" s="11">
        <f t="shared" si="9"/>
        <v>0.40147329650092078</v>
      </c>
      <c r="M46" s="11">
        <f t="shared" si="10"/>
        <v>0.26066443876548062</v>
      </c>
      <c r="N46" s="11">
        <f t="shared" si="11"/>
        <v>0.23786505538771399</v>
      </c>
      <c r="O46" s="11">
        <f t="shared" si="12"/>
        <v>0.22213423084537715</v>
      </c>
      <c r="P46" s="11">
        <f t="shared" si="13"/>
        <v>0.20885564092195713</v>
      </c>
      <c r="Q46" s="11">
        <f t="shared" si="14"/>
        <v>0.20631409611904283</v>
      </c>
      <c r="R46" s="11">
        <f t="shared" si="15"/>
        <v>0.20536413469068129</v>
      </c>
      <c r="S46" s="11">
        <f t="shared" si="16"/>
        <v>0.21199524940617578</v>
      </c>
      <c r="U46" s="6" t="s">
        <v>27</v>
      </c>
      <c r="V46" s="12">
        <f t="shared" si="17"/>
        <v>0.87690233095742631</v>
      </c>
      <c r="W46" s="12">
        <f t="shared" si="18"/>
        <v>0.64730622872020827</v>
      </c>
      <c r="X46" s="12">
        <f t="shared" si="19"/>
        <v>0.62774890043982412</v>
      </c>
      <c r="Y46" s="12">
        <f t="shared" si="20"/>
        <v>0.60254372019077906</v>
      </c>
      <c r="Z46" s="12">
        <f t="shared" si="21"/>
        <v>0.58244785517512787</v>
      </c>
      <c r="AA46" s="12">
        <f t="shared" si="22"/>
        <v>0.59852670349907922</v>
      </c>
      <c r="AB46" s="12">
        <f t="shared" si="23"/>
        <v>0.73933556123451938</v>
      </c>
      <c r="AC46" s="12">
        <f t="shared" si="24"/>
        <v>0.76213494461228604</v>
      </c>
      <c r="AD46" s="12">
        <f t="shared" si="25"/>
        <v>0.7778657691546228</v>
      </c>
      <c r="AE46" s="12">
        <f t="shared" si="26"/>
        <v>0.79114435907804281</v>
      </c>
      <c r="AF46" s="12">
        <f t="shared" si="27"/>
        <v>0.79368590388095717</v>
      </c>
      <c r="AG46" s="12">
        <f t="shared" si="28"/>
        <v>0.79463586530931873</v>
      </c>
      <c r="AH46" s="12">
        <f t="shared" si="29"/>
        <v>0.78800475059382424</v>
      </c>
      <c r="AJ46" s="6" t="s">
        <v>27</v>
      </c>
      <c r="AK46" s="12">
        <f t="shared" si="30"/>
        <v>0</v>
      </c>
      <c r="AL46" s="12">
        <f t="shared" si="31"/>
        <v>0</v>
      </c>
      <c r="AM46" s="12">
        <f t="shared" si="32"/>
        <v>0</v>
      </c>
      <c r="AN46" s="12">
        <f t="shared" si="33"/>
        <v>0</v>
      </c>
      <c r="AO46" s="12">
        <f t="shared" si="34"/>
        <v>0</v>
      </c>
      <c r="AP46" s="12">
        <f t="shared" si="35"/>
        <v>0</v>
      </c>
      <c r="AQ46" s="12">
        <f t="shared" si="36"/>
        <v>0</v>
      </c>
      <c r="AR46" s="12">
        <f t="shared" si="37"/>
        <v>0</v>
      </c>
      <c r="AS46" s="12">
        <f t="shared" si="38"/>
        <v>0</v>
      </c>
      <c r="AT46" s="12">
        <f t="shared" si="39"/>
        <v>0</v>
      </c>
      <c r="AU46" s="12">
        <f t="shared" si="40"/>
        <v>0</v>
      </c>
      <c r="AV46" s="12">
        <f t="shared" si="41"/>
        <v>0</v>
      </c>
      <c r="AW46" s="12">
        <f t="shared" si="42"/>
        <v>0</v>
      </c>
    </row>
    <row r="47" spans="6:49">
      <c r="F47" s="3" t="s">
        <v>28</v>
      </c>
      <c r="G47" s="11">
        <f t="shared" si="4"/>
        <v>0.12082262210796915</v>
      </c>
      <c r="H47" s="11">
        <f t="shared" si="5"/>
        <v>0.34470536109880373</v>
      </c>
      <c r="I47" s="11">
        <f t="shared" si="6"/>
        <v>0.37283680175246442</v>
      </c>
      <c r="J47" s="11">
        <f t="shared" si="7"/>
        <v>0.40287615368104746</v>
      </c>
      <c r="K47" s="11">
        <f t="shared" si="8"/>
        <v>0.42001288383079238</v>
      </c>
      <c r="L47" s="11">
        <f t="shared" si="9"/>
        <v>0.41173950299914308</v>
      </c>
      <c r="M47" s="11">
        <f t="shared" si="10"/>
        <v>0.25804289544235925</v>
      </c>
      <c r="N47" s="11">
        <f t="shared" si="11"/>
        <v>0.24142692750287686</v>
      </c>
      <c r="O47" s="11">
        <f t="shared" si="12"/>
        <v>0.2290909090909091</v>
      </c>
      <c r="P47" s="11">
        <f t="shared" si="13"/>
        <v>0.21711672473867596</v>
      </c>
      <c r="Q47" s="11">
        <f t="shared" si="14"/>
        <v>0.21031919545255795</v>
      </c>
      <c r="R47" s="11">
        <f t="shared" si="15"/>
        <v>0.20622041920216364</v>
      </c>
      <c r="S47" s="11">
        <f t="shared" si="16"/>
        <v>0.21721132897603485</v>
      </c>
      <c r="U47" s="6" t="s">
        <v>28</v>
      </c>
      <c r="V47" s="12">
        <f t="shared" si="17"/>
        <v>0.75814053127677805</v>
      </c>
      <c r="W47" s="12">
        <f t="shared" si="18"/>
        <v>0.5177226406734603</v>
      </c>
      <c r="X47" s="12">
        <f t="shared" si="19"/>
        <v>0.48981380065717417</v>
      </c>
      <c r="Y47" s="12">
        <f t="shared" si="20"/>
        <v>0.47177505902554195</v>
      </c>
      <c r="Z47" s="12">
        <f t="shared" si="21"/>
        <v>0.45286665235129914</v>
      </c>
      <c r="AA47" s="12">
        <f t="shared" si="22"/>
        <v>0.41538131962296487</v>
      </c>
      <c r="AB47" s="12">
        <f t="shared" si="23"/>
        <v>0.35835567470956209</v>
      </c>
      <c r="AC47" s="12">
        <f t="shared" si="24"/>
        <v>0.6310701956271576</v>
      </c>
      <c r="AD47" s="12">
        <f t="shared" si="25"/>
        <v>0.66032085561497322</v>
      </c>
      <c r="AE47" s="12">
        <f t="shared" si="26"/>
        <v>0.67508710801393723</v>
      </c>
      <c r="AF47" s="12">
        <f t="shared" si="27"/>
        <v>0.67949278530826407</v>
      </c>
      <c r="AG47" s="12">
        <f t="shared" si="28"/>
        <v>0.68086544962812712</v>
      </c>
      <c r="AH47" s="12">
        <f t="shared" si="29"/>
        <v>0.68213507625272329</v>
      </c>
      <c r="AJ47" s="6" t="s">
        <v>28</v>
      </c>
      <c r="AK47" s="12">
        <f t="shared" si="30"/>
        <v>0.12103684661525278</v>
      </c>
      <c r="AL47" s="12">
        <f t="shared" si="31"/>
        <v>0.13757199822773594</v>
      </c>
      <c r="AM47" s="12">
        <f t="shared" si="32"/>
        <v>0.13734939759036144</v>
      </c>
      <c r="AN47" s="12">
        <f t="shared" si="33"/>
        <v>0.12534878729341059</v>
      </c>
      <c r="AO47" s="12">
        <f t="shared" si="34"/>
        <v>0.12712046381790854</v>
      </c>
      <c r="AP47" s="12">
        <f t="shared" si="35"/>
        <v>0.17287917737789202</v>
      </c>
      <c r="AQ47" s="12">
        <f t="shared" si="36"/>
        <v>0.38360142984807866</v>
      </c>
      <c r="AR47" s="12">
        <f t="shared" si="37"/>
        <v>0.12750287686996548</v>
      </c>
      <c r="AS47" s="12">
        <f t="shared" si="38"/>
        <v>0.11058823529411765</v>
      </c>
      <c r="AT47" s="12">
        <f t="shared" si="39"/>
        <v>0.10779616724738676</v>
      </c>
      <c r="AU47" s="12">
        <f t="shared" si="40"/>
        <v>0.11018801923917797</v>
      </c>
      <c r="AV47" s="12">
        <f t="shared" si="41"/>
        <v>0.11291413116970926</v>
      </c>
      <c r="AW47" s="12">
        <f t="shared" si="42"/>
        <v>0.10065359477124183</v>
      </c>
    </row>
    <row r="48" spans="6:49">
      <c r="F48" s="3" t="s">
        <v>29</v>
      </c>
      <c r="G48" s="11">
        <f t="shared" si="4"/>
        <v>0.24158415841584158</v>
      </c>
      <c r="H48" s="11">
        <f t="shared" si="5"/>
        <v>0.48036327933235151</v>
      </c>
      <c r="I48" s="11">
        <f t="shared" si="6"/>
        <v>0.50492853622474121</v>
      </c>
      <c r="J48" s="11">
        <f t="shared" si="7"/>
        <v>0.53189471188048376</v>
      </c>
      <c r="K48" s="11">
        <f t="shared" si="8"/>
        <v>0.55099648300117232</v>
      </c>
      <c r="L48" s="11">
        <f t="shared" si="9"/>
        <v>0.5947728382999512</v>
      </c>
      <c r="M48" s="11">
        <f t="shared" si="10"/>
        <v>0.63995299647473558</v>
      </c>
      <c r="N48" s="11">
        <f t="shared" si="11"/>
        <v>0.37714429868819377</v>
      </c>
      <c r="O48" s="11">
        <f t="shared" si="12"/>
        <v>0.34964370546318291</v>
      </c>
      <c r="P48" s="11">
        <f t="shared" si="13"/>
        <v>0.31746031746031744</v>
      </c>
      <c r="Q48" s="11">
        <f t="shared" si="14"/>
        <v>0.32353655574447415</v>
      </c>
      <c r="R48" s="11">
        <f t="shared" si="15"/>
        <v>0.3207920792079208</v>
      </c>
      <c r="S48" s="11">
        <f t="shared" si="16"/>
        <v>0.34850389741010812</v>
      </c>
      <c r="U48" s="6" t="s">
        <v>29</v>
      </c>
      <c r="V48" s="12">
        <f t="shared" si="17"/>
        <v>0.6254950495049505</v>
      </c>
      <c r="W48" s="12">
        <f t="shared" si="18"/>
        <v>0.38414334806087386</v>
      </c>
      <c r="X48" s="12">
        <f t="shared" si="19"/>
        <v>0.3634795465746673</v>
      </c>
      <c r="Y48" s="12">
        <f t="shared" si="20"/>
        <v>0.34313493004505574</v>
      </c>
      <c r="Z48" s="12">
        <f t="shared" si="21"/>
        <v>0.32848769050410315</v>
      </c>
      <c r="AA48" s="12">
        <f t="shared" si="22"/>
        <v>0.29115779189057156</v>
      </c>
      <c r="AB48" s="12">
        <f t="shared" si="23"/>
        <v>0.22867215041128083</v>
      </c>
      <c r="AC48" s="12">
        <f t="shared" si="24"/>
        <v>0.2772452068617558</v>
      </c>
      <c r="AD48" s="12">
        <f t="shared" si="25"/>
        <v>0.53562945368171022</v>
      </c>
      <c r="AE48" s="12">
        <f t="shared" si="26"/>
        <v>0.57498223169864959</v>
      </c>
      <c r="AF48" s="12">
        <f t="shared" si="27"/>
        <v>0.56886082098615498</v>
      </c>
      <c r="AG48" s="12">
        <f t="shared" si="28"/>
        <v>0.56584158415841579</v>
      </c>
      <c r="AH48" s="12">
        <f t="shared" si="29"/>
        <v>0.54790042745788281</v>
      </c>
      <c r="AJ48" s="6" t="s">
        <v>29</v>
      </c>
      <c r="AK48" s="12">
        <f t="shared" si="30"/>
        <v>0.13292079207920793</v>
      </c>
      <c r="AL48" s="12">
        <f t="shared" si="31"/>
        <v>0.13549337260677466</v>
      </c>
      <c r="AM48" s="12">
        <f t="shared" si="32"/>
        <v>0.13159191720059144</v>
      </c>
      <c r="AN48" s="12">
        <f t="shared" si="33"/>
        <v>0.12497035807446051</v>
      </c>
      <c r="AO48" s="12">
        <f t="shared" si="34"/>
        <v>0.1205158264947245</v>
      </c>
      <c r="AP48" s="12">
        <f t="shared" si="35"/>
        <v>0.11406936980947728</v>
      </c>
      <c r="AQ48" s="12">
        <f t="shared" si="36"/>
        <v>0.13137485311398356</v>
      </c>
      <c r="AR48" s="12">
        <f t="shared" si="37"/>
        <v>0.34561049445005043</v>
      </c>
      <c r="AS48" s="12">
        <f t="shared" si="38"/>
        <v>0.11472684085510688</v>
      </c>
      <c r="AT48" s="12">
        <f t="shared" si="39"/>
        <v>0.10755745084103294</v>
      </c>
      <c r="AU48" s="12">
        <f t="shared" si="40"/>
        <v>0.1076026232693709</v>
      </c>
      <c r="AV48" s="12">
        <f t="shared" si="41"/>
        <v>0.11336633663366337</v>
      </c>
      <c r="AW48" s="12">
        <f t="shared" si="42"/>
        <v>0.10359567513200905</v>
      </c>
    </row>
    <row r="49" spans="6:49">
      <c r="F49" s="3" t="s">
        <v>30</v>
      </c>
      <c r="G49" s="11">
        <f t="shared" si="4"/>
        <v>0.36964141277972501</v>
      </c>
      <c r="H49" s="11">
        <f t="shared" si="5"/>
        <v>0.62991059333513955</v>
      </c>
      <c r="I49" s="11">
        <f t="shared" si="6"/>
        <v>0.62867058195408432</v>
      </c>
      <c r="J49" s="11">
        <f t="shared" si="7"/>
        <v>0.64895635673624286</v>
      </c>
      <c r="K49" s="11">
        <f t="shared" si="8"/>
        <v>0.65871509894280289</v>
      </c>
      <c r="L49" s="11">
        <f t="shared" si="9"/>
        <v>0.6925638179800222</v>
      </c>
      <c r="M49" s="11">
        <f t="shared" si="10"/>
        <v>0.77406523468575972</v>
      </c>
      <c r="N49" s="11">
        <f t="shared" si="11"/>
        <v>0.73030384511965585</v>
      </c>
      <c r="O49" s="11">
        <f t="shared" si="12"/>
        <v>0.46748082930985513</v>
      </c>
      <c r="P49" s="11">
        <f t="shared" si="13"/>
        <v>0.45132245357343836</v>
      </c>
      <c r="Q49" s="11">
        <f t="shared" si="14"/>
        <v>0.43149005720512124</v>
      </c>
      <c r="R49" s="11">
        <f t="shared" si="15"/>
        <v>0.42853139013452912</v>
      </c>
      <c r="S49" s="11">
        <f t="shared" si="16"/>
        <v>0.43981225842076199</v>
      </c>
      <c r="U49" s="6" t="s">
        <v>30</v>
      </c>
      <c r="V49" s="12">
        <f t="shared" si="17"/>
        <v>0.49177675923429498</v>
      </c>
      <c r="W49" s="12">
        <f t="shared" si="18"/>
        <v>0.24356542942292062</v>
      </c>
      <c r="X49" s="12">
        <f t="shared" si="19"/>
        <v>0.24719701014415377</v>
      </c>
      <c r="Y49" s="12">
        <f t="shared" si="20"/>
        <v>0.22770398481973433</v>
      </c>
      <c r="Z49" s="12">
        <f t="shared" si="21"/>
        <v>0.21957169964760098</v>
      </c>
      <c r="AA49" s="12">
        <f t="shared" si="22"/>
        <v>0.19311875693673697</v>
      </c>
      <c r="AB49" s="12">
        <f t="shared" si="23"/>
        <v>0.14744099708300185</v>
      </c>
      <c r="AC49" s="12">
        <f t="shared" si="24"/>
        <v>0.14627588061306804</v>
      </c>
      <c r="AD49" s="12">
        <f t="shared" si="25"/>
        <v>0.18631070718545867</v>
      </c>
      <c r="AE49" s="12">
        <f t="shared" si="26"/>
        <v>0.44006752954417555</v>
      </c>
      <c r="AF49" s="12">
        <f t="shared" si="27"/>
        <v>0.46308907654590031</v>
      </c>
      <c r="AG49" s="12">
        <f t="shared" si="28"/>
        <v>0.45431614349775784</v>
      </c>
      <c r="AH49" s="12">
        <f t="shared" si="29"/>
        <v>0.44781888459414687</v>
      </c>
      <c r="AJ49" s="6" t="s">
        <v>30</v>
      </c>
      <c r="AK49" s="12">
        <f t="shared" si="30"/>
        <v>0.13858182798598004</v>
      </c>
      <c r="AL49" s="12">
        <f t="shared" si="31"/>
        <v>0.12652397724193987</v>
      </c>
      <c r="AM49" s="12">
        <f t="shared" si="32"/>
        <v>0.12413240790176187</v>
      </c>
      <c r="AN49" s="12">
        <f t="shared" si="33"/>
        <v>0.12333965844402277</v>
      </c>
      <c r="AO49" s="12">
        <f t="shared" si="34"/>
        <v>0.1217132014095961</v>
      </c>
      <c r="AP49" s="12">
        <f t="shared" si="35"/>
        <v>0.11431742508324085</v>
      </c>
      <c r="AQ49" s="12">
        <f t="shared" si="36"/>
        <v>7.8493768231238395E-2</v>
      </c>
      <c r="AR49" s="12">
        <f t="shared" si="37"/>
        <v>0.12342027426727616</v>
      </c>
      <c r="AS49" s="12">
        <f t="shared" si="38"/>
        <v>0.34620846350468615</v>
      </c>
      <c r="AT49" s="12">
        <f t="shared" si="39"/>
        <v>0.10861001688238604</v>
      </c>
      <c r="AU49" s="12">
        <f t="shared" si="40"/>
        <v>0.10542086624897848</v>
      </c>
      <c r="AV49" s="12">
        <f t="shared" si="41"/>
        <v>0.11715246636771301</v>
      </c>
      <c r="AW49" s="12">
        <f t="shared" si="42"/>
        <v>0.11236885698509111</v>
      </c>
    </row>
    <row r="50" spans="6:49">
      <c r="F50" s="3" t="s">
        <v>31</v>
      </c>
      <c r="G50" s="11">
        <f t="shared" si="4"/>
        <v>0.51254826254826258</v>
      </c>
      <c r="H50" s="11">
        <f t="shared" si="5"/>
        <v>0.76391184573002757</v>
      </c>
      <c r="I50" s="11">
        <f t="shared" si="6"/>
        <v>0.76823272329964487</v>
      </c>
      <c r="J50" s="11">
        <f t="shared" si="7"/>
        <v>0.76485114556180545</v>
      </c>
      <c r="K50" s="11">
        <f t="shared" si="8"/>
        <v>0.78266793841122773</v>
      </c>
      <c r="L50" s="11">
        <f t="shared" si="9"/>
        <v>0.80772920378237634</v>
      </c>
      <c r="M50" s="11">
        <f t="shared" si="10"/>
        <v>0.84615384615384615</v>
      </c>
      <c r="N50" s="11">
        <f t="shared" si="11"/>
        <v>0.85603059691298999</v>
      </c>
      <c r="O50" s="11">
        <f t="shared" si="12"/>
        <v>0.81638300816383003</v>
      </c>
      <c r="P50" s="11">
        <f t="shared" si="13"/>
        <v>0.55544787484424751</v>
      </c>
      <c r="Q50" s="11">
        <f t="shared" si="14"/>
        <v>0.54793152639087017</v>
      </c>
      <c r="R50" s="11">
        <f t="shared" si="15"/>
        <v>0.55132609591864778</v>
      </c>
      <c r="S50" s="11">
        <f t="shared" si="16"/>
        <v>0.55021590750800953</v>
      </c>
      <c r="U50" s="6" t="s">
        <v>31</v>
      </c>
      <c r="V50" s="12">
        <f t="shared" si="17"/>
        <v>0.34900717043574186</v>
      </c>
      <c r="W50" s="12">
        <f t="shared" si="18"/>
        <v>0.11749311294765841</v>
      </c>
      <c r="X50" s="12">
        <f t="shared" si="19"/>
        <v>0.10925976509150505</v>
      </c>
      <c r="Y50" s="12">
        <f t="shared" si="20"/>
        <v>0.11387021539305803</v>
      </c>
      <c r="Z50" s="12">
        <f t="shared" si="21"/>
        <v>0.10805286823817958</v>
      </c>
      <c r="AA50" s="12">
        <f t="shared" si="22"/>
        <v>0.10141153898862547</v>
      </c>
      <c r="AB50" s="12">
        <f t="shared" si="23"/>
        <v>7.1321218745730289E-2</v>
      </c>
      <c r="AC50" s="12">
        <f t="shared" si="24"/>
        <v>6.7886900696626146E-2</v>
      </c>
      <c r="AD50" s="12">
        <f t="shared" si="25"/>
        <v>6.1989760619897603E-2</v>
      </c>
      <c r="AE50" s="12">
        <f t="shared" si="26"/>
        <v>0.11048040980202133</v>
      </c>
      <c r="AF50" s="12">
        <f t="shared" si="27"/>
        <v>0.11398002853067048</v>
      </c>
      <c r="AG50" s="12">
        <f t="shared" si="28"/>
        <v>0.10993541294489488</v>
      </c>
      <c r="AH50" s="12">
        <f t="shared" si="29"/>
        <v>0.11227190416492548</v>
      </c>
      <c r="AJ50" s="6" t="s">
        <v>31</v>
      </c>
      <c r="AK50" s="12">
        <f t="shared" si="30"/>
        <v>0.13844456701599558</v>
      </c>
      <c r="AL50" s="12">
        <f t="shared" si="31"/>
        <v>0.11859504132231405</v>
      </c>
      <c r="AM50" s="12">
        <f t="shared" si="32"/>
        <v>0.12250751160885004</v>
      </c>
      <c r="AN50" s="12">
        <f t="shared" si="33"/>
        <v>0.12127863904513651</v>
      </c>
      <c r="AO50" s="12">
        <f t="shared" si="34"/>
        <v>0.10927919335059272</v>
      </c>
      <c r="AP50" s="12">
        <f t="shared" si="35"/>
        <v>9.0859257228998222E-2</v>
      </c>
      <c r="AQ50" s="12">
        <f t="shared" si="36"/>
        <v>8.2524935100423552E-2</v>
      </c>
      <c r="AR50" s="12">
        <f t="shared" si="37"/>
        <v>7.6082502390383833E-2</v>
      </c>
      <c r="AS50" s="12">
        <f t="shared" si="38"/>
        <v>0.12162723121627231</v>
      </c>
      <c r="AT50" s="12">
        <f t="shared" si="39"/>
        <v>0.33407171535373115</v>
      </c>
      <c r="AU50" s="12">
        <f t="shared" si="40"/>
        <v>0.33808844507845937</v>
      </c>
      <c r="AV50" s="12">
        <f t="shared" si="41"/>
        <v>0.33873849113645732</v>
      </c>
      <c r="AW50" s="12">
        <f t="shared" si="42"/>
        <v>0.33751218832706503</v>
      </c>
    </row>
    <row r="51" spans="6:49">
      <c r="F51" s="3" t="s">
        <v>32</v>
      </c>
      <c r="G51" s="11">
        <f t="shared" si="4"/>
        <v>0.1937046004842615</v>
      </c>
      <c r="H51" s="11">
        <f t="shared" si="5"/>
        <v>0.335632183908046</v>
      </c>
      <c r="I51" s="11">
        <f t="shared" si="6"/>
        <v>0.35934291581108829</v>
      </c>
      <c r="J51" s="11">
        <f t="shared" si="7"/>
        <v>0.32941176470588235</v>
      </c>
      <c r="K51" s="11">
        <f t="shared" si="8"/>
        <v>0.37229437229437229</v>
      </c>
      <c r="L51" s="11">
        <f t="shared" si="9"/>
        <v>0.35650224215246634</v>
      </c>
      <c r="M51" s="11">
        <f t="shared" si="10"/>
        <v>0.33406113537117904</v>
      </c>
      <c r="N51" s="11">
        <f t="shared" si="11"/>
        <v>0.29954954954954954</v>
      </c>
      <c r="O51" s="11">
        <f t="shared" si="12"/>
        <v>0.28674698795180725</v>
      </c>
      <c r="P51" s="11">
        <f t="shared" si="13"/>
        <v>0.21939953810623555</v>
      </c>
      <c r="Q51" s="11">
        <f t="shared" si="14"/>
        <v>0.20145631067961164</v>
      </c>
      <c r="R51" s="11">
        <f t="shared" si="15"/>
        <v>0.27400468384074944</v>
      </c>
      <c r="S51" s="11">
        <f t="shared" si="16"/>
        <v>0.24455205811138014</v>
      </c>
      <c r="U51" s="6" t="s">
        <v>32</v>
      </c>
      <c r="V51" s="12">
        <f t="shared" si="17"/>
        <v>0.75302663438256656</v>
      </c>
      <c r="W51" s="12">
        <f t="shared" si="18"/>
        <v>0.63908045977011496</v>
      </c>
      <c r="X51" s="12">
        <f t="shared" si="19"/>
        <v>0.58521560574948661</v>
      </c>
      <c r="Y51" s="12">
        <f t="shared" si="20"/>
        <v>0.62588235294117645</v>
      </c>
      <c r="Z51" s="12">
        <f t="shared" si="21"/>
        <v>0.59307359307359309</v>
      </c>
      <c r="AA51" s="12">
        <f t="shared" si="22"/>
        <v>0.61434977578475336</v>
      </c>
      <c r="AB51" s="12">
        <f t="shared" si="23"/>
        <v>0.6266375545851528</v>
      </c>
      <c r="AC51" s="12">
        <f t="shared" si="24"/>
        <v>0.65090090090090091</v>
      </c>
      <c r="AD51" s="12">
        <f t="shared" si="25"/>
        <v>0.66265060240963858</v>
      </c>
      <c r="AE51" s="12">
        <f t="shared" si="26"/>
        <v>0.71824480369515009</v>
      </c>
      <c r="AF51" s="12">
        <f t="shared" si="27"/>
        <v>0.72330097087378642</v>
      </c>
      <c r="AG51" s="12">
        <f t="shared" si="28"/>
        <v>0.67213114754098358</v>
      </c>
      <c r="AH51" s="12">
        <f t="shared" si="29"/>
        <v>0.69249394673123488</v>
      </c>
      <c r="AJ51" s="6" t="s">
        <v>32</v>
      </c>
      <c r="AK51" s="12">
        <f t="shared" si="30"/>
        <v>5.3268765133171914E-2</v>
      </c>
      <c r="AL51" s="12">
        <f t="shared" si="31"/>
        <v>2.528735632183908E-2</v>
      </c>
      <c r="AM51" s="12">
        <f t="shared" si="32"/>
        <v>5.5441478439425054E-2</v>
      </c>
      <c r="AN51" s="12">
        <f t="shared" si="33"/>
        <v>4.4705882352941179E-2</v>
      </c>
      <c r="AO51" s="12">
        <f t="shared" si="34"/>
        <v>3.4632034632034632E-2</v>
      </c>
      <c r="AP51" s="12">
        <f t="shared" si="35"/>
        <v>2.914798206278027E-2</v>
      </c>
      <c r="AQ51" s="12">
        <f t="shared" si="36"/>
        <v>3.9301310043668124E-2</v>
      </c>
      <c r="AR51" s="12">
        <f t="shared" si="37"/>
        <v>4.954954954954955E-2</v>
      </c>
      <c r="AS51" s="12">
        <f t="shared" si="38"/>
        <v>5.0602409638554217E-2</v>
      </c>
      <c r="AT51" s="12">
        <f t="shared" si="39"/>
        <v>6.2355658198614321E-2</v>
      </c>
      <c r="AU51" s="12">
        <f t="shared" si="40"/>
        <v>7.5242718446601936E-2</v>
      </c>
      <c r="AV51" s="12">
        <f t="shared" si="41"/>
        <v>5.3864168618266976E-2</v>
      </c>
      <c r="AW51" s="12">
        <f t="shared" si="42"/>
        <v>6.2953995157384993E-2</v>
      </c>
    </row>
    <row r="52" spans="6:49">
      <c r="F52" s="3" t="s">
        <v>33</v>
      </c>
      <c r="G52" s="11">
        <f t="shared" si="4"/>
        <v>0.10543478260869565</v>
      </c>
      <c r="H52" s="11">
        <f t="shared" si="5"/>
        <v>0.36004514672686228</v>
      </c>
      <c r="I52" s="11">
        <f t="shared" si="6"/>
        <v>0.39337016574585637</v>
      </c>
      <c r="J52" s="11">
        <f t="shared" si="7"/>
        <v>0.37024972855591748</v>
      </c>
      <c r="K52" s="11">
        <f t="shared" si="8"/>
        <v>0.43612334801762115</v>
      </c>
      <c r="L52" s="11">
        <f t="shared" si="9"/>
        <v>0.41540130151843818</v>
      </c>
      <c r="M52" s="11">
        <f t="shared" si="10"/>
        <v>0.26252723311546838</v>
      </c>
      <c r="N52" s="11">
        <f t="shared" si="11"/>
        <v>0.24290578887627695</v>
      </c>
      <c r="O52" s="11">
        <f t="shared" si="12"/>
        <v>0.24703344120819848</v>
      </c>
      <c r="P52" s="11">
        <f t="shared" si="13"/>
        <v>0.1965065502183406</v>
      </c>
      <c r="Q52" s="11">
        <f t="shared" si="14"/>
        <v>0.2</v>
      </c>
      <c r="R52" s="11">
        <f t="shared" si="15"/>
        <v>0.23578947368421052</v>
      </c>
      <c r="S52" s="11">
        <f t="shared" si="16"/>
        <v>0.2336842105263158</v>
      </c>
      <c r="U52" s="6" t="s">
        <v>33</v>
      </c>
      <c r="V52" s="12">
        <f t="shared" si="17"/>
        <v>0.89456521739130435</v>
      </c>
      <c r="W52" s="12">
        <f t="shared" si="18"/>
        <v>0.63995485327313772</v>
      </c>
      <c r="X52" s="12">
        <f t="shared" si="19"/>
        <v>0.60662983425414363</v>
      </c>
      <c r="Y52" s="12">
        <f t="shared" si="20"/>
        <v>0.62975027144408247</v>
      </c>
      <c r="Z52" s="12">
        <f t="shared" si="21"/>
        <v>0.56387665198237891</v>
      </c>
      <c r="AA52" s="12">
        <f t="shared" si="22"/>
        <v>0.58459869848156187</v>
      </c>
      <c r="AB52" s="12">
        <f t="shared" si="23"/>
        <v>0.73747276688453156</v>
      </c>
      <c r="AC52" s="12">
        <f t="shared" si="24"/>
        <v>0.75709421112372299</v>
      </c>
      <c r="AD52" s="12">
        <f t="shared" si="25"/>
        <v>0.75296655879180152</v>
      </c>
      <c r="AE52" s="12">
        <f t="shared" si="26"/>
        <v>0.80349344978165937</v>
      </c>
      <c r="AF52" s="12">
        <f t="shared" si="27"/>
        <v>0.8</v>
      </c>
      <c r="AG52" s="12">
        <f t="shared" si="28"/>
        <v>0.76421052631578945</v>
      </c>
      <c r="AH52" s="12">
        <f t="shared" si="29"/>
        <v>0.76631578947368417</v>
      </c>
      <c r="AJ52" s="6" t="s">
        <v>33</v>
      </c>
      <c r="AK52" s="12">
        <f t="shared" si="30"/>
        <v>0</v>
      </c>
      <c r="AL52" s="12">
        <f t="shared" si="31"/>
        <v>0</v>
      </c>
      <c r="AM52" s="12">
        <f t="shared" si="32"/>
        <v>0</v>
      </c>
      <c r="AN52" s="12">
        <f t="shared" si="33"/>
        <v>0</v>
      </c>
      <c r="AO52" s="12">
        <f t="shared" si="34"/>
        <v>0</v>
      </c>
      <c r="AP52" s="12">
        <f t="shared" si="35"/>
        <v>0</v>
      </c>
      <c r="AQ52" s="12">
        <f t="shared" si="36"/>
        <v>0</v>
      </c>
      <c r="AR52" s="12">
        <f t="shared" si="37"/>
        <v>0</v>
      </c>
      <c r="AS52" s="12">
        <f t="shared" si="38"/>
        <v>0</v>
      </c>
      <c r="AT52" s="12">
        <f t="shared" si="39"/>
        <v>0</v>
      </c>
      <c r="AU52" s="12">
        <f t="shared" si="40"/>
        <v>0</v>
      </c>
      <c r="AV52" s="12">
        <f t="shared" si="41"/>
        <v>0</v>
      </c>
      <c r="AW52" s="12">
        <f t="shared" si="42"/>
        <v>0</v>
      </c>
    </row>
    <row r="53" spans="6:49">
      <c r="F53" s="3" t="s">
        <v>34</v>
      </c>
      <c r="G53" s="11">
        <f t="shared" si="4"/>
        <v>0.12646370023419204</v>
      </c>
      <c r="H53" s="11">
        <f t="shared" si="5"/>
        <v>0.36093418259023352</v>
      </c>
      <c r="I53" s="11">
        <f t="shared" si="6"/>
        <v>0.3888888888888889</v>
      </c>
      <c r="J53" s="11">
        <f t="shared" si="7"/>
        <v>0.43453724604966137</v>
      </c>
      <c r="K53" s="11">
        <f t="shared" si="8"/>
        <v>0.40283842794759828</v>
      </c>
      <c r="L53" s="11">
        <f t="shared" si="9"/>
        <v>0.43654822335025378</v>
      </c>
      <c r="M53" s="11">
        <f t="shared" si="10"/>
        <v>0.27330508474576271</v>
      </c>
      <c r="N53" s="11">
        <f t="shared" si="11"/>
        <v>0.24229074889867841</v>
      </c>
      <c r="O53" s="11">
        <f t="shared" si="12"/>
        <v>0.23895809739524349</v>
      </c>
      <c r="P53" s="11">
        <f t="shared" si="13"/>
        <v>0.21995708154506438</v>
      </c>
      <c r="Q53" s="11">
        <f t="shared" si="14"/>
        <v>0.2109704641350211</v>
      </c>
      <c r="R53" s="11">
        <f t="shared" si="15"/>
        <v>0.19557625145518046</v>
      </c>
      <c r="S53" s="11">
        <f t="shared" si="16"/>
        <v>0.21137339055793991</v>
      </c>
      <c r="U53" s="6" t="s">
        <v>34</v>
      </c>
      <c r="V53" s="12">
        <f t="shared" si="17"/>
        <v>0.87353629976580793</v>
      </c>
      <c r="W53" s="12">
        <f t="shared" si="18"/>
        <v>0.63906581740976642</v>
      </c>
      <c r="X53" s="12">
        <f t="shared" si="19"/>
        <v>0.61111111111111116</v>
      </c>
      <c r="Y53" s="12">
        <f t="shared" si="20"/>
        <v>0.56546275395033863</v>
      </c>
      <c r="Z53" s="12">
        <f t="shared" si="21"/>
        <v>0.59716157205240172</v>
      </c>
      <c r="AA53" s="12">
        <f t="shared" si="22"/>
        <v>0.56345177664974622</v>
      </c>
      <c r="AB53" s="12">
        <f t="shared" si="23"/>
        <v>0.72669491525423724</v>
      </c>
      <c r="AC53" s="12">
        <f t="shared" si="24"/>
        <v>0.75770925110132159</v>
      </c>
      <c r="AD53" s="12">
        <f t="shared" si="25"/>
        <v>0.76104190260475646</v>
      </c>
      <c r="AE53" s="12">
        <f t="shared" si="26"/>
        <v>0.78004291845493567</v>
      </c>
      <c r="AF53" s="12">
        <f t="shared" si="27"/>
        <v>0.78902953586497893</v>
      </c>
      <c r="AG53" s="12">
        <f t="shared" si="28"/>
        <v>0.80442374854481957</v>
      </c>
      <c r="AH53" s="12">
        <f t="shared" si="29"/>
        <v>0.78862660944206009</v>
      </c>
      <c r="AJ53" s="6" t="s">
        <v>34</v>
      </c>
      <c r="AK53" s="12">
        <f t="shared" si="30"/>
        <v>0</v>
      </c>
      <c r="AL53" s="12">
        <f t="shared" si="31"/>
        <v>0</v>
      </c>
      <c r="AM53" s="12">
        <f t="shared" si="32"/>
        <v>0</v>
      </c>
      <c r="AN53" s="12">
        <f t="shared" si="33"/>
        <v>0</v>
      </c>
      <c r="AO53" s="12">
        <f t="shared" si="34"/>
        <v>0</v>
      </c>
      <c r="AP53" s="12">
        <f t="shared" si="35"/>
        <v>0</v>
      </c>
      <c r="AQ53" s="12">
        <f t="shared" si="36"/>
        <v>0</v>
      </c>
      <c r="AR53" s="12">
        <f t="shared" si="37"/>
        <v>0</v>
      </c>
      <c r="AS53" s="12">
        <f t="shared" si="38"/>
        <v>0</v>
      </c>
      <c r="AT53" s="12">
        <f t="shared" si="39"/>
        <v>0</v>
      </c>
      <c r="AU53" s="12">
        <f t="shared" si="40"/>
        <v>0</v>
      </c>
      <c r="AV53" s="12">
        <f t="shared" si="41"/>
        <v>0</v>
      </c>
      <c r="AW53" s="12">
        <f t="shared" si="42"/>
        <v>0</v>
      </c>
    </row>
    <row r="54" spans="6:49">
      <c r="F54" s="3" t="s">
        <v>35</v>
      </c>
      <c r="G54" s="11">
        <f t="shared" si="4"/>
        <v>0.13318284424379231</v>
      </c>
      <c r="H54" s="11">
        <f t="shared" si="5"/>
        <v>0.35799782372143635</v>
      </c>
      <c r="I54" s="11">
        <f t="shared" si="6"/>
        <v>0.37358916478555304</v>
      </c>
      <c r="J54" s="11">
        <f t="shared" si="7"/>
        <v>0.39076576576576577</v>
      </c>
      <c r="K54" s="11">
        <f t="shared" si="8"/>
        <v>0.41391106043329534</v>
      </c>
      <c r="L54" s="11">
        <f t="shared" si="9"/>
        <v>0.41085271317829458</v>
      </c>
      <c r="M54" s="11">
        <f t="shared" si="10"/>
        <v>0.26586433260393871</v>
      </c>
      <c r="N54" s="11">
        <f t="shared" si="11"/>
        <v>0.22844344904815231</v>
      </c>
      <c r="O54" s="11">
        <f t="shared" si="12"/>
        <v>0.22912205567451821</v>
      </c>
      <c r="P54" s="11">
        <f t="shared" si="13"/>
        <v>0.23773173391494001</v>
      </c>
      <c r="Q54" s="11">
        <f t="shared" si="14"/>
        <v>0.19977678571428573</v>
      </c>
      <c r="R54" s="11">
        <f t="shared" si="15"/>
        <v>0.21753246753246752</v>
      </c>
      <c r="S54" s="11">
        <f t="shared" si="16"/>
        <v>0.23382519863791146</v>
      </c>
      <c r="U54" s="6" t="s">
        <v>35</v>
      </c>
      <c r="V54" s="12">
        <f t="shared" si="17"/>
        <v>0.86681715575620766</v>
      </c>
      <c r="W54" s="12">
        <f t="shared" si="18"/>
        <v>0.64200217627856371</v>
      </c>
      <c r="X54" s="12">
        <f t="shared" si="19"/>
        <v>0.62641083521444696</v>
      </c>
      <c r="Y54" s="12">
        <f t="shared" si="20"/>
        <v>0.60923423423423428</v>
      </c>
      <c r="Z54" s="12">
        <f t="shared" si="21"/>
        <v>0.58608893956670471</v>
      </c>
      <c r="AA54" s="12">
        <f t="shared" si="22"/>
        <v>0.58914728682170547</v>
      </c>
      <c r="AB54" s="12">
        <f t="shared" si="23"/>
        <v>0.73413566739606129</v>
      </c>
      <c r="AC54" s="12">
        <f t="shared" si="24"/>
        <v>0.77155655095184772</v>
      </c>
      <c r="AD54" s="12">
        <f t="shared" si="25"/>
        <v>0.77087794432548185</v>
      </c>
      <c r="AE54" s="12">
        <f t="shared" si="26"/>
        <v>0.76226826608505993</v>
      </c>
      <c r="AF54" s="12">
        <f t="shared" si="27"/>
        <v>0.8002232142857143</v>
      </c>
      <c r="AG54" s="12">
        <f t="shared" si="28"/>
        <v>0.78246753246753242</v>
      </c>
      <c r="AH54" s="12">
        <f t="shared" si="29"/>
        <v>0.76617480136208849</v>
      </c>
      <c r="AJ54" s="6" t="s">
        <v>35</v>
      </c>
      <c r="AK54" s="12">
        <f t="shared" si="30"/>
        <v>0</v>
      </c>
      <c r="AL54" s="12">
        <f t="shared" si="31"/>
        <v>0</v>
      </c>
      <c r="AM54" s="12">
        <f t="shared" si="32"/>
        <v>0</v>
      </c>
      <c r="AN54" s="12">
        <f t="shared" si="33"/>
        <v>0</v>
      </c>
      <c r="AO54" s="12">
        <f t="shared" si="34"/>
        <v>0</v>
      </c>
      <c r="AP54" s="12">
        <f t="shared" si="35"/>
        <v>0</v>
      </c>
      <c r="AQ54" s="12">
        <f t="shared" si="36"/>
        <v>0</v>
      </c>
      <c r="AR54" s="12">
        <f t="shared" si="37"/>
        <v>0</v>
      </c>
      <c r="AS54" s="12">
        <f t="shared" si="38"/>
        <v>0</v>
      </c>
      <c r="AT54" s="12">
        <f t="shared" si="39"/>
        <v>0</v>
      </c>
      <c r="AU54" s="12">
        <f t="shared" si="40"/>
        <v>0</v>
      </c>
      <c r="AV54" s="12">
        <f t="shared" si="41"/>
        <v>0</v>
      </c>
      <c r="AW54" s="12">
        <f t="shared" si="42"/>
        <v>0</v>
      </c>
    </row>
    <row r="55" spans="6:49">
      <c r="F55" s="3" t="s">
        <v>36</v>
      </c>
      <c r="G55" s="11">
        <f t="shared" si="4"/>
        <v>0.11277330264672036</v>
      </c>
      <c r="H55" s="11">
        <f t="shared" si="5"/>
        <v>0.34146341463414637</v>
      </c>
      <c r="I55" s="11">
        <f t="shared" si="6"/>
        <v>0.38212290502793295</v>
      </c>
      <c r="J55" s="11">
        <f t="shared" si="7"/>
        <v>0.37619553666312433</v>
      </c>
      <c r="K55" s="11">
        <f t="shared" si="8"/>
        <v>0.43952483801295894</v>
      </c>
      <c r="L55" s="11">
        <f t="shared" si="9"/>
        <v>0.41840087623220151</v>
      </c>
      <c r="M55" s="11">
        <f t="shared" si="10"/>
        <v>0.27391304347826084</v>
      </c>
      <c r="N55" s="11">
        <f t="shared" si="11"/>
        <v>0.24373576309794989</v>
      </c>
      <c r="O55" s="11">
        <f t="shared" si="12"/>
        <v>0.24754634678298801</v>
      </c>
      <c r="P55" s="11">
        <f t="shared" si="13"/>
        <v>0.23220153340635269</v>
      </c>
      <c r="Q55" s="11">
        <f t="shared" si="14"/>
        <v>0.21916299559471367</v>
      </c>
      <c r="R55" s="11">
        <f t="shared" si="15"/>
        <v>0.22631578947368422</v>
      </c>
      <c r="S55" s="11">
        <f t="shared" si="16"/>
        <v>0.21822033898305085</v>
      </c>
      <c r="U55" s="6" t="s">
        <v>36</v>
      </c>
      <c r="V55" s="12">
        <f t="shared" si="17"/>
        <v>0.88722669735327964</v>
      </c>
      <c r="W55" s="12">
        <f t="shared" si="18"/>
        <v>0.65853658536585369</v>
      </c>
      <c r="X55" s="12">
        <f t="shared" si="19"/>
        <v>0.617877094972067</v>
      </c>
      <c r="Y55" s="12">
        <f t="shared" si="20"/>
        <v>0.62380446333687567</v>
      </c>
      <c r="Z55" s="12">
        <f t="shared" si="21"/>
        <v>0.56047516198704106</v>
      </c>
      <c r="AA55" s="12">
        <f t="shared" si="22"/>
        <v>0.58159912376779843</v>
      </c>
      <c r="AB55" s="12">
        <f t="shared" si="23"/>
        <v>0.72608695652173916</v>
      </c>
      <c r="AC55" s="12">
        <f t="shared" si="24"/>
        <v>0.75626423690205014</v>
      </c>
      <c r="AD55" s="12">
        <f t="shared" si="25"/>
        <v>0.75245365321701196</v>
      </c>
      <c r="AE55" s="12">
        <f t="shared" si="26"/>
        <v>0.76779846659364737</v>
      </c>
      <c r="AF55" s="12">
        <f t="shared" si="27"/>
        <v>0.78083700440528636</v>
      </c>
      <c r="AG55" s="12">
        <f t="shared" si="28"/>
        <v>0.77368421052631575</v>
      </c>
      <c r="AH55" s="12">
        <f t="shared" si="29"/>
        <v>0.78177966101694918</v>
      </c>
      <c r="AJ55" s="6" t="s">
        <v>36</v>
      </c>
      <c r="AK55" s="12">
        <f t="shared" si="30"/>
        <v>0</v>
      </c>
      <c r="AL55" s="12">
        <f t="shared" si="31"/>
        <v>0</v>
      </c>
      <c r="AM55" s="12">
        <f t="shared" si="32"/>
        <v>0</v>
      </c>
      <c r="AN55" s="12">
        <f t="shared" si="33"/>
        <v>0</v>
      </c>
      <c r="AO55" s="12">
        <f t="shared" si="34"/>
        <v>0</v>
      </c>
      <c r="AP55" s="12">
        <f t="shared" si="35"/>
        <v>0</v>
      </c>
      <c r="AQ55" s="12">
        <f t="shared" si="36"/>
        <v>0</v>
      </c>
      <c r="AR55" s="12">
        <f t="shared" si="37"/>
        <v>0</v>
      </c>
      <c r="AS55" s="12">
        <f t="shared" si="38"/>
        <v>0</v>
      </c>
      <c r="AT55" s="12">
        <f t="shared" si="39"/>
        <v>0</v>
      </c>
      <c r="AU55" s="12">
        <f t="shared" si="40"/>
        <v>0</v>
      </c>
      <c r="AV55" s="12">
        <f t="shared" si="41"/>
        <v>0</v>
      </c>
      <c r="AW55" s="12">
        <f t="shared" si="42"/>
        <v>0</v>
      </c>
    </row>
    <row r="56" spans="6:49">
      <c r="F56" s="3" t="s">
        <v>37</v>
      </c>
      <c r="G56" s="11">
        <f t="shared" si="4"/>
        <v>0.10817031070195628</v>
      </c>
      <c r="H56" s="11">
        <f t="shared" si="5"/>
        <v>0.3783482142857143</v>
      </c>
      <c r="I56" s="11">
        <f t="shared" si="6"/>
        <v>0.37713139418254765</v>
      </c>
      <c r="J56" s="11">
        <f t="shared" si="7"/>
        <v>0.40756756756756757</v>
      </c>
      <c r="K56" s="11">
        <f t="shared" si="8"/>
        <v>0.39573991031390132</v>
      </c>
      <c r="L56" s="11">
        <f t="shared" si="9"/>
        <v>0.42329227323628221</v>
      </c>
      <c r="M56" s="11">
        <f t="shared" si="10"/>
        <v>0.27282608695652172</v>
      </c>
      <c r="N56" s="11">
        <f t="shared" si="11"/>
        <v>0.23664921465968586</v>
      </c>
      <c r="O56" s="11">
        <f t="shared" si="12"/>
        <v>0.24186550976138829</v>
      </c>
      <c r="P56" s="11">
        <f t="shared" si="13"/>
        <v>0.21820062047569805</v>
      </c>
      <c r="Q56" s="11">
        <f t="shared" si="14"/>
        <v>0.20353982300884957</v>
      </c>
      <c r="R56" s="11">
        <f t="shared" si="15"/>
        <v>0.18939393939393939</v>
      </c>
      <c r="S56" s="11">
        <f t="shared" si="16"/>
        <v>0.2065677966101695</v>
      </c>
      <c r="U56" s="6" t="s">
        <v>37</v>
      </c>
      <c r="V56" s="12">
        <f t="shared" si="17"/>
        <v>0.76639815880322204</v>
      </c>
      <c r="W56" s="12">
        <f t="shared" si="18"/>
        <v>0.47544642857142855</v>
      </c>
      <c r="X56" s="12">
        <f t="shared" si="19"/>
        <v>0.46940822467402205</v>
      </c>
      <c r="Y56" s="12">
        <f t="shared" si="20"/>
        <v>0.46162162162162163</v>
      </c>
      <c r="Z56" s="12">
        <f t="shared" si="21"/>
        <v>0.49103139013452912</v>
      </c>
      <c r="AA56" s="12">
        <f t="shared" si="22"/>
        <v>0.42441209406494962</v>
      </c>
      <c r="AB56" s="12">
        <f t="shared" si="23"/>
        <v>0.35652173913043478</v>
      </c>
      <c r="AC56" s="12">
        <f t="shared" si="24"/>
        <v>0.64816753926701576</v>
      </c>
      <c r="AD56" s="12">
        <f t="shared" si="25"/>
        <v>0.65292841648590016</v>
      </c>
      <c r="AE56" s="12">
        <f t="shared" si="26"/>
        <v>0.66494312306101344</v>
      </c>
      <c r="AF56" s="12">
        <f t="shared" si="27"/>
        <v>0.67146017699115046</v>
      </c>
      <c r="AG56" s="12">
        <f t="shared" si="28"/>
        <v>0.69372294372294374</v>
      </c>
      <c r="AH56" s="12">
        <f t="shared" si="29"/>
        <v>0.67796610169491522</v>
      </c>
      <c r="AJ56" s="6" t="s">
        <v>37</v>
      </c>
      <c r="AK56" s="12">
        <f t="shared" si="30"/>
        <v>0.12543153049482164</v>
      </c>
      <c r="AL56" s="12">
        <f t="shared" si="31"/>
        <v>0.14620535714285715</v>
      </c>
      <c r="AM56" s="12">
        <f t="shared" si="32"/>
        <v>0.1534603811434303</v>
      </c>
      <c r="AN56" s="12">
        <f t="shared" si="33"/>
        <v>0.13081081081081081</v>
      </c>
      <c r="AO56" s="12">
        <f t="shared" si="34"/>
        <v>0.1132286995515695</v>
      </c>
      <c r="AP56" s="12">
        <f t="shared" si="35"/>
        <v>0.1522956326987682</v>
      </c>
      <c r="AQ56" s="12">
        <f t="shared" si="36"/>
        <v>0.3706521739130435</v>
      </c>
      <c r="AR56" s="12">
        <f t="shared" si="37"/>
        <v>0.11518324607329843</v>
      </c>
      <c r="AS56" s="12">
        <f t="shared" si="38"/>
        <v>0.1052060737527115</v>
      </c>
      <c r="AT56" s="12">
        <f t="shared" si="39"/>
        <v>0.11685625646328852</v>
      </c>
      <c r="AU56" s="12">
        <f t="shared" si="40"/>
        <v>0.125</v>
      </c>
      <c r="AV56" s="12">
        <f t="shared" si="41"/>
        <v>0.11688311688311688</v>
      </c>
      <c r="AW56" s="12">
        <f t="shared" si="42"/>
        <v>0.11546610169491525</v>
      </c>
    </row>
    <row r="57" spans="6:49">
      <c r="F57" s="3" t="s">
        <v>38</v>
      </c>
      <c r="G57" s="11">
        <f t="shared" si="4"/>
        <v>0.23255813953488372</v>
      </c>
      <c r="H57" s="11">
        <f t="shared" si="5"/>
        <v>0.50341685649202739</v>
      </c>
      <c r="I57" s="11">
        <f t="shared" si="6"/>
        <v>0.52013057671381935</v>
      </c>
      <c r="J57" s="11">
        <f t="shared" si="7"/>
        <v>0.54133635334088337</v>
      </c>
      <c r="K57" s="11">
        <f t="shared" si="8"/>
        <v>0.52134831460674158</v>
      </c>
      <c r="L57" s="11">
        <f t="shared" si="9"/>
        <v>0.5970982142857143</v>
      </c>
      <c r="M57" s="11">
        <f t="shared" si="10"/>
        <v>0.67741935483870963</v>
      </c>
      <c r="N57" s="11">
        <f t="shared" si="11"/>
        <v>0.37111111111111111</v>
      </c>
      <c r="O57" s="11">
        <f t="shared" si="12"/>
        <v>0.30847803881511748</v>
      </c>
      <c r="P57" s="11">
        <f t="shared" si="13"/>
        <v>0.31409544950055496</v>
      </c>
      <c r="Q57" s="11">
        <f t="shared" si="14"/>
        <v>0.33738938053097345</v>
      </c>
      <c r="R57" s="11">
        <f t="shared" si="15"/>
        <v>0.33438818565400846</v>
      </c>
      <c r="S57" s="11">
        <f t="shared" si="16"/>
        <v>0.34606986899563319</v>
      </c>
      <c r="U57" s="6" t="s">
        <v>38</v>
      </c>
      <c r="V57" s="12">
        <f t="shared" si="17"/>
        <v>0.63604651162790693</v>
      </c>
      <c r="W57" s="12">
        <f t="shared" si="18"/>
        <v>0.35649202733485191</v>
      </c>
      <c r="X57" s="12">
        <f t="shared" si="19"/>
        <v>0.33405875952121872</v>
      </c>
      <c r="Y57" s="12">
        <f t="shared" si="20"/>
        <v>0.31936579841449603</v>
      </c>
      <c r="Z57" s="12">
        <f t="shared" si="21"/>
        <v>0.3651685393258427</v>
      </c>
      <c r="AA57" s="12">
        <f t="shared" si="22"/>
        <v>0.29910714285714285</v>
      </c>
      <c r="AB57" s="12">
        <f t="shared" si="23"/>
        <v>0.20811654526534859</v>
      </c>
      <c r="AC57" s="12">
        <f t="shared" si="24"/>
        <v>0.24777777777777779</v>
      </c>
      <c r="AD57" s="12">
        <f t="shared" si="25"/>
        <v>0.56281920326864143</v>
      </c>
      <c r="AE57" s="12">
        <f t="shared" si="26"/>
        <v>0.56714761376248612</v>
      </c>
      <c r="AF57" s="12">
        <f t="shared" si="27"/>
        <v>0.55973451327433632</v>
      </c>
      <c r="AG57" s="12">
        <f t="shared" si="28"/>
        <v>0.55590717299578063</v>
      </c>
      <c r="AH57" s="12">
        <f t="shared" si="29"/>
        <v>0.54694323144104806</v>
      </c>
      <c r="AJ57" s="6" t="s">
        <v>38</v>
      </c>
      <c r="AK57" s="12">
        <f t="shared" si="30"/>
        <v>0.1313953488372093</v>
      </c>
      <c r="AL57" s="12">
        <f t="shared" si="31"/>
        <v>0.14009111617312073</v>
      </c>
      <c r="AM57" s="12">
        <f t="shared" si="32"/>
        <v>0.14581066376496191</v>
      </c>
      <c r="AN57" s="12">
        <f t="shared" si="33"/>
        <v>0.1392978482446206</v>
      </c>
      <c r="AO57" s="12">
        <f t="shared" si="34"/>
        <v>0.11348314606741573</v>
      </c>
      <c r="AP57" s="12">
        <f t="shared" si="35"/>
        <v>0.10379464285714286</v>
      </c>
      <c r="AQ57" s="12">
        <f t="shared" si="36"/>
        <v>0.11446409989594172</v>
      </c>
      <c r="AR57" s="12">
        <f t="shared" si="37"/>
        <v>0.38111111111111112</v>
      </c>
      <c r="AS57" s="12">
        <f t="shared" si="38"/>
        <v>0.12870275791624106</v>
      </c>
      <c r="AT57" s="12">
        <f t="shared" si="39"/>
        <v>0.11875693673695893</v>
      </c>
      <c r="AU57" s="12">
        <f t="shared" si="40"/>
        <v>0.10287610619469026</v>
      </c>
      <c r="AV57" s="12">
        <f t="shared" si="41"/>
        <v>0.10970464135021098</v>
      </c>
      <c r="AW57" s="12">
        <f t="shared" si="42"/>
        <v>0.10698689956331878</v>
      </c>
    </row>
    <row r="58" spans="6:49">
      <c r="F58" s="3" t="s">
        <v>39</v>
      </c>
      <c r="G58" s="11">
        <f t="shared" si="4"/>
        <v>0.38023630504833511</v>
      </c>
      <c r="H58" s="11">
        <f t="shared" si="5"/>
        <v>0.6374133949191686</v>
      </c>
      <c r="I58" s="11">
        <f t="shared" si="6"/>
        <v>0.61814345991561181</v>
      </c>
      <c r="J58" s="11">
        <f t="shared" si="7"/>
        <v>0.64163822525597269</v>
      </c>
      <c r="K58" s="11">
        <f t="shared" si="8"/>
        <v>0.65113759479956668</v>
      </c>
      <c r="L58" s="11">
        <f t="shared" si="9"/>
        <v>0.67567567567567566</v>
      </c>
      <c r="M58" s="11">
        <f t="shared" si="10"/>
        <v>0.75307262569832401</v>
      </c>
      <c r="N58" s="11">
        <f t="shared" si="11"/>
        <v>0.730723606168446</v>
      </c>
      <c r="O58" s="11">
        <f t="shared" si="12"/>
        <v>0.46799580272822666</v>
      </c>
      <c r="P58" s="11">
        <f t="shared" si="13"/>
        <v>0.43458980044345896</v>
      </c>
      <c r="Q58" s="11">
        <f t="shared" si="14"/>
        <v>0.44031531531531531</v>
      </c>
      <c r="R58" s="11">
        <f t="shared" si="15"/>
        <v>0.43085106382978722</v>
      </c>
      <c r="S58" s="11">
        <f t="shared" si="16"/>
        <v>0.44690781796966161</v>
      </c>
      <c r="U58" s="6" t="s">
        <v>39</v>
      </c>
      <c r="V58" s="12">
        <f t="shared" si="17"/>
        <v>0.49516648764769067</v>
      </c>
      <c r="W58" s="12">
        <f t="shared" si="18"/>
        <v>0.22286374133949191</v>
      </c>
      <c r="X58" s="12">
        <f t="shared" si="19"/>
        <v>0.24894514767932491</v>
      </c>
      <c r="Y58" s="12">
        <f t="shared" si="20"/>
        <v>0.24004550625711035</v>
      </c>
      <c r="Z58" s="12">
        <f t="shared" si="21"/>
        <v>0.23835319609967498</v>
      </c>
      <c r="AA58" s="12">
        <f t="shared" si="22"/>
        <v>0.21396396396396397</v>
      </c>
      <c r="AB58" s="12">
        <f t="shared" si="23"/>
        <v>0.17318435754189945</v>
      </c>
      <c r="AC58" s="12">
        <f t="shared" si="24"/>
        <v>0.15065243179122181</v>
      </c>
      <c r="AD58" s="12">
        <f t="shared" si="25"/>
        <v>0.18048268625393493</v>
      </c>
      <c r="AE58" s="12">
        <f t="shared" si="26"/>
        <v>0.42793791574279377</v>
      </c>
      <c r="AF58" s="12">
        <f t="shared" si="27"/>
        <v>0.44819819819819817</v>
      </c>
      <c r="AG58" s="12">
        <f t="shared" si="28"/>
        <v>0.46063829787234045</v>
      </c>
      <c r="AH58" s="12">
        <f t="shared" si="29"/>
        <v>0.43640606767794632</v>
      </c>
      <c r="AJ58" s="6" t="s">
        <v>39</v>
      </c>
      <c r="AK58" s="12">
        <f t="shared" si="30"/>
        <v>0.12459720730397422</v>
      </c>
      <c r="AL58" s="12">
        <f t="shared" si="31"/>
        <v>0.13972286374133949</v>
      </c>
      <c r="AM58" s="12">
        <f t="shared" si="32"/>
        <v>0.13291139240506328</v>
      </c>
      <c r="AN58" s="12">
        <f t="shared" si="33"/>
        <v>0.11831626848691695</v>
      </c>
      <c r="AO58" s="12">
        <f t="shared" si="34"/>
        <v>0.1105092091007584</v>
      </c>
      <c r="AP58" s="12">
        <f t="shared" si="35"/>
        <v>0.11036036036036036</v>
      </c>
      <c r="AQ58" s="12">
        <f t="shared" si="36"/>
        <v>7.3743016759776542E-2</v>
      </c>
      <c r="AR58" s="12">
        <f t="shared" si="37"/>
        <v>0.11862396204033215</v>
      </c>
      <c r="AS58" s="12">
        <f t="shared" si="38"/>
        <v>0.35152151101783841</v>
      </c>
      <c r="AT58" s="12">
        <f t="shared" si="39"/>
        <v>0.13747228381374724</v>
      </c>
      <c r="AU58" s="12">
        <f t="shared" si="40"/>
        <v>0.11148648648648649</v>
      </c>
      <c r="AV58" s="12">
        <f t="shared" si="41"/>
        <v>0.10851063829787234</v>
      </c>
      <c r="AW58" s="12">
        <f t="shared" si="42"/>
        <v>0.11668611435239207</v>
      </c>
    </row>
    <row r="59" spans="6:49">
      <c r="F59" s="3" t="s">
        <v>40</v>
      </c>
      <c r="G59" s="11">
        <f t="shared" si="4"/>
        <v>0.48604651162790696</v>
      </c>
      <c r="H59" s="11">
        <f t="shared" si="5"/>
        <v>0.74736842105263157</v>
      </c>
      <c r="I59" s="11">
        <f t="shared" si="6"/>
        <v>0.73798627002288331</v>
      </c>
      <c r="J59" s="11">
        <f t="shared" si="7"/>
        <v>0.79057591623036649</v>
      </c>
      <c r="K59" s="11">
        <f t="shared" si="8"/>
        <v>0.78769601930036193</v>
      </c>
      <c r="L59" s="11">
        <f t="shared" si="9"/>
        <v>0.80277185501066095</v>
      </c>
      <c r="M59" s="11">
        <f t="shared" si="10"/>
        <v>0.86117136659436011</v>
      </c>
      <c r="N59" s="11">
        <f t="shared" si="11"/>
        <v>0.86403508771929827</v>
      </c>
      <c r="O59" s="11">
        <f t="shared" si="12"/>
        <v>0.83036773428232502</v>
      </c>
      <c r="P59" s="11">
        <f t="shared" si="13"/>
        <v>0.53536452665941237</v>
      </c>
      <c r="Q59" s="11">
        <f t="shared" si="14"/>
        <v>0.56759656652360513</v>
      </c>
      <c r="R59" s="11">
        <f t="shared" si="15"/>
        <v>0.55351351351351352</v>
      </c>
      <c r="S59" s="11">
        <f t="shared" si="16"/>
        <v>0.53798126951092606</v>
      </c>
      <c r="U59" s="6" t="s">
        <v>40</v>
      </c>
      <c r="V59" s="12">
        <f t="shared" si="17"/>
        <v>0.36511627906976746</v>
      </c>
      <c r="W59" s="12">
        <f t="shared" si="18"/>
        <v>0.12210526315789473</v>
      </c>
      <c r="X59" s="12">
        <f t="shared" si="19"/>
        <v>0.13272311212814644</v>
      </c>
      <c r="Y59" s="12">
        <f t="shared" si="20"/>
        <v>0.10785340314136126</v>
      </c>
      <c r="Z59" s="12">
        <f t="shared" si="21"/>
        <v>0.1158021712907117</v>
      </c>
      <c r="AA59" s="12">
        <f t="shared" si="22"/>
        <v>9.5948827292110878E-2</v>
      </c>
      <c r="AB59" s="12">
        <f t="shared" si="23"/>
        <v>7.0498915401301515E-2</v>
      </c>
      <c r="AC59" s="12">
        <f t="shared" si="24"/>
        <v>7.1271929824561403E-2</v>
      </c>
      <c r="AD59" s="12">
        <f t="shared" si="25"/>
        <v>6.7615658362989328E-2</v>
      </c>
      <c r="AE59" s="12">
        <f t="shared" si="26"/>
        <v>0.11643090315560392</v>
      </c>
      <c r="AF59" s="12">
        <f t="shared" si="27"/>
        <v>0.10193133047210301</v>
      </c>
      <c r="AG59" s="12">
        <f t="shared" si="28"/>
        <v>0.10918918918918918</v>
      </c>
      <c r="AH59" s="12">
        <f t="shared" si="29"/>
        <v>0.12278876170655567</v>
      </c>
      <c r="AJ59" s="6" t="s">
        <v>40</v>
      </c>
      <c r="AK59" s="12">
        <f t="shared" si="30"/>
        <v>0.14883720930232558</v>
      </c>
      <c r="AL59" s="12">
        <f t="shared" si="31"/>
        <v>0.13052631578947368</v>
      </c>
      <c r="AM59" s="12">
        <f t="shared" si="32"/>
        <v>0.12929061784897025</v>
      </c>
      <c r="AN59" s="12">
        <f t="shared" si="33"/>
        <v>0.10157068062827225</v>
      </c>
      <c r="AO59" s="12">
        <f t="shared" si="34"/>
        <v>9.6501809408926414E-2</v>
      </c>
      <c r="AP59" s="12">
        <f t="shared" si="35"/>
        <v>0.10127931769722814</v>
      </c>
      <c r="AQ59" s="12">
        <f t="shared" si="36"/>
        <v>6.8329718004338388E-2</v>
      </c>
      <c r="AR59" s="12">
        <f t="shared" si="37"/>
        <v>6.4692982456140358E-2</v>
      </c>
      <c r="AS59" s="12">
        <f t="shared" si="38"/>
        <v>0.10201660735468565</v>
      </c>
      <c r="AT59" s="12">
        <f t="shared" si="39"/>
        <v>0.34820457018498369</v>
      </c>
      <c r="AU59" s="12">
        <f t="shared" si="40"/>
        <v>0.33047210300429186</v>
      </c>
      <c r="AV59" s="12">
        <f t="shared" si="41"/>
        <v>0.33729729729729729</v>
      </c>
      <c r="AW59" s="12">
        <f t="shared" si="42"/>
        <v>0.33922996878251821</v>
      </c>
    </row>
    <row r="60" spans="6:49">
      <c r="F60" s="3" t="s">
        <v>41</v>
      </c>
      <c r="G60" s="11">
        <f>G30/SUM(G30,V30,AK30)</f>
        <v>0.70097477064220182</v>
      </c>
      <c r="H60" s="11">
        <f t="shared" si="5"/>
        <v>1</v>
      </c>
      <c r="I60" s="11">
        <f t="shared" si="6"/>
        <v>1</v>
      </c>
      <c r="J60" s="11">
        <f t="shared" si="7"/>
        <v>1</v>
      </c>
      <c r="K60" s="11">
        <f t="shared" si="8"/>
        <v>1</v>
      </c>
      <c r="L60" s="11">
        <f t="shared" si="9"/>
        <v>1</v>
      </c>
      <c r="M60" s="11">
        <f t="shared" si="10"/>
        <v>1</v>
      </c>
      <c r="N60" s="11">
        <f t="shared" si="11"/>
        <v>1</v>
      </c>
      <c r="O60" s="11">
        <f t="shared" si="12"/>
        <v>1</v>
      </c>
      <c r="P60" s="11">
        <f t="shared" si="13"/>
        <v>0.93912093912093908</v>
      </c>
      <c r="Q60" s="11">
        <f t="shared" si="14"/>
        <v>0.92295081967213111</v>
      </c>
      <c r="R60" s="11">
        <f t="shared" si="15"/>
        <v>0.92374060673531866</v>
      </c>
      <c r="S60" s="11">
        <f t="shared" si="16"/>
        <v>0.92364253393665163</v>
      </c>
      <c r="U60" s="6" t="s">
        <v>41</v>
      </c>
      <c r="V60" s="12">
        <f t="shared" si="17"/>
        <v>0</v>
      </c>
      <c r="W60" s="12">
        <f t="shared" si="18"/>
        <v>0</v>
      </c>
      <c r="X60" s="12">
        <f t="shared" si="19"/>
        <v>0</v>
      </c>
      <c r="Y60" s="12">
        <f t="shared" si="20"/>
        <v>0</v>
      </c>
      <c r="Z60" s="12">
        <f t="shared" si="21"/>
        <v>0</v>
      </c>
      <c r="AA60" s="12">
        <f t="shared" si="22"/>
        <v>0</v>
      </c>
      <c r="AB60" s="12">
        <f t="shared" si="23"/>
        <v>0</v>
      </c>
      <c r="AC60" s="12">
        <f t="shared" si="24"/>
        <v>0</v>
      </c>
      <c r="AD60" s="12">
        <f t="shared" si="25"/>
        <v>0</v>
      </c>
      <c r="AE60" s="12">
        <f t="shared" si="26"/>
        <v>0</v>
      </c>
      <c r="AF60" s="12">
        <f t="shared" si="27"/>
        <v>0</v>
      </c>
      <c r="AG60" s="12">
        <f t="shared" si="28"/>
        <v>0</v>
      </c>
      <c r="AH60" s="12">
        <f t="shared" si="29"/>
        <v>0</v>
      </c>
      <c r="AJ60" s="6" t="s">
        <v>41</v>
      </c>
      <c r="AK60" s="12">
        <f t="shared" si="30"/>
        <v>0.29902522935779818</v>
      </c>
      <c r="AL60" s="12">
        <f t="shared" si="31"/>
        <v>0</v>
      </c>
      <c r="AM60" s="12">
        <f t="shared" si="32"/>
        <v>0</v>
      </c>
      <c r="AN60" s="12">
        <f t="shared" si="33"/>
        <v>0</v>
      </c>
      <c r="AO60" s="12">
        <f t="shared" si="34"/>
        <v>0</v>
      </c>
      <c r="AP60" s="12">
        <f t="shared" si="35"/>
        <v>0</v>
      </c>
      <c r="AQ60" s="12">
        <f t="shared" si="36"/>
        <v>0</v>
      </c>
      <c r="AR60" s="12">
        <f t="shared" si="37"/>
        <v>0</v>
      </c>
      <c r="AS60" s="12">
        <f t="shared" si="38"/>
        <v>0</v>
      </c>
      <c r="AT60" s="12">
        <f t="shared" si="39"/>
        <v>6.0879060879060878E-2</v>
      </c>
      <c r="AU60" s="12">
        <f t="shared" si="40"/>
        <v>7.7049180327868852E-2</v>
      </c>
      <c r="AV60" s="12">
        <f t="shared" si="41"/>
        <v>7.6259393264681327E-2</v>
      </c>
      <c r="AW60" s="12">
        <f t="shared" si="42"/>
        <v>7.6357466063348423E-2</v>
      </c>
    </row>
  </sheetData>
  <mergeCells count="15">
    <mergeCell ref="F32:S32"/>
    <mergeCell ref="U32:AH32"/>
    <mergeCell ref="AJ32:AW32"/>
    <mergeCell ref="A6:B6"/>
    <mergeCell ref="A7:B7"/>
    <mergeCell ref="A8:B8"/>
    <mergeCell ref="A9:B9"/>
    <mergeCell ref="A10:B10"/>
    <mergeCell ref="C10:D10"/>
    <mergeCell ref="F2:S2"/>
    <mergeCell ref="U2:AH2"/>
    <mergeCell ref="AJ2:AW2"/>
    <mergeCell ref="A3:B3"/>
    <mergeCell ref="A4:B4"/>
    <mergeCell ref="A5:B5"/>
  </mergeCells>
  <conditionalFormatting sqref="G34:R6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4:S6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4:AH6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4:AW60">
    <cfRule type="colorScale" priority="4">
      <colorScale>
        <cfvo type="min"/>
        <cfvo type="max"/>
        <color rgb="FFFCFCFF"/>
        <color rgb="FF63BE7B"/>
      </colorScale>
    </cfRule>
  </conditionalFormatting>
  <conditionalFormatting sqref="G4:S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AH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:AW30">
    <cfRule type="colorScale" priority="1">
      <colorScale>
        <cfvo type="min"/>
        <cfvo type="max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Jonas Travassos</cp:lastModifiedBy>
  <cp:revision/>
  <dcterms:created xsi:type="dcterms:W3CDTF">2025-12-01T23:33:30Z</dcterms:created>
  <dcterms:modified xsi:type="dcterms:W3CDTF">2025-12-01T23:50:12Z</dcterms:modified>
  <cp:category/>
  <cp:contentStatus/>
</cp:coreProperties>
</file>