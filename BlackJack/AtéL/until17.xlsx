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42\EXCELCNV\ab2e4c02-8cc3-4926-847c-dad49ff6eb09\"/>
    </mc:Choice>
  </mc:AlternateContent>
  <xr:revisionPtr revIDLastSave="190" documentId="8_{2E428D39-01FB-41A4-86F3-574F5D685040}" xr6:coauthVersionLast="47" xr6:coauthVersionMax="47" xr10:uidLastSave="{3745610B-DD01-4C19-B162-B7BB40FA2C9D}"/>
  <bookViews>
    <workbookView xWindow="-60" yWindow="-60" windowWidth="15480" windowHeight="11640" xr2:uid="{DD64FCEA-6AD1-49B7-B707-1C842BDF1C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G38" i="1"/>
  <c r="H38" i="1"/>
  <c r="I38" i="1"/>
  <c r="J38" i="1"/>
  <c r="K38" i="1"/>
  <c r="L38" i="1"/>
  <c r="M38" i="1"/>
  <c r="N38" i="1"/>
  <c r="O38" i="1"/>
  <c r="P38" i="1"/>
  <c r="Q38" i="1"/>
  <c r="R38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G37" i="1"/>
  <c r="H37" i="1"/>
  <c r="I37" i="1"/>
  <c r="J37" i="1"/>
  <c r="K37" i="1"/>
  <c r="L37" i="1"/>
  <c r="M37" i="1"/>
  <c r="N37" i="1"/>
  <c r="O37" i="1"/>
  <c r="P37" i="1"/>
  <c r="Q37" i="1"/>
  <c r="R37" i="1"/>
  <c r="F37" i="1"/>
  <c r="U36" i="1"/>
  <c r="AD36" i="1"/>
  <c r="AE36" i="1"/>
  <c r="AF36" i="1"/>
  <c r="AG36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D35" i="1"/>
  <c r="AE35" i="1"/>
  <c r="AF35" i="1"/>
  <c r="AG35" i="1"/>
  <c r="U35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J53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J37" i="1"/>
  <c r="B14" i="1"/>
  <c r="B13" i="1"/>
  <c r="B12" i="1"/>
  <c r="B15" i="1" s="1"/>
  <c r="C4" i="1"/>
  <c r="C5" i="1"/>
  <c r="C6" i="1"/>
  <c r="C7" i="1"/>
  <c r="C8" i="1"/>
  <c r="C9" i="1"/>
  <c r="C3" i="1"/>
</calcChain>
</file>

<file path=xl/sharedStrings.xml><?xml version="1.0" encoding="utf-8"?>
<sst xmlns="http://schemas.openxmlformats.org/spreadsheetml/2006/main" count="211" uniqueCount="50">
  <si>
    <t>RESULTADOS PRINCIPAIS</t>
  </si>
  <si>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</si>
  <si>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</si>
  <si>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</si>
  <si>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</si>
  <si>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</si>
  <si>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</si>
  <si>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</si>
  <si>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</si>
  <si>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</si>
  <si>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</si>
  <si>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</si>
  <si>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</si>
  <si>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</si>
  <si>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</si>
  <si>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</si>
  <si>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</si>
  <si>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</si>
  <si>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</si>
  <si>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</si>
  <si>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</si>
  <si>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10H</t>
  </si>
  <si>
    <t>R$ 1,00 POR APOSTA</t>
  </si>
  <si>
    <t>11H</t>
  </si>
  <si>
    <t>Lucro do jogador sem BJ</t>
  </si>
  <si>
    <t>12H</t>
  </si>
  <si>
    <t>Lucro do jogador com BJ</t>
  </si>
  <si>
    <t>13H</t>
  </si>
  <si>
    <t>Lucro do dealer</t>
  </si>
  <si>
    <t>14H</t>
  </si>
  <si>
    <t>Lucro total do jogador</t>
  </si>
  <si>
    <t>15H</t>
  </si>
  <si>
    <t>16H</t>
  </si>
  <si>
    <t>17H</t>
  </si>
  <si>
    <t>18H</t>
  </si>
  <si>
    <t>19H</t>
  </si>
  <si>
    <t>20H</t>
  </si>
  <si>
    <t>21H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</si>
  <si>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</si>
  <si>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</si>
  <si>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</si>
  <si>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</si>
  <si>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</si>
  <si>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</si>
  <si>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</si>
  <si>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</si>
  <si>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</si>
  <si>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</si>
  <si>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</si>
  <si>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EMPATES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</si>
</sst>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10" fontId="0" fillId="0" borderId="0" xfId="0" applyNumberFormat="1"/>
    <xf numFmtId="0" fontId="16" fillId="33" borderId="10" xfId="0" applyFont="1" applyFill="1" applyBorder="1"/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/>
    <xf numFmtId="0" fontId="18" fillId="0" borderId="10" xfId="0" applyFont="1" applyBorder="1" applyAlignment="1"/>
    <xf numFmtId="10" fontId="0" fillId="0" borderId="10" xfId="0" applyNumberFormat="1" applyBorder="1"/>
    <xf numFmtId="10" fontId="18" fillId="0" borderId="10" xfId="0" applyNumberFormat="1" applyFont="1" applyBorder="1" applyAlignment="1"/>
    <xf numFmtId="0" fontId="16" fillId="33" borderId="10" xfId="0" applyFont="1" applyFill="1" applyBorder="1" applyAlignment="1">
      <alignment horizontal="center"/>
    </xf>
    <xf numFmtId="10" fontId="0" fillId="34" borderId="10" xfId="0" applyNumberFormat="1" applyFill="1" applyBorder="1"/>
    <xf numFmtId="10" fontId="0" fillId="35" borderId="10" xfId="0" applyNumberFormat="1" applyFill="1" applyBorder="1"/>
    <xf numFmtId="10" fontId="18" fillId="34" borderId="10" xfId="0" applyNumberFormat="1" applyFont="1" applyFill="1" applyBorder="1" applyAlignment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164" fontId="0" fillId="0" borderId="0" xfId="0" applyNumberFormat="1" applyAlignment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0" xfId="0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F314-3B08-458D-A3A4-7420BEA08E03}">
  <dimension ref="A2:AV62"/>
  <sheetViews>
    <sheetView tabSelected="1" workbookViewId="0">
      <selection activeCell="S52" sqref="S52"/>
    </sheetView>
  </sheetViews>
  <sheetFormatPr defaultRowHeight="15"/>
  <cols>
    <col min="1" max="1" width="22.140625" bestFit="1" customWidth="1"/>
  </cols>
  <sheetData>
    <row r="2" spans="1:48">
      <c r="A2" s="16" t="s">
        <v>0</v>
      </c>
      <c r="B2" s="16"/>
      <c r="C2" s="16"/>
      <c r="E2" s="15" t="s">
        <v>1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T2" s="18" t="s">
        <v>2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  <c r="AI2" s="15" t="s">
        <v>3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>
      <c r="A3" s="1" t="s">
        <v>4</v>
      </c>
      <c r="B3">
        <v>415768</v>
      </c>
      <c r="C3" s="2">
        <f>B3/1000000</f>
        <v>0.41576800000000003</v>
      </c>
      <c r="E3" s="3"/>
      <c r="F3" s="11" t="s">
        <v>5</v>
      </c>
      <c r="G3" s="11">
        <v>2</v>
      </c>
      <c r="H3" s="11">
        <v>3</v>
      </c>
      <c r="I3" s="11">
        <v>4</v>
      </c>
      <c r="J3" s="11">
        <v>5</v>
      </c>
      <c r="K3" s="11">
        <v>6</v>
      </c>
      <c r="L3" s="11">
        <v>7</v>
      </c>
      <c r="M3" s="11">
        <v>8</v>
      </c>
      <c r="N3" s="11">
        <v>9</v>
      </c>
      <c r="O3" s="11">
        <v>10</v>
      </c>
      <c r="P3" s="11" t="s">
        <v>6</v>
      </c>
      <c r="Q3" s="11" t="s">
        <v>7</v>
      </c>
      <c r="R3" s="11" t="s">
        <v>8</v>
      </c>
      <c r="T3" s="5"/>
      <c r="U3" s="6" t="s">
        <v>5</v>
      </c>
      <c r="V3" s="6">
        <v>2</v>
      </c>
      <c r="W3" s="6">
        <v>3</v>
      </c>
      <c r="X3" s="6">
        <v>4</v>
      </c>
      <c r="Y3" s="6">
        <v>5</v>
      </c>
      <c r="Z3" s="6">
        <v>6</v>
      </c>
      <c r="AA3" s="6">
        <v>7</v>
      </c>
      <c r="AB3" s="6">
        <v>8</v>
      </c>
      <c r="AC3" s="6">
        <v>9</v>
      </c>
      <c r="AD3" s="6">
        <v>10</v>
      </c>
      <c r="AE3" s="6" t="s">
        <v>6</v>
      </c>
      <c r="AF3" s="6" t="s">
        <v>7</v>
      </c>
      <c r="AG3" s="6" t="s">
        <v>8</v>
      </c>
      <c r="AI3" s="7"/>
      <c r="AJ3" s="6" t="s">
        <v>5</v>
      </c>
      <c r="AK3" s="6">
        <v>2</v>
      </c>
      <c r="AL3" s="6">
        <v>3</v>
      </c>
      <c r="AM3" s="6">
        <v>4</v>
      </c>
      <c r="AN3" s="6">
        <v>5</v>
      </c>
      <c r="AO3" s="6">
        <v>6</v>
      </c>
      <c r="AP3" s="6">
        <v>7</v>
      </c>
      <c r="AQ3" s="6">
        <v>8</v>
      </c>
      <c r="AR3" s="6">
        <v>9</v>
      </c>
      <c r="AS3" s="6">
        <v>10</v>
      </c>
      <c r="AT3" s="6" t="s">
        <v>6</v>
      </c>
      <c r="AU3" s="6" t="s">
        <v>7</v>
      </c>
      <c r="AV3" s="6" t="s">
        <v>8</v>
      </c>
    </row>
    <row r="4" spans="1:48">
      <c r="A4" s="1" t="s">
        <v>9</v>
      </c>
      <c r="B4">
        <v>492056</v>
      </c>
      <c r="C4" s="2">
        <f t="shared" ref="C4:C9" si="0">B4/1000000</f>
        <v>0.49205599999999999</v>
      </c>
      <c r="E4" s="3" t="s">
        <v>10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T4" s="7" t="s">
        <v>10</v>
      </c>
      <c r="U4" s="8">
        <v>128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37</v>
      </c>
      <c r="AE4" s="8">
        <v>40</v>
      </c>
      <c r="AF4" s="8">
        <v>43</v>
      </c>
      <c r="AG4" s="8">
        <v>39</v>
      </c>
      <c r="AI4" s="7" t="s">
        <v>10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</row>
    <row r="5" spans="1:48">
      <c r="A5" s="1" t="s">
        <v>11</v>
      </c>
      <c r="B5">
        <v>92176</v>
      </c>
      <c r="C5" s="2">
        <f t="shared" si="0"/>
        <v>9.2175999999999994E-2</v>
      </c>
      <c r="E5" s="3" t="s">
        <v>12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T5" s="7" t="s">
        <v>12</v>
      </c>
      <c r="U5" s="8">
        <v>269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78</v>
      </c>
      <c r="AE5" s="8">
        <v>79</v>
      </c>
      <c r="AF5" s="8">
        <v>80</v>
      </c>
      <c r="AG5" s="8">
        <v>56</v>
      </c>
      <c r="AI5" s="7" t="s">
        <v>12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</row>
    <row r="6" spans="1:48">
      <c r="A6" s="1" t="s">
        <v>13</v>
      </c>
      <c r="B6">
        <v>269342</v>
      </c>
      <c r="C6" s="2">
        <f t="shared" si="0"/>
        <v>0.26934200000000003</v>
      </c>
      <c r="E6" s="3" t="s">
        <v>14</v>
      </c>
      <c r="F6" s="4">
        <v>16</v>
      </c>
      <c r="G6" s="4">
        <v>33</v>
      </c>
      <c r="H6" s="4">
        <v>34</v>
      </c>
      <c r="I6" s="4">
        <v>41</v>
      </c>
      <c r="J6" s="4">
        <v>37</v>
      </c>
      <c r="K6" s="4">
        <v>44</v>
      </c>
      <c r="L6" s="4">
        <v>20</v>
      </c>
      <c r="M6" s="4">
        <v>31</v>
      </c>
      <c r="N6" s="4">
        <v>27</v>
      </c>
      <c r="O6" s="4">
        <v>20</v>
      </c>
      <c r="P6" s="4">
        <v>24</v>
      </c>
      <c r="Q6" s="4">
        <v>21</v>
      </c>
      <c r="R6" s="4">
        <v>23</v>
      </c>
      <c r="T6" s="7" t="s">
        <v>14</v>
      </c>
      <c r="U6" s="8">
        <v>415</v>
      </c>
      <c r="V6" s="8">
        <v>48</v>
      </c>
      <c r="W6" s="8">
        <v>50</v>
      </c>
      <c r="X6" s="8">
        <v>37</v>
      </c>
      <c r="Y6" s="8">
        <v>56</v>
      </c>
      <c r="Z6" s="8">
        <v>42</v>
      </c>
      <c r="AA6" s="8">
        <v>36</v>
      </c>
      <c r="AB6" s="8">
        <v>63</v>
      </c>
      <c r="AC6" s="8">
        <v>84</v>
      </c>
      <c r="AD6" s="8">
        <v>186</v>
      </c>
      <c r="AE6" s="8">
        <v>171</v>
      </c>
      <c r="AF6" s="8">
        <v>183</v>
      </c>
      <c r="AG6" s="8">
        <v>176</v>
      </c>
      <c r="AI6" s="7" t="s">
        <v>14</v>
      </c>
      <c r="AJ6" s="8">
        <v>15</v>
      </c>
      <c r="AK6" s="8">
        <v>15</v>
      </c>
      <c r="AL6" s="8">
        <v>11</v>
      </c>
      <c r="AM6" s="8">
        <v>15</v>
      </c>
      <c r="AN6" s="8">
        <v>10</v>
      </c>
      <c r="AO6" s="8">
        <v>10</v>
      </c>
      <c r="AP6" s="8">
        <v>39</v>
      </c>
      <c r="AQ6" s="8">
        <v>13</v>
      </c>
      <c r="AR6" s="8">
        <v>7</v>
      </c>
      <c r="AS6" s="8">
        <v>17</v>
      </c>
      <c r="AT6" s="8">
        <v>15</v>
      </c>
      <c r="AU6" s="8">
        <v>14</v>
      </c>
      <c r="AV6" s="8">
        <v>15</v>
      </c>
    </row>
    <row r="7" spans="1:48">
      <c r="A7" s="1" t="s">
        <v>15</v>
      </c>
      <c r="B7">
        <v>46932</v>
      </c>
      <c r="C7" s="2">
        <f t="shared" si="0"/>
        <v>4.6932000000000001E-2</v>
      </c>
      <c r="E7" s="3" t="s">
        <v>16</v>
      </c>
      <c r="F7" s="4">
        <v>102</v>
      </c>
      <c r="G7" s="4">
        <v>284</v>
      </c>
      <c r="H7" s="4">
        <v>329</v>
      </c>
      <c r="I7" s="4">
        <v>321</v>
      </c>
      <c r="J7" s="4">
        <v>339</v>
      </c>
      <c r="K7" s="4">
        <v>333</v>
      </c>
      <c r="L7" s="4">
        <v>239</v>
      </c>
      <c r="M7" s="4">
        <v>208</v>
      </c>
      <c r="N7" s="4">
        <v>225</v>
      </c>
      <c r="O7" s="4">
        <v>170</v>
      </c>
      <c r="P7" s="4">
        <v>192</v>
      </c>
      <c r="Q7" s="4">
        <v>202</v>
      </c>
      <c r="R7" s="4">
        <v>167</v>
      </c>
      <c r="T7" s="7" t="s">
        <v>16</v>
      </c>
      <c r="U7" s="8">
        <v>903</v>
      </c>
      <c r="V7" s="8">
        <v>355</v>
      </c>
      <c r="W7" s="8">
        <v>328</v>
      </c>
      <c r="X7" s="8">
        <v>357</v>
      </c>
      <c r="Y7" s="8">
        <v>334</v>
      </c>
      <c r="Z7" s="8">
        <v>278</v>
      </c>
      <c r="AA7" s="8">
        <v>224</v>
      </c>
      <c r="AB7" s="8">
        <v>436</v>
      </c>
      <c r="AC7" s="8">
        <v>489</v>
      </c>
      <c r="AD7" s="8">
        <v>592</v>
      </c>
      <c r="AE7" s="8">
        <v>569</v>
      </c>
      <c r="AF7" s="8">
        <v>570</v>
      </c>
      <c r="AG7" s="8">
        <v>612</v>
      </c>
      <c r="AI7" s="7" t="s">
        <v>16</v>
      </c>
      <c r="AJ7" s="8">
        <v>100</v>
      </c>
      <c r="AK7" s="8">
        <v>103</v>
      </c>
      <c r="AL7" s="8">
        <v>109</v>
      </c>
      <c r="AM7" s="8">
        <v>105</v>
      </c>
      <c r="AN7" s="8">
        <v>90</v>
      </c>
      <c r="AO7" s="8">
        <v>123</v>
      </c>
      <c r="AP7" s="8">
        <v>223</v>
      </c>
      <c r="AQ7" s="8">
        <v>138</v>
      </c>
      <c r="AR7" s="8">
        <v>101</v>
      </c>
      <c r="AS7" s="8">
        <v>71</v>
      </c>
      <c r="AT7" s="8">
        <v>98</v>
      </c>
      <c r="AU7" s="8">
        <v>87</v>
      </c>
      <c r="AV7" s="8">
        <v>78</v>
      </c>
    </row>
    <row r="8" spans="1:48">
      <c r="A8" s="1" t="s">
        <v>17</v>
      </c>
      <c r="B8">
        <v>168215</v>
      </c>
      <c r="C8" s="2">
        <f t="shared" si="0"/>
        <v>0.168215</v>
      </c>
      <c r="E8" s="3" t="s">
        <v>18</v>
      </c>
      <c r="F8" s="4">
        <v>271</v>
      </c>
      <c r="G8" s="4">
        <v>527</v>
      </c>
      <c r="H8" s="4">
        <v>564</v>
      </c>
      <c r="I8" s="4">
        <v>601</v>
      </c>
      <c r="J8" s="4">
        <v>607</v>
      </c>
      <c r="K8" s="4">
        <v>706</v>
      </c>
      <c r="L8" s="4">
        <v>691</v>
      </c>
      <c r="M8" s="4">
        <v>518</v>
      </c>
      <c r="N8" s="4">
        <v>425</v>
      </c>
      <c r="O8" s="4">
        <v>389</v>
      </c>
      <c r="P8" s="4">
        <v>365</v>
      </c>
      <c r="Q8" s="4">
        <v>398</v>
      </c>
      <c r="R8" s="4">
        <v>378</v>
      </c>
      <c r="T8" s="7" t="s">
        <v>18</v>
      </c>
      <c r="U8" s="8">
        <v>1122</v>
      </c>
      <c r="V8" s="8">
        <v>439</v>
      </c>
      <c r="W8" s="8">
        <v>394</v>
      </c>
      <c r="X8" s="8">
        <v>385</v>
      </c>
      <c r="Y8" s="8">
        <v>391</v>
      </c>
      <c r="Z8" s="8">
        <v>347</v>
      </c>
      <c r="AA8" s="8">
        <v>299</v>
      </c>
      <c r="AB8" s="8">
        <v>352</v>
      </c>
      <c r="AC8" s="8">
        <v>571</v>
      </c>
      <c r="AD8" s="8">
        <v>760</v>
      </c>
      <c r="AE8" s="8">
        <v>803</v>
      </c>
      <c r="AF8" s="8">
        <v>756</v>
      </c>
      <c r="AG8" s="8">
        <v>753</v>
      </c>
      <c r="AI8" s="7" t="s">
        <v>18</v>
      </c>
      <c r="AJ8" s="8">
        <v>144</v>
      </c>
      <c r="AK8" s="8">
        <v>163</v>
      </c>
      <c r="AL8" s="8">
        <v>123</v>
      </c>
      <c r="AM8" s="8">
        <v>149</v>
      </c>
      <c r="AN8" s="8">
        <v>154</v>
      </c>
      <c r="AO8" s="8">
        <v>131</v>
      </c>
      <c r="AP8" s="8">
        <v>200</v>
      </c>
      <c r="AQ8" s="8">
        <v>316</v>
      </c>
      <c r="AR8" s="8">
        <v>181</v>
      </c>
      <c r="AS8" s="8">
        <v>120</v>
      </c>
      <c r="AT8" s="8">
        <v>121</v>
      </c>
      <c r="AU8" s="8">
        <v>122</v>
      </c>
      <c r="AV8" s="8">
        <v>148</v>
      </c>
    </row>
    <row r="9" spans="1:48">
      <c r="A9" s="1" t="s">
        <v>19</v>
      </c>
      <c r="B9">
        <v>47661</v>
      </c>
      <c r="C9" s="2">
        <f t="shared" si="0"/>
        <v>4.7661000000000002E-2</v>
      </c>
      <c r="E9" s="3" t="s">
        <v>20</v>
      </c>
      <c r="F9" s="4">
        <v>574</v>
      </c>
      <c r="G9" s="4">
        <v>993</v>
      </c>
      <c r="H9" s="4">
        <v>1023</v>
      </c>
      <c r="I9" s="4">
        <v>1071</v>
      </c>
      <c r="J9" s="4">
        <v>1058</v>
      </c>
      <c r="K9" s="4">
        <v>1092</v>
      </c>
      <c r="L9" s="4">
        <v>1166</v>
      </c>
      <c r="M9" s="4">
        <v>1080</v>
      </c>
      <c r="N9" s="4">
        <v>758</v>
      </c>
      <c r="O9" s="4">
        <v>662</v>
      </c>
      <c r="P9" s="4">
        <v>694</v>
      </c>
      <c r="Q9" s="4">
        <v>642</v>
      </c>
      <c r="R9" s="4">
        <v>674</v>
      </c>
      <c r="T9" s="7" t="s">
        <v>20</v>
      </c>
      <c r="U9" s="8">
        <v>1244</v>
      </c>
      <c r="V9" s="8">
        <v>459</v>
      </c>
      <c r="W9" s="8">
        <v>449</v>
      </c>
      <c r="X9" s="8">
        <v>425</v>
      </c>
      <c r="Y9" s="8">
        <v>435</v>
      </c>
      <c r="Z9" s="8">
        <v>378</v>
      </c>
      <c r="AA9" s="8">
        <v>298</v>
      </c>
      <c r="AB9" s="8">
        <v>357</v>
      </c>
      <c r="AC9" s="8">
        <v>496</v>
      </c>
      <c r="AD9" s="8">
        <v>843</v>
      </c>
      <c r="AE9" s="8">
        <v>879</v>
      </c>
      <c r="AF9" s="8">
        <v>826</v>
      </c>
      <c r="AG9" s="8">
        <v>874</v>
      </c>
      <c r="AI9" s="7" t="s">
        <v>20</v>
      </c>
      <c r="AJ9" s="8">
        <v>195</v>
      </c>
      <c r="AK9" s="8">
        <v>224</v>
      </c>
      <c r="AL9" s="8">
        <v>201</v>
      </c>
      <c r="AM9" s="8">
        <v>189</v>
      </c>
      <c r="AN9" s="8">
        <v>210</v>
      </c>
      <c r="AO9" s="8">
        <v>175</v>
      </c>
      <c r="AP9" s="8">
        <v>213</v>
      </c>
      <c r="AQ9" s="8">
        <v>258</v>
      </c>
      <c r="AR9" s="8">
        <v>420</v>
      </c>
      <c r="AS9" s="8">
        <v>235</v>
      </c>
      <c r="AT9" s="8">
        <v>246</v>
      </c>
      <c r="AU9" s="8">
        <v>250</v>
      </c>
      <c r="AV9" s="8">
        <v>229</v>
      </c>
    </row>
    <row r="10" spans="1:48">
      <c r="E10" s="3" t="s">
        <v>21</v>
      </c>
      <c r="F10" s="4">
        <v>1084</v>
      </c>
      <c r="G10" s="4">
        <v>1597</v>
      </c>
      <c r="H10" s="4">
        <v>1571</v>
      </c>
      <c r="I10" s="4">
        <v>1635</v>
      </c>
      <c r="J10" s="4">
        <v>1700</v>
      </c>
      <c r="K10" s="4">
        <v>1687</v>
      </c>
      <c r="L10" s="4">
        <v>1707</v>
      </c>
      <c r="M10" s="4">
        <v>1622</v>
      </c>
      <c r="N10" s="4">
        <v>1559</v>
      </c>
      <c r="O10" s="4">
        <v>1221</v>
      </c>
      <c r="P10" s="4">
        <v>1195</v>
      </c>
      <c r="Q10" s="4">
        <v>1220</v>
      </c>
      <c r="R10" s="4">
        <v>1114</v>
      </c>
      <c r="T10" s="7" t="s">
        <v>21</v>
      </c>
      <c r="U10" s="8">
        <v>1278</v>
      </c>
      <c r="V10" s="8">
        <v>432</v>
      </c>
      <c r="W10" s="8">
        <v>462</v>
      </c>
      <c r="X10" s="8">
        <v>433</v>
      </c>
      <c r="Y10" s="8">
        <v>370</v>
      </c>
      <c r="Z10" s="8">
        <v>408</v>
      </c>
      <c r="AA10" s="8">
        <v>290</v>
      </c>
      <c r="AB10" s="8">
        <v>375</v>
      </c>
      <c r="AC10" s="8">
        <v>520</v>
      </c>
      <c r="AD10" s="8">
        <v>742</v>
      </c>
      <c r="AE10" s="8">
        <v>678</v>
      </c>
      <c r="AF10" s="8">
        <v>674</v>
      </c>
      <c r="AG10" s="8">
        <v>708</v>
      </c>
      <c r="AI10" s="7" t="s">
        <v>21</v>
      </c>
      <c r="AJ10" s="8">
        <v>254</v>
      </c>
      <c r="AK10" s="8">
        <v>288</v>
      </c>
      <c r="AL10" s="8">
        <v>247</v>
      </c>
      <c r="AM10" s="8">
        <v>232</v>
      </c>
      <c r="AN10" s="8">
        <v>209</v>
      </c>
      <c r="AO10" s="8">
        <v>239</v>
      </c>
      <c r="AP10" s="8">
        <v>288</v>
      </c>
      <c r="AQ10" s="8">
        <v>235</v>
      </c>
      <c r="AR10" s="8">
        <v>314</v>
      </c>
      <c r="AS10" s="8">
        <v>488</v>
      </c>
      <c r="AT10" s="8">
        <v>471</v>
      </c>
      <c r="AU10" s="8">
        <v>503</v>
      </c>
      <c r="AV10" s="8">
        <v>470</v>
      </c>
    </row>
    <row r="11" spans="1:48">
      <c r="A11" s="16" t="s">
        <v>22</v>
      </c>
      <c r="B11" s="16"/>
      <c r="C11" s="16"/>
      <c r="E11" s="3" t="s">
        <v>23</v>
      </c>
      <c r="F11" s="4">
        <v>1369</v>
      </c>
      <c r="G11" s="4">
        <v>2101</v>
      </c>
      <c r="H11" s="4">
        <v>2081</v>
      </c>
      <c r="I11" s="4">
        <v>2173</v>
      </c>
      <c r="J11" s="4">
        <v>2236</v>
      </c>
      <c r="K11" s="4">
        <v>2214</v>
      </c>
      <c r="L11" s="4">
        <v>2164</v>
      </c>
      <c r="M11" s="4">
        <v>2115</v>
      </c>
      <c r="N11" s="4">
        <v>2036</v>
      </c>
      <c r="O11" s="4">
        <v>1785</v>
      </c>
      <c r="P11" s="4">
        <v>1739</v>
      </c>
      <c r="Q11" s="4">
        <v>1740</v>
      </c>
      <c r="R11" s="4">
        <v>1791</v>
      </c>
      <c r="T11" s="7" t="s">
        <v>23</v>
      </c>
      <c r="U11" s="8">
        <v>1517</v>
      </c>
      <c r="V11" s="8">
        <v>399</v>
      </c>
      <c r="W11" s="8">
        <v>407</v>
      </c>
      <c r="X11" s="8">
        <v>404</v>
      </c>
      <c r="Y11" s="8">
        <v>387</v>
      </c>
      <c r="Z11" s="8">
        <v>357</v>
      </c>
      <c r="AA11" s="8">
        <v>262</v>
      </c>
      <c r="AB11" s="8">
        <v>351</v>
      </c>
      <c r="AC11" s="8">
        <v>504</v>
      </c>
      <c r="AD11" s="8">
        <v>827</v>
      </c>
      <c r="AE11" s="8">
        <v>783</v>
      </c>
      <c r="AF11" s="8">
        <v>787</v>
      </c>
      <c r="AG11" s="8">
        <v>756</v>
      </c>
      <c r="AI11" s="7" t="s">
        <v>23</v>
      </c>
      <c r="AJ11" s="8">
        <v>153</v>
      </c>
      <c r="AK11" s="8">
        <v>190</v>
      </c>
      <c r="AL11" s="8">
        <v>181</v>
      </c>
      <c r="AM11" s="8">
        <v>151</v>
      </c>
      <c r="AN11" s="8">
        <v>141</v>
      </c>
      <c r="AO11" s="8">
        <v>170</v>
      </c>
      <c r="AP11" s="8">
        <v>225</v>
      </c>
      <c r="AQ11" s="8">
        <v>231</v>
      </c>
      <c r="AR11" s="8">
        <v>262</v>
      </c>
      <c r="AS11" s="8">
        <v>232</v>
      </c>
      <c r="AT11" s="8">
        <v>202</v>
      </c>
      <c r="AU11" s="8">
        <v>240</v>
      </c>
      <c r="AV11" s="8">
        <v>238</v>
      </c>
    </row>
    <row r="12" spans="1:48">
      <c r="A12" s="1" t="s">
        <v>24</v>
      </c>
      <c r="B12" s="17">
        <f>B3-B7-2237</f>
        <v>366599</v>
      </c>
      <c r="C12" s="17"/>
      <c r="E12" s="3" t="s">
        <v>25</v>
      </c>
      <c r="F12" s="4">
        <v>1344</v>
      </c>
      <c r="G12" s="4">
        <v>2090</v>
      </c>
      <c r="H12" s="4">
        <v>2171</v>
      </c>
      <c r="I12" s="4">
        <v>2168</v>
      </c>
      <c r="J12" s="4">
        <v>2324</v>
      </c>
      <c r="K12" s="4">
        <v>2384</v>
      </c>
      <c r="L12" s="4">
        <v>2375</v>
      </c>
      <c r="M12" s="4">
        <v>2134</v>
      </c>
      <c r="N12" s="4">
        <v>1836</v>
      </c>
      <c r="O12" s="4">
        <v>1681</v>
      </c>
      <c r="P12" s="4">
        <v>1705</v>
      </c>
      <c r="Q12" s="4">
        <v>1644</v>
      </c>
      <c r="R12" s="4">
        <v>1655</v>
      </c>
      <c r="T12" s="7" t="s">
        <v>25</v>
      </c>
      <c r="U12" s="8">
        <v>4675</v>
      </c>
      <c r="V12" s="8">
        <v>3479</v>
      </c>
      <c r="W12" s="8">
        <v>3554</v>
      </c>
      <c r="X12" s="8">
        <v>3470</v>
      </c>
      <c r="Y12" s="8">
        <v>3418</v>
      </c>
      <c r="Z12" s="8">
        <v>3360</v>
      </c>
      <c r="AA12" s="8">
        <v>3149</v>
      </c>
      <c r="AB12" s="8">
        <v>3466</v>
      </c>
      <c r="AC12" s="8">
        <v>3554</v>
      </c>
      <c r="AD12" s="8">
        <v>4044</v>
      </c>
      <c r="AE12" s="8">
        <v>3997</v>
      </c>
      <c r="AF12" s="8">
        <v>4195</v>
      </c>
      <c r="AG12" s="8">
        <v>3997</v>
      </c>
      <c r="AI12" s="7" t="s">
        <v>25</v>
      </c>
      <c r="AJ12" s="8">
        <v>329</v>
      </c>
      <c r="AK12" s="8">
        <v>324</v>
      </c>
      <c r="AL12" s="8">
        <v>356</v>
      </c>
      <c r="AM12" s="8">
        <v>333</v>
      </c>
      <c r="AN12" s="8">
        <v>320</v>
      </c>
      <c r="AO12" s="8">
        <v>312</v>
      </c>
      <c r="AP12" s="8">
        <v>426</v>
      </c>
      <c r="AQ12" s="8">
        <v>466</v>
      </c>
      <c r="AR12" s="8">
        <v>489</v>
      </c>
      <c r="AS12" s="8">
        <v>394</v>
      </c>
      <c r="AT12" s="8">
        <v>474</v>
      </c>
      <c r="AU12" s="8">
        <v>454</v>
      </c>
      <c r="AV12" s="8">
        <v>450</v>
      </c>
    </row>
    <row r="13" spans="1:48">
      <c r="A13" s="1" t="s">
        <v>26</v>
      </c>
      <c r="B13" s="17">
        <f>(B7-2237)*0.5</f>
        <v>22347.5</v>
      </c>
      <c r="C13" s="17"/>
      <c r="E13" s="3" t="s">
        <v>27</v>
      </c>
      <c r="F13" s="4">
        <v>1287</v>
      </c>
      <c r="G13" s="4">
        <v>2296</v>
      </c>
      <c r="H13" s="4">
        <v>2295</v>
      </c>
      <c r="I13" s="4">
        <v>2358</v>
      </c>
      <c r="J13" s="4">
        <v>2251</v>
      </c>
      <c r="K13" s="4">
        <v>2452</v>
      </c>
      <c r="L13" s="4">
        <v>2360</v>
      </c>
      <c r="M13" s="4">
        <v>2143</v>
      </c>
      <c r="N13" s="4">
        <v>1957</v>
      </c>
      <c r="O13" s="4">
        <v>1734</v>
      </c>
      <c r="P13" s="4">
        <v>1750</v>
      </c>
      <c r="Q13" s="4">
        <v>1702</v>
      </c>
      <c r="R13" s="4">
        <v>1673</v>
      </c>
      <c r="T13" s="7" t="s">
        <v>27</v>
      </c>
      <c r="U13" s="8">
        <v>5134</v>
      </c>
      <c r="V13" s="8">
        <v>4305</v>
      </c>
      <c r="W13" s="8">
        <v>4250</v>
      </c>
      <c r="X13" s="8">
        <v>4324</v>
      </c>
      <c r="Y13" s="8">
        <v>4331</v>
      </c>
      <c r="Z13" s="8">
        <v>4118</v>
      </c>
      <c r="AA13" s="8">
        <v>4098</v>
      </c>
      <c r="AB13" s="8">
        <v>4345</v>
      </c>
      <c r="AC13" s="8">
        <v>4382</v>
      </c>
      <c r="AD13" s="8">
        <v>4767</v>
      </c>
      <c r="AE13" s="8">
        <v>4831</v>
      </c>
      <c r="AF13" s="8">
        <v>4744</v>
      </c>
      <c r="AG13" s="8">
        <v>4783</v>
      </c>
      <c r="AI13" s="7" t="s">
        <v>27</v>
      </c>
      <c r="AJ13" s="8">
        <v>359</v>
      </c>
      <c r="AK13" s="8">
        <v>350</v>
      </c>
      <c r="AL13" s="8">
        <v>363</v>
      </c>
      <c r="AM13" s="8">
        <v>337</v>
      </c>
      <c r="AN13" s="8">
        <v>319</v>
      </c>
      <c r="AO13" s="8">
        <v>331</v>
      </c>
      <c r="AP13" s="8">
        <v>427</v>
      </c>
      <c r="AQ13" s="8">
        <v>521</v>
      </c>
      <c r="AR13" s="8">
        <v>466</v>
      </c>
      <c r="AS13" s="8">
        <v>444</v>
      </c>
      <c r="AT13" s="8">
        <v>485</v>
      </c>
      <c r="AU13" s="8">
        <v>425</v>
      </c>
      <c r="AV13" s="8">
        <v>460</v>
      </c>
    </row>
    <row r="14" spans="1:48">
      <c r="A14" s="1" t="s">
        <v>28</v>
      </c>
      <c r="B14" s="17">
        <f>B4</f>
        <v>492056</v>
      </c>
      <c r="C14" s="17"/>
      <c r="E14" s="3" t="s">
        <v>29</v>
      </c>
      <c r="F14" s="4">
        <v>1399</v>
      </c>
      <c r="G14" s="4">
        <v>2218</v>
      </c>
      <c r="H14" s="4">
        <v>2227</v>
      </c>
      <c r="I14" s="4">
        <v>2340</v>
      </c>
      <c r="J14" s="4">
        <v>2363</v>
      </c>
      <c r="K14" s="4">
        <v>2508</v>
      </c>
      <c r="L14" s="4">
        <v>2416</v>
      </c>
      <c r="M14" s="4">
        <v>2307</v>
      </c>
      <c r="N14" s="4">
        <v>2082</v>
      </c>
      <c r="O14" s="4">
        <v>1729</v>
      </c>
      <c r="P14" s="4">
        <v>1764</v>
      </c>
      <c r="Q14" s="4">
        <v>1750</v>
      </c>
      <c r="R14" s="4">
        <v>1716</v>
      </c>
      <c r="T14" s="7" t="s">
        <v>29</v>
      </c>
      <c r="U14" s="8">
        <v>5577</v>
      </c>
      <c r="V14" s="8">
        <v>5250</v>
      </c>
      <c r="W14" s="8">
        <v>5037</v>
      </c>
      <c r="X14" s="8">
        <v>5095</v>
      </c>
      <c r="Y14" s="8">
        <v>5028</v>
      </c>
      <c r="Z14" s="8">
        <v>4985</v>
      </c>
      <c r="AA14" s="8">
        <v>4815</v>
      </c>
      <c r="AB14" s="8">
        <v>5163</v>
      </c>
      <c r="AC14" s="8">
        <v>5129</v>
      </c>
      <c r="AD14" s="8">
        <v>5445</v>
      </c>
      <c r="AE14" s="8">
        <v>5515</v>
      </c>
      <c r="AF14" s="8">
        <v>5453</v>
      </c>
      <c r="AG14" s="8">
        <v>5584</v>
      </c>
      <c r="AI14" s="7" t="s">
        <v>29</v>
      </c>
      <c r="AJ14" s="8">
        <v>367</v>
      </c>
      <c r="AK14" s="8">
        <v>394</v>
      </c>
      <c r="AL14" s="8">
        <v>351</v>
      </c>
      <c r="AM14" s="8">
        <v>313</v>
      </c>
      <c r="AN14" s="8">
        <v>343</v>
      </c>
      <c r="AO14" s="8">
        <v>360</v>
      </c>
      <c r="AP14" s="8">
        <v>489</v>
      </c>
      <c r="AQ14" s="8">
        <v>487</v>
      </c>
      <c r="AR14" s="8">
        <v>506</v>
      </c>
      <c r="AS14" s="8">
        <v>467</v>
      </c>
      <c r="AT14" s="8">
        <v>467</v>
      </c>
      <c r="AU14" s="8">
        <v>497</v>
      </c>
      <c r="AV14" s="8">
        <v>503</v>
      </c>
    </row>
    <row r="15" spans="1:48">
      <c r="A15" s="1" t="s">
        <v>30</v>
      </c>
      <c r="B15" s="17">
        <f>B12+B13-B14</f>
        <v>-103109.5</v>
      </c>
      <c r="C15" s="21"/>
      <c r="E15" s="3" t="s">
        <v>31</v>
      </c>
      <c r="F15" s="4">
        <v>1492</v>
      </c>
      <c r="G15" s="4">
        <v>2313</v>
      </c>
      <c r="H15" s="4">
        <v>2466</v>
      </c>
      <c r="I15" s="4">
        <v>2506</v>
      </c>
      <c r="J15" s="4">
        <v>2464</v>
      </c>
      <c r="K15" s="4">
        <v>2496</v>
      </c>
      <c r="L15" s="4">
        <v>2526</v>
      </c>
      <c r="M15" s="4">
        <v>2365</v>
      </c>
      <c r="N15" s="4">
        <v>2074</v>
      </c>
      <c r="O15" s="4">
        <v>1786</v>
      </c>
      <c r="P15" s="4">
        <v>1882</v>
      </c>
      <c r="Q15" s="4">
        <v>1837</v>
      </c>
      <c r="R15" s="4">
        <v>1772</v>
      </c>
      <c r="T15" s="7" t="s">
        <v>31</v>
      </c>
      <c r="U15" s="8">
        <v>6040</v>
      </c>
      <c r="V15" s="8">
        <v>6236</v>
      </c>
      <c r="W15" s="8">
        <v>6062</v>
      </c>
      <c r="X15" s="8">
        <v>6118</v>
      </c>
      <c r="Y15" s="8">
        <v>5910</v>
      </c>
      <c r="Z15" s="8">
        <v>5935</v>
      </c>
      <c r="AA15" s="8">
        <v>5845</v>
      </c>
      <c r="AB15" s="8">
        <v>5970</v>
      </c>
      <c r="AC15" s="8">
        <v>6195</v>
      </c>
      <c r="AD15" s="8">
        <v>6352</v>
      </c>
      <c r="AE15" s="8">
        <v>6373</v>
      </c>
      <c r="AF15" s="8">
        <v>6394</v>
      </c>
      <c r="AG15" s="8">
        <v>6435</v>
      </c>
      <c r="AI15" s="7" t="s">
        <v>31</v>
      </c>
      <c r="AJ15" s="8">
        <v>391</v>
      </c>
      <c r="AK15" s="8">
        <v>383</v>
      </c>
      <c r="AL15" s="8">
        <v>352</v>
      </c>
      <c r="AM15" s="8">
        <v>342</v>
      </c>
      <c r="AN15" s="8">
        <v>343</v>
      </c>
      <c r="AO15" s="8">
        <v>352</v>
      </c>
      <c r="AP15" s="8">
        <v>534</v>
      </c>
      <c r="AQ15" s="8">
        <v>506</v>
      </c>
      <c r="AR15" s="8">
        <v>504</v>
      </c>
      <c r="AS15" s="8">
        <v>487</v>
      </c>
      <c r="AT15" s="8">
        <v>487</v>
      </c>
      <c r="AU15" s="8">
        <v>476</v>
      </c>
      <c r="AV15" s="8">
        <v>462</v>
      </c>
    </row>
    <row r="16" spans="1:48">
      <c r="E16" s="3" t="s">
        <v>32</v>
      </c>
      <c r="F16" s="4">
        <v>1493</v>
      </c>
      <c r="G16" s="4">
        <v>2469</v>
      </c>
      <c r="H16" s="4">
        <v>2413</v>
      </c>
      <c r="I16" s="4">
        <v>2494</v>
      </c>
      <c r="J16" s="4">
        <v>2535</v>
      </c>
      <c r="K16" s="4">
        <v>2549</v>
      </c>
      <c r="L16" s="4">
        <v>2648</v>
      </c>
      <c r="M16" s="4">
        <v>2510</v>
      </c>
      <c r="N16" s="4">
        <v>2100</v>
      </c>
      <c r="O16" s="4">
        <v>1841</v>
      </c>
      <c r="P16" s="4">
        <v>1854</v>
      </c>
      <c r="Q16" s="4">
        <v>1914</v>
      </c>
      <c r="R16" s="4">
        <v>1923</v>
      </c>
      <c r="T16" s="7" t="s">
        <v>32</v>
      </c>
      <c r="U16" s="8">
        <v>6480</v>
      </c>
      <c r="V16" s="8">
        <v>7095</v>
      </c>
      <c r="W16" s="8">
        <v>6955</v>
      </c>
      <c r="X16" s="8">
        <v>6933</v>
      </c>
      <c r="Y16" s="8">
        <v>6862</v>
      </c>
      <c r="Z16" s="8">
        <v>6852</v>
      </c>
      <c r="AA16" s="8">
        <v>6622</v>
      </c>
      <c r="AB16" s="8">
        <v>6935</v>
      </c>
      <c r="AC16" s="8">
        <v>7168</v>
      </c>
      <c r="AD16" s="8">
        <v>7076</v>
      </c>
      <c r="AE16" s="8">
        <v>7121</v>
      </c>
      <c r="AF16" s="8">
        <v>7156</v>
      </c>
      <c r="AG16" s="8">
        <v>7295</v>
      </c>
      <c r="AI16" s="7" t="s">
        <v>32</v>
      </c>
      <c r="AJ16" s="8">
        <v>385</v>
      </c>
      <c r="AK16" s="8">
        <v>393</v>
      </c>
      <c r="AL16" s="8">
        <v>356</v>
      </c>
      <c r="AM16" s="8">
        <v>371</v>
      </c>
      <c r="AN16" s="8">
        <v>351</v>
      </c>
      <c r="AO16" s="8">
        <v>343</v>
      </c>
      <c r="AP16" s="8">
        <v>500</v>
      </c>
      <c r="AQ16" s="8">
        <v>532</v>
      </c>
      <c r="AR16" s="8">
        <v>527</v>
      </c>
      <c r="AS16" s="8">
        <v>519</v>
      </c>
      <c r="AT16" s="8">
        <v>510</v>
      </c>
      <c r="AU16" s="8">
        <v>495</v>
      </c>
      <c r="AV16" s="8">
        <v>486</v>
      </c>
    </row>
    <row r="17" spans="5:48">
      <c r="E17" s="3" t="s">
        <v>33</v>
      </c>
      <c r="F17" s="4">
        <v>539</v>
      </c>
      <c r="G17" s="4">
        <v>1623</v>
      </c>
      <c r="H17" s="4">
        <v>1727</v>
      </c>
      <c r="I17" s="4">
        <v>1803</v>
      </c>
      <c r="J17" s="4">
        <v>2009</v>
      </c>
      <c r="K17" s="4">
        <v>1964</v>
      </c>
      <c r="L17" s="4">
        <v>1166</v>
      </c>
      <c r="M17" s="4">
        <v>1115</v>
      </c>
      <c r="N17" s="4">
        <v>1047</v>
      </c>
      <c r="O17" s="4">
        <v>1004</v>
      </c>
      <c r="P17" s="4">
        <v>990</v>
      </c>
      <c r="Q17" s="4">
        <v>1020</v>
      </c>
      <c r="R17" s="4">
        <v>1005</v>
      </c>
      <c r="T17" s="7" t="s">
        <v>33</v>
      </c>
      <c r="U17" s="8">
        <v>3456</v>
      </c>
      <c r="V17" s="8">
        <v>2210</v>
      </c>
      <c r="W17" s="8">
        <v>2273</v>
      </c>
      <c r="X17" s="8">
        <v>2219</v>
      </c>
      <c r="Y17" s="8">
        <v>2101</v>
      </c>
      <c r="Z17" s="8">
        <v>1871</v>
      </c>
      <c r="AA17" s="8">
        <v>1684</v>
      </c>
      <c r="AB17" s="8">
        <v>2724</v>
      </c>
      <c r="AC17" s="8">
        <v>3012</v>
      </c>
      <c r="AD17" s="8">
        <v>3137</v>
      </c>
      <c r="AE17" s="8">
        <v>3045</v>
      </c>
      <c r="AF17" s="8">
        <v>3055</v>
      </c>
      <c r="AG17" s="8">
        <v>2944</v>
      </c>
      <c r="AI17" s="7" t="s">
        <v>33</v>
      </c>
      <c r="AJ17" s="8">
        <v>617</v>
      </c>
      <c r="AK17" s="8">
        <v>604</v>
      </c>
      <c r="AL17" s="8">
        <v>605</v>
      </c>
      <c r="AM17" s="8">
        <v>582</v>
      </c>
      <c r="AN17" s="8">
        <v>530</v>
      </c>
      <c r="AO17" s="8">
        <v>780</v>
      </c>
      <c r="AP17" s="8">
        <v>1629</v>
      </c>
      <c r="AQ17" s="8">
        <v>622</v>
      </c>
      <c r="AR17" s="8">
        <v>529</v>
      </c>
      <c r="AS17" s="8">
        <v>513</v>
      </c>
      <c r="AT17" s="8">
        <v>506</v>
      </c>
      <c r="AU17" s="8">
        <v>533</v>
      </c>
      <c r="AV17" s="8">
        <v>495</v>
      </c>
    </row>
    <row r="18" spans="5:48">
      <c r="E18" s="3" t="s">
        <v>34</v>
      </c>
      <c r="F18" s="4">
        <v>1072</v>
      </c>
      <c r="G18" s="4">
        <v>2050</v>
      </c>
      <c r="H18" s="4">
        <v>2107</v>
      </c>
      <c r="I18" s="4">
        <v>2155</v>
      </c>
      <c r="J18" s="4">
        <v>2175</v>
      </c>
      <c r="K18" s="4">
        <v>2455</v>
      </c>
      <c r="L18" s="4">
        <v>2603</v>
      </c>
      <c r="M18" s="4">
        <v>1412</v>
      </c>
      <c r="N18" s="4">
        <v>1438</v>
      </c>
      <c r="O18" s="4">
        <v>1328</v>
      </c>
      <c r="P18" s="4">
        <v>1345</v>
      </c>
      <c r="Q18" s="4">
        <v>1274</v>
      </c>
      <c r="R18" s="4">
        <v>1297</v>
      </c>
      <c r="T18" s="7" t="s">
        <v>34</v>
      </c>
      <c r="U18" s="8">
        <v>2632</v>
      </c>
      <c r="V18" s="8">
        <v>1543</v>
      </c>
      <c r="W18" s="8">
        <v>1439</v>
      </c>
      <c r="X18" s="8">
        <v>1475</v>
      </c>
      <c r="Y18" s="8">
        <v>1366</v>
      </c>
      <c r="Z18" s="8">
        <v>1276</v>
      </c>
      <c r="AA18" s="8">
        <v>909</v>
      </c>
      <c r="AB18" s="8">
        <v>1036</v>
      </c>
      <c r="AC18" s="8">
        <v>2165</v>
      </c>
      <c r="AD18" s="8">
        <v>2330</v>
      </c>
      <c r="AE18" s="8">
        <v>2350</v>
      </c>
      <c r="AF18" s="8">
        <v>2377</v>
      </c>
      <c r="AG18" s="8">
        <v>2303</v>
      </c>
      <c r="AI18" s="7" t="s">
        <v>34</v>
      </c>
      <c r="AJ18" s="8">
        <v>542</v>
      </c>
      <c r="AK18" s="8">
        <v>565</v>
      </c>
      <c r="AL18" s="8">
        <v>559</v>
      </c>
      <c r="AM18" s="8">
        <v>459</v>
      </c>
      <c r="AN18" s="8">
        <v>480</v>
      </c>
      <c r="AO18" s="8">
        <v>460</v>
      </c>
      <c r="AP18" s="8">
        <v>572</v>
      </c>
      <c r="AQ18" s="8">
        <v>1416</v>
      </c>
      <c r="AR18" s="8">
        <v>489</v>
      </c>
      <c r="AS18" s="8">
        <v>456</v>
      </c>
      <c r="AT18" s="8">
        <v>472</v>
      </c>
      <c r="AU18" s="8">
        <v>434</v>
      </c>
      <c r="AV18" s="8">
        <v>436</v>
      </c>
    </row>
    <row r="19" spans="5:48">
      <c r="E19" s="3" t="s">
        <v>35</v>
      </c>
      <c r="F19" s="4">
        <v>1443</v>
      </c>
      <c r="G19" s="4">
        <v>2338</v>
      </c>
      <c r="H19" s="4">
        <v>2265</v>
      </c>
      <c r="I19" s="4">
        <v>2413</v>
      </c>
      <c r="J19" s="4">
        <v>2459</v>
      </c>
      <c r="K19" s="4">
        <v>2559</v>
      </c>
      <c r="L19" s="4">
        <v>2806</v>
      </c>
      <c r="M19" s="4">
        <v>2606</v>
      </c>
      <c r="N19" s="4">
        <v>1692</v>
      </c>
      <c r="O19" s="4">
        <v>1555</v>
      </c>
      <c r="P19" s="4">
        <v>1550</v>
      </c>
      <c r="Q19" s="4">
        <v>1573</v>
      </c>
      <c r="R19" s="4">
        <v>1627</v>
      </c>
      <c r="T19" s="7" t="s">
        <v>35</v>
      </c>
      <c r="U19" s="8">
        <v>1876</v>
      </c>
      <c r="V19" s="8">
        <v>872</v>
      </c>
      <c r="W19" s="8">
        <v>847</v>
      </c>
      <c r="X19" s="8">
        <v>854</v>
      </c>
      <c r="Y19" s="8">
        <v>786</v>
      </c>
      <c r="Z19" s="8">
        <v>756</v>
      </c>
      <c r="AA19" s="8">
        <v>549</v>
      </c>
      <c r="AB19" s="8">
        <v>479</v>
      </c>
      <c r="AC19" s="8">
        <v>638</v>
      </c>
      <c r="AD19" s="8">
        <v>1543</v>
      </c>
      <c r="AE19" s="8">
        <v>1643</v>
      </c>
      <c r="AF19" s="8">
        <v>1655</v>
      </c>
      <c r="AG19" s="8">
        <v>1641</v>
      </c>
      <c r="AI19" s="7" t="s">
        <v>35</v>
      </c>
      <c r="AJ19" s="8">
        <v>503</v>
      </c>
      <c r="AK19" s="8">
        <v>469</v>
      </c>
      <c r="AL19" s="8">
        <v>458</v>
      </c>
      <c r="AM19" s="8">
        <v>437</v>
      </c>
      <c r="AN19" s="8">
        <v>413</v>
      </c>
      <c r="AO19" s="8">
        <v>395</v>
      </c>
      <c r="AP19" s="8">
        <v>325</v>
      </c>
      <c r="AQ19" s="8">
        <v>470</v>
      </c>
      <c r="AR19" s="8">
        <v>1306</v>
      </c>
      <c r="AS19" s="8">
        <v>438</v>
      </c>
      <c r="AT19" s="8">
        <v>399</v>
      </c>
      <c r="AU19" s="8">
        <v>400</v>
      </c>
      <c r="AV19" s="8">
        <v>444</v>
      </c>
    </row>
    <row r="20" spans="5:48">
      <c r="E20" s="3" t="s">
        <v>36</v>
      </c>
      <c r="F20" s="4">
        <v>3713</v>
      </c>
      <c r="G20" s="4">
        <v>5526</v>
      </c>
      <c r="H20" s="4">
        <v>5475</v>
      </c>
      <c r="I20" s="4">
        <v>5414</v>
      </c>
      <c r="J20" s="4">
        <v>5589</v>
      </c>
      <c r="K20" s="4">
        <v>5785</v>
      </c>
      <c r="L20" s="4">
        <v>6222</v>
      </c>
      <c r="M20" s="4">
        <v>6324</v>
      </c>
      <c r="N20" s="4">
        <v>5998</v>
      </c>
      <c r="O20" s="4">
        <v>4012</v>
      </c>
      <c r="P20" s="4">
        <v>3833</v>
      </c>
      <c r="Q20" s="4">
        <v>3884</v>
      </c>
      <c r="R20" s="4">
        <v>3863</v>
      </c>
      <c r="T20" s="7" t="s">
        <v>36</v>
      </c>
      <c r="U20" s="8">
        <v>2642</v>
      </c>
      <c r="V20" s="8">
        <v>825</v>
      </c>
      <c r="W20" s="8">
        <v>873</v>
      </c>
      <c r="X20" s="8">
        <v>872</v>
      </c>
      <c r="Y20" s="8">
        <v>790</v>
      </c>
      <c r="Z20" s="8">
        <v>714</v>
      </c>
      <c r="AA20" s="8">
        <v>526</v>
      </c>
      <c r="AB20" s="8">
        <v>489</v>
      </c>
      <c r="AC20" s="8">
        <v>456</v>
      </c>
      <c r="AD20" s="8">
        <v>817</v>
      </c>
      <c r="AE20" s="8">
        <v>793</v>
      </c>
      <c r="AF20" s="8">
        <v>802</v>
      </c>
      <c r="AG20" s="8">
        <v>815</v>
      </c>
      <c r="AI20" s="7" t="s">
        <v>36</v>
      </c>
      <c r="AJ20" s="8">
        <v>1011</v>
      </c>
      <c r="AK20" s="8">
        <v>891</v>
      </c>
      <c r="AL20" s="8">
        <v>841</v>
      </c>
      <c r="AM20" s="8">
        <v>812</v>
      </c>
      <c r="AN20" s="8">
        <v>817</v>
      </c>
      <c r="AO20" s="8">
        <v>785</v>
      </c>
      <c r="AP20" s="8">
        <v>621</v>
      </c>
      <c r="AQ20" s="8">
        <v>511</v>
      </c>
      <c r="AR20" s="8">
        <v>824</v>
      </c>
      <c r="AS20" s="8">
        <v>2459</v>
      </c>
      <c r="AT20" s="8">
        <v>2412</v>
      </c>
      <c r="AU20" s="8">
        <v>2467</v>
      </c>
      <c r="AV20" s="8">
        <v>2307</v>
      </c>
    </row>
    <row r="21" spans="5:48">
      <c r="E21" s="3" t="s">
        <v>37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7" t="s">
        <v>37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I21" s="7" t="s">
        <v>37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</row>
    <row r="22" spans="5:48">
      <c r="E22" s="3" t="s">
        <v>38</v>
      </c>
      <c r="F22" s="4">
        <v>73</v>
      </c>
      <c r="G22" s="4">
        <v>97</v>
      </c>
      <c r="H22" s="4">
        <v>120</v>
      </c>
      <c r="I22" s="4">
        <v>112</v>
      </c>
      <c r="J22" s="4">
        <v>131</v>
      </c>
      <c r="K22" s="4">
        <v>99</v>
      </c>
      <c r="L22" s="4">
        <v>115</v>
      </c>
      <c r="M22" s="4">
        <v>107</v>
      </c>
      <c r="N22" s="4">
        <v>88</v>
      </c>
      <c r="O22" s="4">
        <v>86</v>
      </c>
      <c r="P22" s="4">
        <v>93</v>
      </c>
      <c r="Q22" s="4">
        <v>92</v>
      </c>
      <c r="R22" s="4">
        <v>80</v>
      </c>
      <c r="T22" s="7" t="s">
        <v>38</v>
      </c>
      <c r="U22" s="8">
        <v>163</v>
      </c>
      <c r="V22" s="8">
        <v>54</v>
      </c>
      <c r="W22" s="8">
        <v>45</v>
      </c>
      <c r="X22" s="8">
        <v>32</v>
      </c>
      <c r="Y22" s="8">
        <v>34</v>
      </c>
      <c r="Z22" s="8">
        <v>31</v>
      </c>
      <c r="AA22" s="8">
        <v>33</v>
      </c>
      <c r="AB22" s="8">
        <v>36</v>
      </c>
      <c r="AC22" s="8">
        <v>61</v>
      </c>
      <c r="AD22" s="8">
        <v>78</v>
      </c>
      <c r="AE22" s="8">
        <v>92</v>
      </c>
      <c r="AF22" s="8">
        <v>78</v>
      </c>
      <c r="AG22" s="8">
        <v>77</v>
      </c>
      <c r="AI22" s="7" t="s">
        <v>38</v>
      </c>
      <c r="AJ22" s="8">
        <v>13</v>
      </c>
      <c r="AK22" s="8">
        <v>14</v>
      </c>
      <c r="AL22" s="8">
        <v>17</v>
      </c>
      <c r="AM22" s="8">
        <v>14</v>
      </c>
      <c r="AN22" s="8">
        <v>11</v>
      </c>
      <c r="AO22" s="8">
        <v>22</v>
      </c>
      <c r="AP22" s="8">
        <v>36</v>
      </c>
      <c r="AQ22" s="8">
        <v>24</v>
      </c>
      <c r="AR22" s="8">
        <v>21</v>
      </c>
      <c r="AS22" s="8">
        <v>21</v>
      </c>
      <c r="AT22" s="8">
        <v>20</v>
      </c>
      <c r="AU22" s="8">
        <v>23</v>
      </c>
      <c r="AV22" s="8">
        <v>26</v>
      </c>
    </row>
    <row r="23" spans="5:48">
      <c r="E23" s="3" t="s">
        <v>39</v>
      </c>
      <c r="F23" s="4">
        <v>111</v>
      </c>
      <c r="G23" s="4">
        <v>235</v>
      </c>
      <c r="H23" s="4">
        <v>208</v>
      </c>
      <c r="I23" s="4">
        <v>240</v>
      </c>
      <c r="J23" s="4">
        <v>257</v>
      </c>
      <c r="K23" s="4">
        <v>252</v>
      </c>
      <c r="L23" s="4">
        <v>271</v>
      </c>
      <c r="M23" s="4">
        <v>212</v>
      </c>
      <c r="N23" s="4">
        <v>219</v>
      </c>
      <c r="O23" s="4">
        <v>198</v>
      </c>
      <c r="P23" s="4">
        <v>175</v>
      </c>
      <c r="Q23" s="4">
        <v>191</v>
      </c>
      <c r="R23" s="4">
        <v>169</v>
      </c>
      <c r="T23" s="7" t="s">
        <v>39</v>
      </c>
      <c r="U23" s="8">
        <v>320</v>
      </c>
      <c r="V23" s="8">
        <v>93</v>
      </c>
      <c r="W23" s="8">
        <v>80</v>
      </c>
      <c r="X23" s="8">
        <v>76</v>
      </c>
      <c r="Y23" s="8">
        <v>81</v>
      </c>
      <c r="Z23" s="8">
        <v>81</v>
      </c>
      <c r="AA23" s="8">
        <v>69</v>
      </c>
      <c r="AB23" s="8">
        <v>75</v>
      </c>
      <c r="AC23" s="8">
        <v>114</v>
      </c>
      <c r="AD23" s="8">
        <v>180</v>
      </c>
      <c r="AE23" s="8">
        <v>175</v>
      </c>
      <c r="AF23" s="8">
        <v>178</v>
      </c>
      <c r="AG23" s="8">
        <v>170</v>
      </c>
      <c r="AI23" s="7" t="s">
        <v>39</v>
      </c>
      <c r="AJ23" s="8">
        <v>28</v>
      </c>
      <c r="AK23" s="8">
        <v>32</v>
      </c>
      <c r="AL23" s="8">
        <v>42</v>
      </c>
      <c r="AM23" s="8">
        <v>30</v>
      </c>
      <c r="AN23" s="8">
        <v>42</v>
      </c>
      <c r="AO23" s="8">
        <v>53</v>
      </c>
      <c r="AP23" s="8">
        <v>49</v>
      </c>
      <c r="AQ23" s="8">
        <v>46</v>
      </c>
      <c r="AR23" s="8">
        <v>46</v>
      </c>
      <c r="AS23" s="8">
        <v>47</v>
      </c>
      <c r="AT23" s="8">
        <v>63</v>
      </c>
      <c r="AU23" s="8">
        <v>52</v>
      </c>
      <c r="AV23" s="8">
        <v>42</v>
      </c>
    </row>
    <row r="24" spans="5:48">
      <c r="E24" s="3" t="s">
        <v>40</v>
      </c>
      <c r="F24" s="4">
        <v>138</v>
      </c>
      <c r="G24" s="4">
        <v>243</v>
      </c>
      <c r="H24" s="4">
        <v>275</v>
      </c>
      <c r="I24" s="4">
        <v>285</v>
      </c>
      <c r="J24" s="4">
        <v>249</v>
      </c>
      <c r="K24" s="4">
        <v>274</v>
      </c>
      <c r="L24" s="4">
        <v>285</v>
      </c>
      <c r="M24" s="4">
        <v>290</v>
      </c>
      <c r="N24" s="4">
        <v>242</v>
      </c>
      <c r="O24" s="4">
        <v>188</v>
      </c>
      <c r="P24" s="4">
        <v>189</v>
      </c>
      <c r="Q24" s="4">
        <v>217</v>
      </c>
      <c r="R24" s="4">
        <v>214</v>
      </c>
      <c r="T24" s="7" t="s">
        <v>40</v>
      </c>
      <c r="U24" s="8">
        <v>363</v>
      </c>
      <c r="V24" s="8">
        <v>96</v>
      </c>
      <c r="W24" s="8">
        <v>86</v>
      </c>
      <c r="X24" s="8">
        <v>100</v>
      </c>
      <c r="Y24" s="8">
        <v>87</v>
      </c>
      <c r="Z24" s="8">
        <v>81</v>
      </c>
      <c r="AA24" s="8">
        <v>66</v>
      </c>
      <c r="AB24" s="8">
        <v>115</v>
      </c>
      <c r="AC24" s="8">
        <v>119</v>
      </c>
      <c r="AD24" s="8">
        <v>174</v>
      </c>
      <c r="AE24" s="8">
        <v>194</v>
      </c>
      <c r="AF24" s="8">
        <v>211</v>
      </c>
      <c r="AG24" s="8">
        <v>190</v>
      </c>
      <c r="AI24" s="7" t="s">
        <v>40</v>
      </c>
      <c r="AJ24" s="8">
        <v>53</v>
      </c>
      <c r="AK24" s="8">
        <v>50</v>
      </c>
      <c r="AL24" s="8">
        <v>42</v>
      </c>
      <c r="AM24" s="8">
        <v>33</v>
      </c>
      <c r="AN24" s="8">
        <v>33</v>
      </c>
      <c r="AO24" s="8">
        <v>41</v>
      </c>
      <c r="AP24" s="8">
        <v>69</v>
      </c>
      <c r="AQ24" s="8">
        <v>57</v>
      </c>
      <c r="AR24" s="8">
        <v>53</v>
      </c>
      <c r="AS24" s="8">
        <v>57</v>
      </c>
      <c r="AT24" s="8">
        <v>50</v>
      </c>
      <c r="AU24" s="8">
        <v>60</v>
      </c>
      <c r="AV24" s="8">
        <v>48</v>
      </c>
    </row>
    <row r="25" spans="5:48">
      <c r="E25" s="3" t="s">
        <v>41</v>
      </c>
      <c r="F25" s="4">
        <v>149</v>
      </c>
      <c r="G25" s="4">
        <v>281</v>
      </c>
      <c r="H25" s="4">
        <v>325</v>
      </c>
      <c r="I25" s="4">
        <v>255</v>
      </c>
      <c r="J25" s="4">
        <v>280</v>
      </c>
      <c r="K25" s="4">
        <v>310</v>
      </c>
      <c r="L25" s="4">
        <v>316</v>
      </c>
      <c r="M25" s="4">
        <v>281</v>
      </c>
      <c r="N25" s="4">
        <v>239</v>
      </c>
      <c r="O25" s="4">
        <v>242</v>
      </c>
      <c r="P25" s="4">
        <v>196</v>
      </c>
      <c r="Q25" s="4">
        <v>201</v>
      </c>
      <c r="R25" s="4">
        <v>220</v>
      </c>
      <c r="T25" s="7" t="s">
        <v>41</v>
      </c>
      <c r="U25" s="8">
        <v>374</v>
      </c>
      <c r="V25" s="8">
        <v>105</v>
      </c>
      <c r="W25" s="8">
        <v>110</v>
      </c>
      <c r="X25" s="8">
        <v>111</v>
      </c>
      <c r="Y25" s="8">
        <v>99</v>
      </c>
      <c r="Z25" s="8">
        <v>109</v>
      </c>
      <c r="AA25" s="8">
        <v>66</v>
      </c>
      <c r="AB25" s="8">
        <v>84</v>
      </c>
      <c r="AC25" s="8">
        <v>134</v>
      </c>
      <c r="AD25" s="8">
        <v>182</v>
      </c>
      <c r="AE25" s="8">
        <v>192</v>
      </c>
      <c r="AF25" s="8">
        <v>199</v>
      </c>
      <c r="AG25" s="8">
        <v>208</v>
      </c>
      <c r="AI25" s="7" t="s">
        <v>41</v>
      </c>
      <c r="AJ25" s="8">
        <v>32</v>
      </c>
      <c r="AK25" s="8">
        <v>49</v>
      </c>
      <c r="AL25" s="8">
        <v>43</v>
      </c>
      <c r="AM25" s="8">
        <v>35</v>
      </c>
      <c r="AN25" s="8">
        <v>43</v>
      </c>
      <c r="AO25" s="8">
        <v>34</v>
      </c>
      <c r="AP25" s="8">
        <v>51</v>
      </c>
      <c r="AQ25" s="8">
        <v>42</v>
      </c>
      <c r="AR25" s="8">
        <v>73</v>
      </c>
      <c r="AS25" s="8">
        <v>64</v>
      </c>
      <c r="AT25" s="8">
        <v>60</v>
      </c>
      <c r="AU25" s="8">
        <v>64</v>
      </c>
      <c r="AV25" s="8">
        <v>54</v>
      </c>
    </row>
    <row r="26" spans="5:48">
      <c r="E26" s="3" t="s">
        <v>42</v>
      </c>
      <c r="F26" s="4">
        <v>200</v>
      </c>
      <c r="G26" s="4">
        <v>276</v>
      </c>
      <c r="H26" s="4">
        <v>321</v>
      </c>
      <c r="I26" s="4">
        <v>333</v>
      </c>
      <c r="J26" s="4">
        <v>302</v>
      </c>
      <c r="K26" s="4">
        <v>326</v>
      </c>
      <c r="L26" s="4">
        <v>365</v>
      </c>
      <c r="M26" s="4">
        <v>304</v>
      </c>
      <c r="N26" s="4">
        <v>270</v>
      </c>
      <c r="O26" s="4">
        <v>208</v>
      </c>
      <c r="P26" s="4">
        <v>220</v>
      </c>
      <c r="Q26" s="4">
        <v>219</v>
      </c>
      <c r="R26" s="4">
        <v>221</v>
      </c>
      <c r="T26" s="7" t="s">
        <v>42</v>
      </c>
      <c r="U26" s="8">
        <v>405</v>
      </c>
      <c r="V26" s="8">
        <v>101</v>
      </c>
      <c r="W26" s="8">
        <v>119</v>
      </c>
      <c r="X26" s="8">
        <v>104</v>
      </c>
      <c r="Y26" s="8">
        <v>109</v>
      </c>
      <c r="Z26" s="8">
        <v>88</v>
      </c>
      <c r="AA26" s="8">
        <v>94</v>
      </c>
      <c r="AB26" s="8">
        <v>117</v>
      </c>
      <c r="AC26" s="8">
        <v>136</v>
      </c>
      <c r="AD26" s="8">
        <v>187</v>
      </c>
      <c r="AE26" s="8">
        <v>215</v>
      </c>
      <c r="AF26" s="8">
        <v>209</v>
      </c>
      <c r="AG26" s="8">
        <v>248</v>
      </c>
      <c r="AI26" s="7" t="s">
        <v>42</v>
      </c>
      <c r="AJ26" s="8">
        <v>45</v>
      </c>
      <c r="AK26" s="8">
        <v>57</v>
      </c>
      <c r="AL26" s="8">
        <v>47</v>
      </c>
      <c r="AM26" s="8">
        <v>46</v>
      </c>
      <c r="AN26" s="8">
        <v>41</v>
      </c>
      <c r="AO26" s="8">
        <v>45</v>
      </c>
      <c r="AP26" s="8">
        <v>60</v>
      </c>
      <c r="AQ26" s="8">
        <v>71</v>
      </c>
      <c r="AR26" s="8">
        <v>79</v>
      </c>
      <c r="AS26" s="8">
        <v>83</v>
      </c>
      <c r="AT26" s="8">
        <v>59</v>
      </c>
      <c r="AU26" s="8">
        <v>71</v>
      </c>
      <c r="AV26" s="8">
        <v>64</v>
      </c>
    </row>
    <row r="27" spans="5:48">
      <c r="E27" s="3" t="s">
        <v>43</v>
      </c>
      <c r="F27" s="4">
        <v>113</v>
      </c>
      <c r="G27" s="4">
        <v>363</v>
      </c>
      <c r="H27" s="4">
        <v>320</v>
      </c>
      <c r="I27" s="4">
        <v>362</v>
      </c>
      <c r="J27" s="4">
        <v>393</v>
      </c>
      <c r="K27" s="4">
        <v>390</v>
      </c>
      <c r="L27" s="4">
        <v>227</v>
      </c>
      <c r="M27" s="4">
        <v>222</v>
      </c>
      <c r="N27" s="4">
        <v>221</v>
      </c>
      <c r="O27" s="4">
        <v>185</v>
      </c>
      <c r="P27" s="4">
        <v>206</v>
      </c>
      <c r="Q27" s="4">
        <v>209</v>
      </c>
      <c r="R27" s="4">
        <v>202</v>
      </c>
      <c r="T27" s="7" t="s">
        <v>43</v>
      </c>
      <c r="U27" s="8">
        <v>655</v>
      </c>
      <c r="V27" s="8">
        <v>477</v>
      </c>
      <c r="W27" s="8">
        <v>454</v>
      </c>
      <c r="X27" s="8">
        <v>449</v>
      </c>
      <c r="Y27" s="8">
        <v>420</v>
      </c>
      <c r="Z27" s="8">
        <v>366</v>
      </c>
      <c r="AA27" s="8">
        <v>320</v>
      </c>
      <c r="AB27" s="8">
        <v>593</v>
      </c>
      <c r="AC27" s="8">
        <v>586</v>
      </c>
      <c r="AD27" s="8">
        <v>607</v>
      </c>
      <c r="AE27" s="8">
        <v>643</v>
      </c>
      <c r="AF27" s="8">
        <v>645</v>
      </c>
      <c r="AG27" s="8">
        <v>658</v>
      </c>
      <c r="AI27" s="7" t="s">
        <v>43</v>
      </c>
      <c r="AJ27" s="8">
        <v>91</v>
      </c>
      <c r="AK27" s="8">
        <v>142</v>
      </c>
      <c r="AL27" s="8">
        <v>123</v>
      </c>
      <c r="AM27" s="8">
        <v>117</v>
      </c>
      <c r="AN27" s="8">
        <v>107</v>
      </c>
      <c r="AO27" s="8">
        <v>161</v>
      </c>
      <c r="AP27" s="8">
        <v>346</v>
      </c>
      <c r="AQ27" s="8">
        <v>113</v>
      </c>
      <c r="AR27" s="8">
        <v>127</v>
      </c>
      <c r="AS27" s="8">
        <v>109</v>
      </c>
      <c r="AT27" s="8">
        <v>98</v>
      </c>
      <c r="AU27" s="8">
        <v>89</v>
      </c>
      <c r="AV27" s="8">
        <v>103</v>
      </c>
    </row>
    <row r="28" spans="5:48">
      <c r="E28" s="3" t="s">
        <v>44</v>
      </c>
      <c r="F28" s="4">
        <v>216</v>
      </c>
      <c r="G28" s="4">
        <v>470</v>
      </c>
      <c r="H28" s="4">
        <v>490</v>
      </c>
      <c r="I28" s="4">
        <v>488</v>
      </c>
      <c r="J28" s="4">
        <v>530</v>
      </c>
      <c r="K28" s="4">
        <v>544</v>
      </c>
      <c r="L28" s="4">
        <v>579</v>
      </c>
      <c r="M28" s="4">
        <v>333</v>
      </c>
      <c r="N28" s="4">
        <v>311</v>
      </c>
      <c r="O28" s="4">
        <v>274</v>
      </c>
      <c r="P28" s="4">
        <v>289</v>
      </c>
      <c r="Q28" s="4">
        <v>319</v>
      </c>
      <c r="R28" s="4">
        <v>304</v>
      </c>
      <c r="T28" s="7" t="s">
        <v>44</v>
      </c>
      <c r="U28" s="8">
        <v>518</v>
      </c>
      <c r="V28" s="8">
        <v>331</v>
      </c>
      <c r="W28" s="8">
        <v>332</v>
      </c>
      <c r="X28" s="8">
        <v>324</v>
      </c>
      <c r="Y28" s="8">
        <v>296</v>
      </c>
      <c r="Z28" s="8">
        <v>297</v>
      </c>
      <c r="AA28" s="8">
        <v>221</v>
      </c>
      <c r="AB28" s="8">
        <v>251</v>
      </c>
      <c r="AC28" s="8">
        <v>492</v>
      </c>
      <c r="AD28" s="8">
        <v>515</v>
      </c>
      <c r="AE28" s="8">
        <v>499</v>
      </c>
      <c r="AF28" s="8">
        <v>517</v>
      </c>
      <c r="AG28" s="8">
        <v>502</v>
      </c>
      <c r="AI28" s="7" t="s">
        <v>44</v>
      </c>
      <c r="AJ28" s="8">
        <v>131</v>
      </c>
      <c r="AK28" s="8">
        <v>128</v>
      </c>
      <c r="AL28" s="8">
        <v>129</v>
      </c>
      <c r="AM28" s="8">
        <v>119</v>
      </c>
      <c r="AN28" s="8">
        <v>119</v>
      </c>
      <c r="AO28" s="8">
        <v>89</v>
      </c>
      <c r="AP28" s="8">
        <v>120</v>
      </c>
      <c r="AQ28" s="8">
        <v>337</v>
      </c>
      <c r="AR28" s="8">
        <v>103</v>
      </c>
      <c r="AS28" s="8">
        <v>97</v>
      </c>
      <c r="AT28" s="8">
        <v>97</v>
      </c>
      <c r="AU28" s="8">
        <v>107</v>
      </c>
      <c r="AV28" s="8">
        <v>94</v>
      </c>
    </row>
    <row r="29" spans="5:48">
      <c r="E29" s="3" t="s">
        <v>45</v>
      </c>
      <c r="F29" s="4">
        <v>316</v>
      </c>
      <c r="G29" s="4">
        <v>568</v>
      </c>
      <c r="H29" s="4">
        <v>570</v>
      </c>
      <c r="I29" s="4">
        <v>610</v>
      </c>
      <c r="J29" s="4">
        <v>603</v>
      </c>
      <c r="K29" s="4">
        <v>619</v>
      </c>
      <c r="L29" s="4">
        <v>710</v>
      </c>
      <c r="M29" s="4">
        <v>599</v>
      </c>
      <c r="N29" s="4">
        <v>389</v>
      </c>
      <c r="O29" s="4">
        <v>385</v>
      </c>
      <c r="P29" s="4">
        <v>417</v>
      </c>
      <c r="Q29" s="4">
        <v>409</v>
      </c>
      <c r="R29" s="4">
        <v>414</v>
      </c>
      <c r="T29" s="7" t="s">
        <v>45</v>
      </c>
      <c r="U29" s="8">
        <v>434</v>
      </c>
      <c r="V29" s="8">
        <v>215</v>
      </c>
      <c r="W29" s="8">
        <v>221</v>
      </c>
      <c r="X29" s="8">
        <v>222</v>
      </c>
      <c r="Y29" s="8">
        <v>224</v>
      </c>
      <c r="Z29" s="8">
        <v>190</v>
      </c>
      <c r="AA29" s="8">
        <v>130</v>
      </c>
      <c r="AB29" s="8">
        <v>123</v>
      </c>
      <c r="AC29" s="8">
        <v>163</v>
      </c>
      <c r="AD29" s="8">
        <v>442</v>
      </c>
      <c r="AE29" s="8">
        <v>419</v>
      </c>
      <c r="AF29" s="8">
        <v>418</v>
      </c>
      <c r="AG29" s="8">
        <v>385</v>
      </c>
      <c r="AI29" s="7" t="s">
        <v>45</v>
      </c>
      <c r="AJ29" s="8">
        <v>116</v>
      </c>
      <c r="AK29" s="8">
        <v>133</v>
      </c>
      <c r="AL29" s="8">
        <v>115</v>
      </c>
      <c r="AM29" s="8">
        <v>108</v>
      </c>
      <c r="AN29" s="8">
        <v>98</v>
      </c>
      <c r="AO29" s="8">
        <v>103</v>
      </c>
      <c r="AP29" s="8">
        <v>71</v>
      </c>
      <c r="AQ29" s="8">
        <v>114</v>
      </c>
      <c r="AR29" s="8">
        <v>314</v>
      </c>
      <c r="AS29" s="8">
        <v>120</v>
      </c>
      <c r="AT29" s="8">
        <v>105</v>
      </c>
      <c r="AU29" s="8">
        <v>95</v>
      </c>
      <c r="AV29" s="8">
        <v>114</v>
      </c>
    </row>
    <row r="30" spans="5:48">
      <c r="E30" s="3" t="s">
        <v>46</v>
      </c>
      <c r="F30" s="4">
        <v>466</v>
      </c>
      <c r="G30" s="4">
        <v>723</v>
      </c>
      <c r="H30" s="4">
        <v>675</v>
      </c>
      <c r="I30" s="4">
        <v>709</v>
      </c>
      <c r="J30" s="4">
        <v>714</v>
      </c>
      <c r="K30" s="4">
        <v>746</v>
      </c>
      <c r="L30" s="4">
        <v>822</v>
      </c>
      <c r="M30" s="4">
        <v>809</v>
      </c>
      <c r="N30" s="4">
        <v>696</v>
      </c>
      <c r="O30" s="4">
        <v>523</v>
      </c>
      <c r="P30" s="4">
        <v>493</v>
      </c>
      <c r="Q30" s="4">
        <v>513</v>
      </c>
      <c r="R30" s="4">
        <v>469</v>
      </c>
      <c r="T30" s="7" t="s">
        <v>46</v>
      </c>
      <c r="U30" s="8">
        <v>307</v>
      </c>
      <c r="V30" s="8">
        <v>95</v>
      </c>
      <c r="W30" s="8">
        <v>119</v>
      </c>
      <c r="X30" s="8">
        <v>99</v>
      </c>
      <c r="Y30" s="8">
        <v>86</v>
      </c>
      <c r="Z30" s="8">
        <v>78</v>
      </c>
      <c r="AA30" s="8">
        <v>64</v>
      </c>
      <c r="AB30" s="8">
        <v>74</v>
      </c>
      <c r="AC30" s="8">
        <v>57</v>
      </c>
      <c r="AD30" s="8">
        <v>93</v>
      </c>
      <c r="AE30" s="8">
        <v>111</v>
      </c>
      <c r="AF30" s="8">
        <v>107</v>
      </c>
      <c r="AG30" s="8">
        <v>84</v>
      </c>
      <c r="AI30" s="7" t="s">
        <v>46</v>
      </c>
      <c r="AJ30" s="8">
        <v>96</v>
      </c>
      <c r="AK30" s="8">
        <v>92</v>
      </c>
      <c r="AL30" s="8">
        <v>109</v>
      </c>
      <c r="AM30" s="8">
        <v>114</v>
      </c>
      <c r="AN30" s="8">
        <v>114</v>
      </c>
      <c r="AO30" s="8">
        <v>102</v>
      </c>
      <c r="AP30" s="8">
        <v>62</v>
      </c>
      <c r="AQ30" s="8">
        <v>78</v>
      </c>
      <c r="AR30" s="8">
        <v>110</v>
      </c>
      <c r="AS30" s="8">
        <v>355</v>
      </c>
      <c r="AT30" s="8">
        <v>310</v>
      </c>
      <c r="AU30" s="8">
        <v>297</v>
      </c>
      <c r="AV30" s="8">
        <v>312</v>
      </c>
    </row>
    <row r="31" spans="5:48">
      <c r="E31" s="3" t="s">
        <v>47</v>
      </c>
      <c r="F31" s="4">
        <v>2475</v>
      </c>
      <c r="G31" s="4">
        <v>3607</v>
      </c>
      <c r="H31" s="4">
        <v>3646</v>
      </c>
      <c r="I31" s="4">
        <v>3593</v>
      </c>
      <c r="J31" s="4">
        <v>3652</v>
      </c>
      <c r="K31" s="4">
        <v>3705</v>
      </c>
      <c r="L31" s="4">
        <v>3630</v>
      </c>
      <c r="M31" s="4">
        <v>3591</v>
      </c>
      <c r="N31" s="4">
        <v>3662</v>
      </c>
      <c r="O31" s="4">
        <v>3379</v>
      </c>
      <c r="P31" s="4">
        <v>3269</v>
      </c>
      <c r="Q31" s="4">
        <v>3347</v>
      </c>
      <c r="R31" s="4">
        <v>3283</v>
      </c>
      <c r="T31" s="7" t="s">
        <v>47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I31" s="7" t="s">
        <v>47</v>
      </c>
      <c r="AJ31" s="8">
        <v>1002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275</v>
      </c>
      <c r="AT31" s="8">
        <v>266</v>
      </c>
      <c r="AU31" s="8">
        <v>288</v>
      </c>
      <c r="AV31" s="8">
        <v>262</v>
      </c>
    </row>
    <row r="33" spans="5:48">
      <c r="E33" s="15" t="s">
        <v>48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T33" s="18" t="s">
        <v>2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20"/>
      <c r="AI33" s="15" t="s">
        <v>49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5:48">
      <c r="E34" s="3"/>
      <c r="F34" s="11" t="s">
        <v>5</v>
      </c>
      <c r="G34" s="11">
        <v>2</v>
      </c>
      <c r="H34" s="11">
        <v>3</v>
      </c>
      <c r="I34" s="11">
        <v>4</v>
      </c>
      <c r="J34" s="11">
        <v>5</v>
      </c>
      <c r="K34" s="11">
        <v>6</v>
      </c>
      <c r="L34" s="11">
        <v>7</v>
      </c>
      <c r="M34" s="11">
        <v>8</v>
      </c>
      <c r="N34" s="11">
        <v>9</v>
      </c>
      <c r="O34" s="11">
        <v>10</v>
      </c>
      <c r="P34" s="11" t="s">
        <v>6</v>
      </c>
      <c r="Q34" s="11" t="s">
        <v>7</v>
      </c>
      <c r="R34" s="11" t="s">
        <v>8</v>
      </c>
      <c r="T34" s="5"/>
      <c r="U34" s="6" t="s">
        <v>5</v>
      </c>
      <c r="V34" s="6">
        <v>2</v>
      </c>
      <c r="W34" s="6">
        <v>3</v>
      </c>
      <c r="X34" s="6">
        <v>4</v>
      </c>
      <c r="Y34" s="6">
        <v>5</v>
      </c>
      <c r="Z34" s="6">
        <v>6</v>
      </c>
      <c r="AA34" s="6">
        <v>7</v>
      </c>
      <c r="AB34" s="6">
        <v>8</v>
      </c>
      <c r="AC34" s="6">
        <v>9</v>
      </c>
      <c r="AD34" s="6">
        <v>10</v>
      </c>
      <c r="AE34" s="6" t="s">
        <v>6</v>
      </c>
      <c r="AF34" s="6" t="s">
        <v>7</v>
      </c>
      <c r="AG34" s="6" t="s">
        <v>8</v>
      </c>
      <c r="AI34" s="7"/>
      <c r="AJ34" s="6" t="s">
        <v>5</v>
      </c>
      <c r="AK34" s="6">
        <v>2</v>
      </c>
      <c r="AL34" s="6">
        <v>3</v>
      </c>
      <c r="AM34" s="6">
        <v>4</v>
      </c>
      <c r="AN34" s="6">
        <v>5</v>
      </c>
      <c r="AO34" s="6">
        <v>6</v>
      </c>
      <c r="AP34" s="6">
        <v>7</v>
      </c>
      <c r="AQ34" s="6">
        <v>8</v>
      </c>
      <c r="AR34" s="6">
        <v>9</v>
      </c>
      <c r="AS34" s="6">
        <v>10</v>
      </c>
      <c r="AT34" s="6" t="s">
        <v>6</v>
      </c>
      <c r="AU34" s="6" t="s">
        <v>7</v>
      </c>
      <c r="AV34" s="6" t="s">
        <v>8</v>
      </c>
    </row>
    <row r="35" spans="5:48">
      <c r="E35" s="3" t="s">
        <v>10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T35" s="7" t="s">
        <v>10</v>
      </c>
      <c r="U35" s="14">
        <f>U4/SUM(F4,U4,AJ4)</f>
        <v>1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f t="shared" ref="V35:AG35" si="1">AD4/SUM(O4,AD4,AS4)</f>
        <v>1</v>
      </c>
      <c r="AE35" s="14">
        <f t="shared" si="1"/>
        <v>1</v>
      </c>
      <c r="AF35" s="14">
        <f t="shared" si="1"/>
        <v>1</v>
      </c>
      <c r="AG35" s="14">
        <f t="shared" si="1"/>
        <v>1</v>
      </c>
      <c r="AI35" s="7" t="s">
        <v>10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</row>
    <row r="36" spans="5:48">
      <c r="E36" s="3" t="s">
        <v>12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T36" s="7" t="s">
        <v>12</v>
      </c>
      <c r="U36" s="10">
        <f t="shared" ref="U36:U62" si="2">U5/SUM(F5,U5,AJ5)</f>
        <v>1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f t="shared" ref="AD36:AD62" si="3">AD5/SUM(O5,AD5,AS5)</f>
        <v>1</v>
      </c>
      <c r="AE36" s="10">
        <f t="shared" ref="AE36:AE62" si="4">AE5/SUM(P5,AE5,AT5)</f>
        <v>1</v>
      </c>
      <c r="AF36" s="10">
        <f t="shared" ref="AF36:AF62" si="5">AF5/SUM(Q5,AF5,AU5)</f>
        <v>1</v>
      </c>
      <c r="AG36" s="10">
        <f t="shared" ref="AG36:AG62" si="6">AG5/SUM(R5,AG5,AV5)</f>
        <v>1</v>
      </c>
      <c r="AI36" s="7" t="s">
        <v>12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</row>
    <row r="37" spans="5:48">
      <c r="E37" s="3" t="s">
        <v>14</v>
      </c>
      <c r="F37" s="12">
        <f>F6/SUM(F6,U6,AJ6)</f>
        <v>3.5874439461883408E-2</v>
      </c>
      <c r="G37" s="12">
        <f t="shared" ref="G37:R37" si="7">G6/SUM(G6,V6,AK6)</f>
        <v>0.34375</v>
      </c>
      <c r="H37" s="12">
        <f t="shared" si="7"/>
        <v>0.35789473684210527</v>
      </c>
      <c r="I37" s="12">
        <f t="shared" si="7"/>
        <v>0.44086021505376344</v>
      </c>
      <c r="J37" s="12">
        <f t="shared" si="7"/>
        <v>0.35922330097087379</v>
      </c>
      <c r="K37" s="12">
        <f t="shared" si="7"/>
        <v>0.45833333333333331</v>
      </c>
      <c r="L37" s="12">
        <f t="shared" si="7"/>
        <v>0.21052631578947367</v>
      </c>
      <c r="M37" s="12">
        <f t="shared" si="7"/>
        <v>0.28971962616822428</v>
      </c>
      <c r="N37" s="12">
        <f t="shared" si="7"/>
        <v>0.2288135593220339</v>
      </c>
      <c r="O37" s="12">
        <f t="shared" si="7"/>
        <v>8.9686098654708515E-2</v>
      </c>
      <c r="P37" s="12">
        <f t="shared" si="7"/>
        <v>0.11428571428571428</v>
      </c>
      <c r="Q37" s="12">
        <f t="shared" si="7"/>
        <v>9.6330275229357804E-2</v>
      </c>
      <c r="R37" s="12">
        <f t="shared" si="7"/>
        <v>0.10747663551401869</v>
      </c>
      <c r="T37" s="7" t="s">
        <v>14</v>
      </c>
      <c r="U37" s="14">
        <f t="shared" si="2"/>
        <v>0.93049327354260092</v>
      </c>
      <c r="V37" s="14">
        <f t="shared" ref="V36:V62" si="8">V6/SUM(G6,V6,AK6)</f>
        <v>0.5</v>
      </c>
      <c r="W37" s="14">
        <f t="shared" ref="W36:W62" si="9">W6/SUM(H6,W6,AL6)</f>
        <v>0.52631578947368418</v>
      </c>
      <c r="X37" s="14">
        <f t="shared" ref="X36:X62" si="10">X6/SUM(I6,X6,AM6)</f>
        <v>0.39784946236559138</v>
      </c>
      <c r="Y37" s="14">
        <f t="shared" ref="Y36:Y62" si="11">Y6/SUM(J6,Y6,AN6)</f>
        <v>0.5436893203883495</v>
      </c>
      <c r="Z37" s="14">
        <f t="shared" ref="Z36:Z62" si="12">Z6/SUM(K6,Z6,AO6)</f>
        <v>0.4375</v>
      </c>
      <c r="AA37" s="14">
        <f t="shared" ref="AA36:AA62" si="13">AA6/SUM(L6,AA6,AP6)</f>
        <v>0.37894736842105264</v>
      </c>
      <c r="AB37" s="14">
        <f t="shared" ref="AB36:AB62" si="14">AB6/SUM(M6,AB6,AQ6)</f>
        <v>0.58878504672897192</v>
      </c>
      <c r="AC37" s="14">
        <f t="shared" ref="AC36:AC62" si="15">AC6/SUM(N6,AC6,AR6)</f>
        <v>0.71186440677966101</v>
      </c>
      <c r="AD37" s="14">
        <f t="shared" si="3"/>
        <v>0.8340807174887892</v>
      </c>
      <c r="AE37" s="14">
        <f t="shared" si="4"/>
        <v>0.81428571428571428</v>
      </c>
      <c r="AF37" s="14">
        <f t="shared" si="5"/>
        <v>0.83944954128440363</v>
      </c>
      <c r="AG37" s="14">
        <f t="shared" si="6"/>
        <v>0.82242990654205606</v>
      </c>
      <c r="AI37" s="7" t="s">
        <v>14</v>
      </c>
      <c r="AJ37" s="14">
        <f>AJ6/SUM(F6,U37,AJ6)</f>
        <v>0.4697703812934485</v>
      </c>
      <c r="AK37" s="14">
        <f>AK6/SUM(G6,V37,AK6)</f>
        <v>0.30927835051546393</v>
      </c>
      <c r="AL37" s="14">
        <f>AL6/SUM(H6,W37,AL6)</f>
        <v>0.24161849710982658</v>
      </c>
      <c r="AM37" s="14">
        <f>AM6/SUM(I6,X37,AM6)</f>
        <v>0.26596758817921828</v>
      </c>
      <c r="AN37" s="14">
        <f>AN6/SUM(J6,Y37,AN6)</f>
        <v>0.21033285685113334</v>
      </c>
      <c r="AO37" s="14">
        <f>AO6/SUM(K6,Z37,AO6)</f>
        <v>0.18369690011481057</v>
      </c>
      <c r="AP37" s="14">
        <f>AP6/SUM(L6,AA37,AP6)</f>
        <v>0.6567984399929091</v>
      </c>
      <c r="AQ37" s="14">
        <f>AQ6/SUM(M6,AB37,AQ6)</f>
        <v>0.29155313351498635</v>
      </c>
      <c r="AR37" s="14">
        <f>AR6/SUM(N6,AC37,AR6)</f>
        <v>0.20166015625</v>
      </c>
      <c r="AS37" s="14">
        <f>AS6/SUM(O6,AD37,AS6)</f>
        <v>0.44933033068626288</v>
      </c>
      <c r="AT37" s="14">
        <f>AT6/SUM(P6,AE37,AT6)</f>
        <v>0.37674919268030138</v>
      </c>
      <c r="AU37" s="14">
        <f>AU6/SUM(Q6,AF37,AU6)</f>
        <v>0.3906309996160246</v>
      </c>
      <c r="AV37" s="14">
        <f>AV6/SUM(R6,AG37,AV6)</f>
        <v>0.38637457871930669</v>
      </c>
    </row>
    <row r="38" spans="5:48">
      <c r="E38" s="3" t="s">
        <v>16</v>
      </c>
      <c r="F38" s="13">
        <f t="shared" ref="F38:F62" si="16">F7/SUM(F7,U7,AJ7)</f>
        <v>9.2307692307692313E-2</v>
      </c>
      <c r="G38" s="13">
        <f t="shared" ref="G38:G62" si="17">G7/SUM(G7,V7,AK7)</f>
        <v>0.38274932614555257</v>
      </c>
      <c r="H38" s="13">
        <f t="shared" ref="H38:H62" si="18">H7/SUM(H7,W7,AL7)</f>
        <v>0.42950391644908614</v>
      </c>
      <c r="I38" s="13">
        <f t="shared" ref="I38:I62" si="19">I7/SUM(I7,X7,AM7)</f>
        <v>0.40996168582375481</v>
      </c>
      <c r="J38" s="13">
        <f t="shared" ref="J38:J62" si="20">J7/SUM(J7,Y7,AN7)</f>
        <v>0.44429882044560942</v>
      </c>
      <c r="K38" s="13">
        <f t="shared" ref="K38:K62" si="21">K7/SUM(K7,Z7,AO7)</f>
        <v>0.4536784741144414</v>
      </c>
      <c r="L38" s="13">
        <f t="shared" ref="L38:L62" si="22">L7/SUM(L7,AA7,AP7)</f>
        <v>0.34839650145772594</v>
      </c>
      <c r="M38" s="13">
        <f t="shared" ref="M38:M62" si="23">M7/SUM(M7,AB7,AQ7)</f>
        <v>0.26598465473145783</v>
      </c>
      <c r="N38" s="13">
        <f t="shared" ref="N38:N62" si="24">N7/SUM(N7,AC7,AR7)</f>
        <v>0.27607361963190186</v>
      </c>
      <c r="O38" s="13">
        <f t="shared" ref="O38:O62" si="25">O7/SUM(O7,AD7,AS7)</f>
        <v>0.20408163265306123</v>
      </c>
      <c r="P38" s="13">
        <f t="shared" ref="P38:P62" si="26">P7/SUM(P7,AE7,AT7)</f>
        <v>0.22351571594877764</v>
      </c>
      <c r="Q38" s="13">
        <f t="shared" ref="Q38:Q62" si="27">Q7/SUM(Q7,AF7,AU7)</f>
        <v>0.23515715948777649</v>
      </c>
      <c r="R38" s="13">
        <f t="shared" ref="R38:R62" si="28">R7/SUM(R7,AG7,AV7)</f>
        <v>0.19486581096849476</v>
      </c>
      <c r="T38" s="7" t="s">
        <v>16</v>
      </c>
      <c r="U38" s="10">
        <f t="shared" si="2"/>
        <v>0.81719457013574659</v>
      </c>
      <c r="V38" s="10">
        <f t="shared" si="8"/>
        <v>0.47843665768194071</v>
      </c>
      <c r="W38" s="10">
        <f t="shared" si="9"/>
        <v>0.42819843342036551</v>
      </c>
      <c r="X38" s="10">
        <f t="shared" si="10"/>
        <v>0.45593869731800768</v>
      </c>
      <c r="Y38" s="10">
        <f t="shared" si="11"/>
        <v>0.43774574049803405</v>
      </c>
      <c r="Z38" s="10">
        <f t="shared" si="12"/>
        <v>0.37874659400544958</v>
      </c>
      <c r="AA38" s="10">
        <f t="shared" si="13"/>
        <v>0.32653061224489793</v>
      </c>
      <c r="AB38" s="10">
        <f t="shared" si="14"/>
        <v>0.55754475703324813</v>
      </c>
      <c r="AC38" s="10">
        <f t="shared" si="15"/>
        <v>0.6</v>
      </c>
      <c r="AD38" s="10">
        <f t="shared" si="3"/>
        <v>0.71068427370948384</v>
      </c>
      <c r="AE38" s="10">
        <f t="shared" si="4"/>
        <v>0.66239813736903375</v>
      </c>
      <c r="AF38" s="10">
        <f t="shared" si="5"/>
        <v>0.66356228172293363</v>
      </c>
      <c r="AG38" s="10">
        <f t="shared" si="6"/>
        <v>0.71411901983663939</v>
      </c>
      <c r="AI38" s="7" t="s">
        <v>16</v>
      </c>
      <c r="AJ38" s="10">
        <f>AJ7/SUM(F7,U38,AJ7)</f>
        <v>0.49305484286944534</v>
      </c>
      <c r="AK38" s="10">
        <f>AK7/SUM(G7,V38,AK7)</f>
        <v>0.26582124385671407</v>
      </c>
      <c r="AL38" s="10">
        <f>AL7/SUM(H7,W38,AL7)</f>
        <v>0.2486153956097619</v>
      </c>
      <c r="AM38" s="10">
        <f>AM7/SUM(I7,X38,AM7)</f>
        <v>0.24621535420690896</v>
      </c>
      <c r="AN38" s="10">
        <f>AN7/SUM(J7,Y38,AN7)</f>
        <v>0.20957636093401413</v>
      </c>
      <c r="AO38" s="10">
        <f>AO7/SUM(K7,Z38,AO7)</f>
        <v>0.26951298875760488</v>
      </c>
      <c r="AP38" s="10">
        <f>AP7/SUM(L7,AA38,AP7)</f>
        <v>0.48234307407080423</v>
      </c>
      <c r="AQ38" s="10">
        <f>AQ7/SUM(M7,AB38,AQ7)</f>
        <v>0.39820226709174633</v>
      </c>
      <c r="AR38" s="10">
        <f>AR7/SUM(N7,AC38,AR7)</f>
        <v>0.3092467850581751</v>
      </c>
      <c r="AS38" s="10">
        <f>AS7/SUM(O7,AD38,AS7)</f>
        <v>0.29373960118205072</v>
      </c>
      <c r="AT38" s="10">
        <f>AT7/SUM(P7,AE38,AT7)</f>
        <v>0.33716091461436487</v>
      </c>
      <c r="AU38" s="10">
        <f>AU7/SUM(Q7,AF38,AU7)</f>
        <v>0.30034844325840665</v>
      </c>
      <c r="AV38" s="10">
        <f>AV7/SUM(R7,AG38,AV7)</f>
        <v>0.31744207582024631</v>
      </c>
    </row>
    <row r="39" spans="5:48">
      <c r="E39" s="3" t="s">
        <v>18</v>
      </c>
      <c r="F39" s="12">
        <f t="shared" si="16"/>
        <v>0.17631750162654522</v>
      </c>
      <c r="G39" s="12">
        <f t="shared" si="17"/>
        <v>0.46678476527900797</v>
      </c>
      <c r="H39" s="12">
        <f t="shared" si="18"/>
        <v>0.52173913043478259</v>
      </c>
      <c r="I39" s="12">
        <f t="shared" si="19"/>
        <v>0.52951541850220263</v>
      </c>
      <c r="J39" s="12">
        <f t="shared" si="20"/>
        <v>0.52690972222222221</v>
      </c>
      <c r="K39" s="12">
        <f t="shared" si="21"/>
        <v>0.59628378378378377</v>
      </c>
      <c r="L39" s="12">
        <f t="shared" si="22"/>
        <v>0.58067226890756307</v>
      </c>
      <c r="M39" s="12">
        <f t="shared" si="23"/>
        <v>0.43676222596964587</v>
      </c>
      <c r="N39" s="12">
        <f t="shared" si="24"/>
        <v>0.36108751062022088</v>
      </c>
      <c r="O39" s="12">
        <f t="shared" si="25"/>
        <v>0.30654058313632782</v>
      </c>
      <c r="P39" s="12">
        <f t="shared" si="26"/>
        <v>0.28316524437548485</v>
      </c>
      <c r="Q39" s="12">
        <f t="shared" si="27"/>
        <v>0.31191222570532917</v>
      </c>
      <c r="R39" s="12">
        <f t="shared" si="28"/>
        <v>0.29554339327599688</v>
      </c>
      <c r="T39" s="7" t="s">
        <v>18</v>
      </c>
      <c r="U39" s="14">
        <f t="shared" si="2"/>
        <v>0.72999349381912815</v>
      </c>
      <c r="V39" s="14">
        <f t="shared" si="8"/>
        <v>0.38883968113374667</v>
      </c>
      <c r="W39" s="14">
        <f t="shared" si="9"/>
        <v>0.36447733580018499</v>
      </c>
      <c r="X39" s="14">
        <f t="shared" si="10"/>
        <v>0.33920704845814981</v>
      </c>
      <c r="Y39" s="14">
        <f t="shared" si="11"/>
        <v>0.33940972222222221</v>
      </c>
      <c r="Z39" s="14">
        <f t="shared" si="12"/>
        <v>0.29307432432432434</v>
      </c>
      <c r="AA39" s="14">
        <f t="shared" si="13"/>
        <v>0.25126050420168067</v>
      </c>
      <c r="AB39" s="14">
        <f t="shared" si="14"/>
        <v>0.29679595278246207</v>
      </c>
      <c r="AC39" s="14">
        <f t="shared" si="15"/>
        <v>0.4851316907391674</v>
      </c>
      <c r="AD39" s="14">
        <f t="shared" si="3"/>
        <v>0.59889676910953504</v>
      </c>
      <c r="AE39" s="14">
        <f t="shared" si="4"/>
        <v>0.62296353762606671</v>
      </c>
      <c r="AF39" s="14">
        <f t="shared" si="5"/>
        <v>0.59247648902821315</v>
      </c>
      <c r="AG39" s="14">
        <f t="shared" si="6"/>
        <v>0.58874120406567632</v>
      </c>
      <c r="AI39" s="7" t="s">
        <v>18</v>
      </c>
      <c r="AJ39" s="14">
        <f>AJ8/SUM(F8,U39,AJ8)</f>
        <v>0.34637866464677136</v>
      </c>
      <c r="AK39" s="14">
        <f>AK8/SUM(G8,V39,AK8)</f>
        <v>0.23609883391985878</v>
      </c>
      <c r="AL39" s="14">
        <f>AL8/SUM(H8,W39,AL8)</f>
        <v>0.17894436511578768</v>
      </c>
      <c r="AM39" s="14">
        <f>AM8/SUM(I8,X39,AM8)</f>
        <v>0.19857685510811554</v>
      </c>
      <c r="AN39" s="14">
        <f>AN8/SUM(J8,Y39,AN8)</f>
        <v>0.20227509312329903</v>
      </c>
      <c r="AO39" s="14">
        <f>AO8/SUM(K8,Z39,AO8)</f>
        <v>0.15645656702190436</v>
      </c>
      <c r="AP39" s="14">
        <f>AP8/SUM(L8,AA39,AP8)</f>
        <v>0.22440360969235018</v>
      </c>
      <c r="AQ39" s="14">
        <f>AQ8/SUM(M8,AB39,AQ8)</f>
        <v>0.37876209225893304</v>
      </c>
      <c r="AR39" s="14">
        <f>AR8/SUM(N8,AC39,AR8)</f>
        <v>0.29844095187529857</v>
      </c>
      <c r="AS39" s="14">
        <f>AS8/SUM(O8,AD39,AS8)</f>
        <v>0.23547931669555777</v>
      </c>
      <c r="AT39" s="14">
        <f>AT8/SUM(P8,AE39,AT8)</f>
        <v>0.24865246621400799</v>
      </c>
      <c r="AU39" s="14">
        <f>AU8/SUM(Q8,AF39,AU8)</f>
        <v>0.23434837326653377</v>
      </c>
      <c r="AV39" s="14">
        <f>AV8/SUM(R8,AG39,AV8)</f>
        <v>0.28105424294031095</v>
      </c>
    </row>
    <row r="40" spans="5:48">
      <c r="E40" s="3" t="s">
        <v>20</v>
      </c>
      <c r="F40" s="13">
        <f t="shared" si="16"/>
        <v>0.28514654744162943</v>
      </c>
      <c r="G40" s="13">
        <f t="shared" si="17"/>
        <v>0.59248210023866343</v>
      </c>
      <c r="H40" s="13">
        <f t="shared" si="18"/>
        <v>0.61147638971906759</v>
      </c>
      <c r="I40" s="13">
        <f t="shared" si="19"/>
        <v>0.63560830860534123</v>
      </c>
      <c r="J40" s="13">
        <f t="shared" si="20"/>
        <v>0.62125660598943044</v>
      </c>
      <c r="K40" s="13">
        <f t="shared" si="21"/>
        <v>0.66382978723404251</v>
      </c>
      <c r="L40" s="13">
        <f t="shared" si="22"/>
        <v>0.69528920691711393</v>
      </c>
      <c r="M40" s="13">
        <f t="shared" si="23"/>
        <v>0.63716814159292035</v>
      </c>
      <c r="N40" s="13">
        <f t="shared" si="24"/>
        <v>0.45280764635603343</v>
      </c>
      <c r="O40" s="13">
        <f t="shared" si="25"/>
        <v>0.38045977011494253</v>
      </c>
      <c r="P40" s="13">
        <f t="shared" si="26"/>
        <v>0.38152831225948325</v>
      </c>
      <c r="Q40" s="13">
        <f t="shared" si="27"/>
        <v>0.37369033760186265</v>
      </c>
      <c r="R40" s="13">
        <f t="shared" si="28"/>
        <v>0.37929093978615647</v>
      </c>
      <c r="T40" s="7" t="s">
        <v>20</v>
      </c>
      <c r="U40" s="10">
        <f t="shared" si="2"/>
        <v>0.61798310978638848</v>
      </c>
      <c r="V40" s="10">
        <f t="shared" si="8"/>
        <v>0.27386634844868735</v>
      </c>
      <c r="W40" s="10">
        <f t="shared" si="9"/>
        <v>0.2683801554094441</v>
      </c>
      <c r="X40" s="10">
        <f t="shared" si="10"/>
        <v>0.25222551928783382</v>
      </c>
      <c r="Y40" s="10">
        <f t="shared" si="11"/>
        <v>0.25543159130945392</v>
      </c>
      <c r="Z40" s="10">
        <f t="shared" si="12"/>
        <v>0.22978723404255319</v>
      </c>
      <c r="AA40" s="10">
        <f t="shared" si="13"/>
        <v>0.17769827072152652</v>
      </c>
      <c r="AB40" s="10">
        <f t="shared" si="14"/>
        <v>0.21061946902654868</v>
      </c>
      <c r="AC40" s="10">
        <f t="shared" si="15"/>
        <v>0.29629629629629628</v>
      </c>
      <c r="AD40" s="10">
        <f t="shared" si="3"/>
        <v>0.48448275862068968</v>
      </c>
      <c r="AE40" s="10">
        <f t="shared" si="4"/>
        <v>0.48323254535459043</v>
      </c>
      <c r="AF40" s="10">
        <f t="shared" si="5"/>
        <v>0.48079161816065191</v>
      </c>
      <c r="AG40" s="10">
        <f t="shared" si="6"/>
        <v>0.49184018007878449</v>
      </c>
      <c r="AI40" s="7" t="s">
        <v>20</v>
      </c>
      <c r="AJ40" s="10">
        <f>AJ9/SUM(F9,U40,AJ9)</f>
        <v>0.25337245786807866</v>
      </c>
      <c r="AK40" s="10">
        <f>AK9/SUM(G9,V40,AK9)</f>
        <v>0.18401775162720796</v>
      </c>
      <c r="AL40" s="10">
        <f>AL9/SUM(H9,W40,AL9)</f>
        <v>0.16417968744278516</v>
      </c>
      <c r="AM40" s="10">
        <f>AM9/SUM(I9,X40,AM9)</f>
        <v>0.14996997916200658</v>
      </c>
      <c r="AN40" s="10">
        <f>AN9/SUM(J9,Y40,AN9)</f>
        <v>0.1655817864201915</v>
      </c>
      <c r="AO40" s="10">
        <f>AO9/SUM(K9,Z40,AO9)</f>
        <v>0.13809650133143497</v>
      </c>
      <c r="AP40" s="10">
        <f>AP9/SUM(L9,AA40,AP9)</f>
        <v>0.15443985228812032</v>
      </c>
      <c r="AQ40" s="10">
        <f>AQ9/SUM(M9,AB40,AQ9)</f>
        <v>0.19279476357941988</v>
      </c>
      <c r="AR40" s="10">
        <f>AR9/SUM(N9,AC40,AR9)</f>
        <v>0.35644684729993087</v>
      </c>
      <c r="AS40" s="10">
        <f>AS9/SUM(O9,AD40,AS9)</f>
        <v>0.2618429672206416</v>
      </c>
      <c r="AT40" s="10">
        <f>AT9/SUM(P9,AE40,AT9)</f>
        <v>0.26156766169474127</v>
      </c>
      <c r="AU40" s="10">
        <f>AU9/SUM(Q9,AF40,AU9)</f>
        <v>0.28011807351811341</v>
      </c>
      <c r="AV40" s="10">
        <f>AV9/SUM(R9,AG40,AV9)</f>
        <v>0.25346106053858442</v>
      </c>
    </row>
    <row r="41" spans="5:48">
      <c r="E41" s="3" t="s">
        <v>21</v>
      </c>
      <c r="F41" s="12">
        <f t="shared" si="16"/>
        <v>0.41437308868501527</v>
      </c>
      <c r="G41" s="12">
        <f t="shared" si="17"/>
        <v>0.6892533448424687</v>
      </c>
      <c r="H41" s="12">
        <f t="shared" si="18"/>
        <v>0.68903508771929822</v>
      </c>
      <c r="I41" s="12">
        <f t="shared" si="19"/>
        <v>0.71086956521739131</v>
      </c>
      <c r="J41" s="12">
        <f t="shared" si="20"/>
        <v>0.74594120228170246</v>
      </c>
      <c r="K41" s="12">
        <f t="shared" si="21"/>
        <v>0.72279348757497863</v>
      </c>
      <c r="L41" s="12">
        <f t="shared" si="22"/>
        <v>0.74704595185995626</v>
      </c>
      <c r="M41" s="12">
        <f t="shared" si="23"/>
        <v>0.72670250896057342</v>
      </c>
      <c r="N41" s="12">
        <f t="shared" si="24"/>
        <v>0.65148349352277479</v>
      </c>
      <c r="O41" s="12">
        <f t="shared" si="25"/>
        <v>0.49816401468788252</v>
      </c>
      <c r="P41" s="12">
        <f t="shared" si="26"/>
        <v>0.5098122866894198</v>
      </c>
      <c r="Q41" s="12">
        <f t="shared" si="27"/>
        <v>0.50896954526491445</v>
      </c>
      <c r="R41" s="12">
        <f t="shared" si="28"/>
        <v>0.48603839441535779</v>
      </c>
      <c r="T41" s="7" t="s">
        <v>21</v>
      </c>
      <c r="U41" s="14">
        <f t="shared" si="2"/>
        <v>0.48853211009174313</v>
      </c>
      <c r="V41" s="14">
        <f t="shared" si="8"/>
        <v>0.18644799309451879</v>
      </c>
      <c r="W41" s="14">
        <f t="shared" si="9"/>
        <v>0.20263157894736841</v>
      </c>
      <c r="X41" s="14">
        <f t="shared" si="10"/>
        <v>0.1882608695652174</v>
      </c>
      <c r="Y41" s="14">
        <f t="shared" si="11"/>
        <v>0.16235190873189995</v>
      </c>
      <c r="Z41" s="14">
        <f t="shared" si="12"/>
        <v>0.17480719794344474</v>
      </c>
      <c r="AA41" s="14">
        <f t="shared" si="13"/>
        <v>0.12691466083150985</v>
      </c>
      <c r="AB41" s="14">
        <f t="shared" si="14"/>
        <v>0.16801075268817203</v>
      </c>
      <c r="AC41" s="14">
        <f t="shared" si="15"/>
        <v>0.21730045967404932</v>
      </c>
      <c r="AD41" s="14">
        <f t="shared" si="3"/>
        <v>0.30273357813137497</v>
      </c>
      <c r="AE41" s="14">
        <f t="shared" si="4"/>
        <v>0.28924914675767915</v>
      </c>
      <c r="AF41" s="14">
        <f t="shared" si="5"/>
        <v>0.28118481435127241</v>
      </c>
      <c r="AG41" s="14">
        <f t="shared" si="6"/>
        <v>0.30890052356020942</v>
      </c>
      <c r="AI41" s="7" t="s">
        <v>21</v>
      </c>
      <c r="AJ41" s="14">
        <f>AJ10/SUM(F10,U41,AJ10)</f>
        <v>0.18976628779895166</v>
      </c>
      <c r="AK41" s="14">
        <f>AK10/SUM(G10,V41,AK10)</f>
        <v>0.1527700351902036</v>
      </c>
      <c r="AL41" s="14">
        <f>AL10/SUM(H10,W41,AL10)</f>
        <v>0.13584844489280187</v>
      </c>
      <c r="AM41" s="14">
        <f>AM10/SUM(I10,X41,AM10)</f>
        <v>0.12425099539344557</v>
      </c>
      <c r="AN41" s="14">
        <f>AN10/SUM(J10,Y41,AN10)</f>
        <v>0.1094720937646016</v>
      </c>
      <c r="AO41" s="14">
        <f>AO10/SUM(K10,Z41,AO10)</f>
        <v>0.12408011936760792</v>
      </c>
      <c r="AP41" s="14">
        <f>AP10/SUM(L10,AA41,AP10)</f>
        <v>0.14435171912307121</v>
      </c>
      <c r="AQ41" s="14">
        <f>AQ10/SUM(M10,AB41,AQ10)</f>
        <v>0.12653674769293344</v>
      </c>
      <c r="AR41" s="14">
        <f>AR10/SUM(N10,AC41,AR10)</f>
        <v>0.16762604099532213</v>
      </c>
      <c r="AS41" s="14">
        <f>AS10/SUM(O10,AD41,AS10)</f>
        <v>0.28549653049372703</v>
      </c>
      <c r="AT41" s="14">
        <f>AT10/SUM(P10,AE41,AT10)</f>
        <v>0.28266400940963937</v>
      </c>
      <c r="AU41" s="14">
        <f>AU10/SUM(Q10,AF41,AU10)</f>
        <v>0.29188504141544847</v>
      </c>
      <c r="AV41" s="14">
        <f>AV10/SUM(R10,AG41,AV10)</f>
        <v>0.29665931930615363</v>
      </c>
    </row>
    <row r="42" spans="5:48">
      <c r="E42" s="3" t="s">
        <v>23</v>
      </c>
      <c r="F42" s="13">
        <f t="shared" si="16"/>
        <v>0.45047713063507733</v>
      </c>
      <c r="G42" s="13">
        <f t="shared" si="17"/>
        <v>0.78104089219330852</v>
      </c>
      <c r="H42" s="13">
        <f t="shared" si="18"/>
        <v>0.77969276882727612</v>
      </c>
      <c r="I42" s="13">
        <f t="shared" si="19"/>
        <v>0.79655425219941345</v>
      </c>
      <c r="J42" s="13">
        <f t="shared" si="20"/>
        <v>0.80897250361794504</v>
      </c>
      <c r="K42" s="13">
        <f t="shared" si="21"/>
        <v>0.80773440350237136</v>
      </c>
      <c r="L42" s="13">
        <f t="shared" si="22"/>
        <v>0.81629573745756323</v>
      </c>
      <c r="M42" s="13">
        <f t="shared" si="23"/>
        <v>0.78420467185761955</v>
      </c>
      <c r="N42" s="13">
        <f t="shared" si="24"/>
        <v>0.72662384011420411</v>
      </c>
      <c r="O42" s="13">
        <f t="shared" si="25"/>
        <v>0.62763713080168781</v>
      </c>
      <c r="P42" s="13">
        <f t="shared" si="26"/>
        <v>0.63839941262848754</v>
      </c>
      <c r="Q42" s="13">
        <f t="shared" si="27"/>
        <v>0.62883989880737257</v>
      </c>
      <c r="R42" s="13">
        <f t="shared" si="28"/>
        <v>0.64308797127468587</v>
      </c>
      <c r="T42" s="7" t="s">
        <v>23</v>
      </c>
      <c r="U42" s="10">
        <f t="shared" si="2"/>
        <v>0.49917736097400461</v>
      </c>
      <c r="V42" s="10">
        <f t="shared" si="8"/>
        <v>0.1483271375464684</v>
      </c>
      <c r="W42" s="10">
        <f t="shared" si="9"/>
        <v>0.15249156987635817</v>
      </c>
      <c r="X42" s="10">
        <f t="shared" si="10"/>
        <v>0.14809384164222875</v>
      </c>
      <c r="Y42" s="10">
        <f t="shared" si="11"/>
        <v>0.14001447178002893</v>
      </c>
      <c r="Z42" s="10">
        <f t="shared" si="12"/>
        <v>0.13024443633710325</v>
      </c>
      <c r="AA42" s="10">
        <f t="shared" si="13"/>
        <v>9.8830629950961896E-2</v>
      </c>
      <c r="AB42" s="10">
        <f t="shared" si="14"/>
        <v>0.13014460511679643</v>
      </c>
      <c r="AC42" s="10">
        <f t="shared" si="15"/>
        <v>0.17987152034261242</v>
      </c>
      <c r="AD42" s="10">
        <f t="shared" si="3"/>
        <v>0.29078762306610406</v>
      </c>
      <c r="AE42" s="10">
        <f t="shared" si="4"/>
        <v>0.28744493392070486</v>
      </c>
      <c r="AF42" s="10">
        <f t="shared" si="5"/>
        <v>0.28442356342609326</v>
      </c>
      <c r="AG42" s="10">
        <f t="shared" si="6"/>
        <v>0.27145421903052064</v>
      </c>
      <c r="AI42" s="7" t="s">
        <v>23</v>
      </c>
      <c r="AJ42" s="10">
        <f>AJ11/SUM(F11,U42,AJ11)</f>
        <v>0.10049266513575578</v>
      </c>
      <c r="AK42" s="10">
        <f>AK11/SUM(G11,V42,AK11)</f>
        <v>8.292784790471297E-2</v>
      </c>
      <c r="AL42" s="10">
        <f>AL11/SUM(H11,W42,AL11)</f>
        <v>8.0012289478500448E-2</v>
      </c>
      <c r="AM42" s="10">
        <f>AM11/SUM(I11,X42,AM11)</f>
        <v>6.4970042313615375E-2</v>
      </c>
      <c r="AN42" s="10">
        <f>AN11/SUM(J11,Y42,AN11)</f>
        <v>5.93149747770879E-2</v>
      </c>
      <c r="AO42" s="10">
        <f>AO11/SUM(K11,Z42,AO11)</f>
        <v>7.1304829254490609E-2</v>
      </c>
      <c r="AP42" s="10">
        <f>AP11/SUM(L11,AA42,AP11)</f>
        <v>9.417776992535408E-2</v>
      </c>
      <c r="AQ42" s="10">
        <f>AQ11/SUM(M11,AB42,AQ11)</f>
        <v>9.8460011065959099E-2</v>
      </c>
      <c r="AR42" s="10">
        <f>AR11/SUM(N11,AC42,AR11)</f>
        <v>0.11400326112275798</v>
      </c>
      <c r="AS42" s="10">
        <f>AS11/SUM(O11,AD42,AS11)</f>
        <v>0.11500573017207946</v>
      </c>
      <c r="AT42" s="10">
        <f>AT11/SUM(P11,AE42,AT11)</f>
        <v>0.10405465740127726</v>
      </c>
      <c r="AU42" s="10">
        <f>AU11/SUM(Q11,AF42,AU11)</f>
        <v>0.12119471180212163</v>
      </c>
      <c r="AV42" s="10">
        <f>AV11/SUM(R11,AG42,AV11)</f>
        <v>0.11728347112219878</v>
      </c>
    </row>
    <row r="43" spans="5:48">
      <c r="E43" s="3" t="s">
        <v>25</v>
      </c>
      <c r="F43" s="12">
        <f t="shared" si="16"/>
        <v>0.21172022684310018</v>
      </c>
      <c r="G43" s="12">
        <f t="shared" si="17"/>
        <v>0.35465806889529949</v>
      </c>
      <c r="H43" s="12">
        <f t="shared" si="18"/>
        <v>0.35701364907087652</v>
      </c>
      <c r="I43" s="12">
        <f t="shared" si="19"/>
        <v>0.36308825992296095</v>
      </c>
      <c r="J43" s="12">
        <f t="shared" si="20"/>
        <v>0.38337182448036949</v>
      </c>
      <c r="K43" s="12">
        <f t="shared" si="21"/>
        <v>0.39365918097754293</v>
      </c>
      <c r="L43" s="12">
        <f t="shared" si="22"/>
        <v>0.39915966386554624</v>
      </c>
      <c r="M43" s="12">
        <f t="shared" si="23"/>
        <v>0.35179690075832509</v>
      </c>
      <c r="N43" s="12">
        <f t="shared" si="24"/>
        <v>0.31229800986562339</v>
      </c>
      <c r="O43" s="12">
        <f t="shared" si="25"/>
        <v>0.27471809119137114</v>
      </c>
      <c r="P43" s="12">
        <f t="shared" si="26"/>
        <v>0.27606865284974091</v>
      </c>
      <c r="Q43" s="12">
        <f t="shared" si="27"/>
        <v>0.26124265056411888</v>
      </c>
      <c r="R43" s="12">
        <f t="shared" si="28"/>
        <v>0.27122254998361195</v>
      </c>
      <c r="T43" s="7" t="s">
        <v>25</v>
      </c>
      <c r="U43" s="14">
        <f t="shared" si="2"/>
        <v>0.73645242596093252</v>
      </c>
      <c r="V43" s="14">
        <f t="shared" si="8"/>
        <v>0.59036144578313254</v>
      </c>
      <c r="W43" s="14">
        <f t="shared" si="9"/>
        <v>0.58444334813353072</v>
      </c>
      <c r="X43" s="14">
        <f t="shared" si="10"/>
        <v>0.58114218723831856</v>
      </c>
      <c r="Y43" s="14">
        <f t="shared" si="11"/>
        <v>0.56384031672715273</v>
      </c>
      <c r="Z43" s="14">
        <f t="shared" si="12"/>
        <v>0.55482166446499337</v>
      </c>
      <c r="AA43" s="14">
        <f t="shared" si="13"/>
        <v>0.52924369747899158</v>
      </c>
      <c r="AB43" s="14">
        <f t="shared" si="14"/>
        <v>0.57138147049126276</v>
      </c>
      <c r="AC43" s="14">
        <f t="shared" si="15"/>
        <v>0.60452457901003576</v>
      </c>
      <c r="AD43" s="14">
        <f t="shared" si="3"/>
        <v>0.66089230266383392</v>
      </c>
      <c r="AE43" s="14">
        <f t="shared" si="4"/>
        <v>0.6471826424870466</v>
      </c>
      <c r="AF43" s="14">
        <f t="shared" si="5"/>
        <v>0.66661369775941526</v>
      </c>
      <c r="AG43" s="14">
        <f t="shared" si="6"/>
        <v>0.65503113733202234</v>
      </c>
      <c r="AI43" s="7" t="s">
        <v>25</v>
      </c>
      <c r="AJ43" s="14">
        <f>AJ12/SUM(F12,U43,AJ12)</f>
        <v>0.19656619148321594</v>
      </c>
      <c r="AK43" s="14">
        <f>AK12/SUM(G12,V43,AK12)</f>
        <v>0.13418425136344814</v>
      </c>
      <c r="AL43" s="14">
        <f>AL12/SUM(H12,W43,AL12)</f>
        <v>0.14084593728881675</v>
      </c>
      <c r="AM43" s="14">
        <f>AM12/SUM(I12,X43,AM12)</f>
        <v>0.13311580999081407</v>
      </c>
      <c r="AN43" s="14">
        <f>AN12/SUM(J12,Y43,AN12)</f>
        <v>0.1210029401149473</v>
      </c>
      <c r="AO43" s="14">
        <f>AO12/SUM(K12,Z43,AO12)</f>
        <v>0.11570319190003193</v>
      </c>
      <c r="AP43" s="14">
        <f>AP12/SUM(L12,AA43,AP12)</f>
        <v>0.15205980839156333</v>
      </c>
      <c r="AQ43" s="14">
        <f>AQ12/SUM(M12,AB43,AQ12)</f>
        <v>0.17919138975393192</v>
      </c>
      <c r="AR43" s="14">
        <f>AR12/SUM(N12,AC43,AR12)</f>
        <v>0.21026790876601029</v>
      </c>
      <c r="AS43" s="14">
        <f>AS12/SUM(O12,AD43,AS12)</f>
        <v>0.18981906026225243</v>
      </c>
      <c r="AT43" s="14">
        <f>AT12/SUM(P12,AE43,AT12)</f>
        <v>0.21746638803503415</v>
      </c>
      <c r="AU43" s="14">
        <f>AU12/SUM(Q12,AF43,AU12)</f>
        <v>0.216327832651834</v>
      </c>
      <c r="AV43" s="14">
        <f>AV12/SUM(R12,AG43,AV12)</f>
        <v>0.21371022002447404</v>
      </c>
    </row>
    <row r="44" spans="5:48">
      <c r="E44" s="3" t="s">
        <v>27</v>
      </c>
      <c r="F44" s="13">
        <f t="shared" si="16"/>
        <v>0.18982300884955752</v>
      </c>
      <c r="G44" s="13">
        <f t="shared" si="17"/>
        <v>0.33031218529707956</v>
      </c>
      <c r="H44" s="13">
        <f t="shared" si="18"/>
        <v>0.33222350897510133</v>
      </c>
      <c r="I44" s="13">
        <f t="shared" si="19"/>
        <v>0.33594529135204443</v>
      </c>
      <c r="J44" s="13">
        <f t="shared" si="20"/>
        <v>0.32618461092595274</v>
      </c>
      <c r="K44" s="13">
        <f t="shared" si="21"/>
        <v>0.3553108245181858</v>
      </c>
      <c r="L44" s="13">
        <f t="shared" si="22"/>
        <v>0.34277414669571532</v>
      </c>
      <c r="M44" s="13">
        <f t="shared" si="23"/>
        <v>0.30574975032101581</v>
      </c>
      <c r="N44" s="13">
        <f t="shared" si="24"/>
        <v>0.28758265980896397</v>
      </c>
      <c r="O44" s="13">
        <f t="shared" si="25"/>
        <v>0.24967602591792656</v>
      </c>
      <c r="P44" s="13">
        <f t="shared" si="26"/>
        <v>0.24766487404472121</v>
      </c>
      <c r="Q44" s="13">
        <f t="shared" si="27"/>
        <v>0.24770775724057634</v>
      </c>
      <c r="R44" s="13">
        <f t="shared" si="28"/>
        <v>0.24190283400809717</v>
      </c>
      <c r="T44" s="7" t="s">
        <v>27</v>
      </c>
      <c r="U44" s="10">
        <f t="shared" si="2"/>
        <v>0.7572271386430679</v>
      </c>
      <c r="V44" s="10">
        <f t="shared" si="8"/>
        <v>0.61933534743202412</v>
      </c>
      <c r="W44" s="10">
        <f t="shared" si="9"/>
        <v>0.61522872032426168</v>
      </c>
      <c r="X44" s="10">
        <f t="shared" si="10"/>
        <v>0.6160421712494657</v>
      </c>
      <c r="Y44" s="10">
        <f t="shared" si="11"/>
        <v>0.62759020431821477</v>
      </c>
      <c r="Z44" s="10">
        <f t="shared" si="12"/>
        <v>0.59672511230256486</v>
      </c>
      <c r="AA44" s="10">
        <f t="shared" si="13"/>
        <v>0.59520697167755987</v>
      </c>
      <c r="AB44" s="10">
        <f t="shared" si="14"/>
        <v>0.61991724925096303</v>
      </c>
      <c r="AC44" s="10">
        <f t="shared" si="15"/>
        <v>0.64393828067597358</v>
      </c>
      <c r="AD44" s="10">
        <f t="shared" si="3"/>
        <v>0.68639308855291581</v>
      </c>
      <c r="AE44" s="10">
        <f t="shared" si="4"/>
        <v>0.68369657514859894</v>
      </c>
      <c r="AF44" s="10">
        <f t="shared" si="5"/>
        <v>0.69043807306068983</v>
      </c>
      <c r="AG44" s="10">
        <f t="shared" si="6"/>
        <v>0.69158473105841523</v>
      </c>
      <c r="AI44" s="7" t="s">
        <v>27</v>
      </c>
      <c r="AJ44" s="10">
        <f>AJ13/SUM(F13,U44,AJ13)</f>
        <v>0.21800420492083575</v>
      </c>
      <c r="AK44" s="10">
        <f>AK13/SUM(G13,V44,AK13)</f>
        <v>0.1322441785735893</v>
      </c>
      <c r="AL44" s="10">
        <f>AL13/SUM(H13,W44,AL13)</f>
        <v>0.13653724543461798</v>
      </c>
      <c r="AM44" s="10">
        <f>AM13/SUM(I13,X44,AM13)</f>
        <v>0.12501780473474078</v>
      </c>
      <c r="AN44" s="10">
        <f>AN13/SUM(J13,Y44,AN13)</f>
        <v>0.12409420999587316</v>
      </c>
      <c r="AO44" s="10">
        <f>AO13/SUM(K13,Z44,AO13)</f>
        <v>0.11891090293858785</v>
      </c>
      <c r="AP44" s="10">
        <f>AP13/SUM(L13,AA44,AP13)</f>
        <v>0.15317862469130669</v>
      </c>
      <c r="AQ44" s="10">
        <f>AQ13/SUM(M13,AB44,AQ13)</f>
        <v>0.19552507155986448</v>
      </c>
      <c r="AR44" s="10">
        <f>AR13/SUM(N13,AC44,AR13)</f>
        <v>0.19227246735367354</v>
      </c>
      <c r="AS44" s="10">
        <f>AS13/SUM(O13,AD44,AS13)</f>
        <v>0.20379252443513726</v>
      </c>
      <c r="AT44" s="10">
        <f>AT13/SUM(P13,AE44,AT13)</f>
        <v>0.21693587547423329</v>
      </c>
      <c r="AU44" s="10">
        <f>AU13/SUM(Q13,AF44,AU13)</f>
        <v>0.19974710248963687</v>
      </c>
      <c r="AV44" s="10">
        <f>AV13/SUM(R13,AG44,AV13)</f>
        <v>0.21558879609959225</v>
      </c>
    </row>
    <row r="45" spans="5:48">
      <c r="E45" s="3" t="s">
        <v>29</v>
      </c>
      <c r="F45" s="12">
        <f t="shared" si="16"/>
        <v>0.19052158518316764</v>
      </c>
      <c r="G45" s="12">
        <f t="shared" si="17"/>
        <v>0.28211650979394554</v>
      </c>
      <c r="H45" s="12">
        <f t="shared" si="18"/>
        <v>0.29244911359159553</v>
      </c>
      <c r="I45" s="12">
        <f t="shared" si="19"/>
        <v>0.30201342281879195</v>
      </c>
      <c r="J45" s="12">
        <f t="shared" si="20"/>
        <v>0.30553400568916472</v>
      </c>
      <c r="K45" s="12">
        <f t="shared" si="21"/>
        <v>0.31936839424423785</v>
      </c>
      <c r="L45" s="12">
        <f t="shared" si="22"/>
        <v>0.31295336787564765</v>
      </c>
      <c r="M45" s="12">
        <f t="shared" si="23"/>
        <v>0.28993339198190271</v>
      </c>
      <c r="N45" s="12">
        <f t="shared" si="24"/>
        <v>0.2697939613839575</v>
      </c>
      <c r="O45" s="12">
        <f t="shared" si="25"/>
        <v>0.22627928281638529</v>
      </c>
      <c r="P45" s="12">
        <f t="shared" si="26"/>
        <v>0.22773044151820293</v>
      </c>
      <c r="Q45" s="12">
        <f t="shared" si="27"/>
        <v>0.22727272727272727</v>
      </c>
      <c r="R45" s="12">
        <f t="shared" si="28"/>
        <v>0.21991541714725105</v>
      </c>
      <c r="T45" s="7" t="s">
        <v>29</v>
      </c>
      <c r="U45" s="14">
        <f t="shared" si="2"/>
        <v>0.75949884243497212</v>
      </c>
      <c r="V45" s="14">
        <f t="shared" si="8"/>
        <v>0.66776901551767998</v>
      </c>
      <c r="W45" s="14">
        <f t="shared" si="9"/>
        <v>0.66145764937623108</v>
      </c>
      <c r="X45" s="14">
        <f t="shared" si="10"/>
        <v>0.65758905524006195</v>
      </c>
      <c r="Y45" s="14">
        <f t="shared" si="11"/>
        <v>0.65011636927851046</v>
      </c>
      <c r="Z45" s="14">
        <f t="shared" si="12"/>
        <v>0.63478925251496243</v>
      </c>
      <c r="AA45" s="14">
        <f t="shared" si="13"/>
        <v>0.62370466321243523</v>
      </c>
      <c r="AB45" s="14">
        <f t="shared" si="14"/>
        <v>0.64886263667211264</v>
      </c>
      <c r="AC45" s="14">
        <f t="shared" si="15"/>
        <v>0.66463651678113256</v>
      </c>
      <c r="AD45" s="14">
        <f t="shared" si="3"/>
        <v>0.71260306242638394</v>
      </c>
      <c r="AE45" s="14">
        <f t="shared" si="4"/>
        <v>0.71198037696875804</v>
      </c>
      <c r="AF45" s="14">
        <f t="shared" si="5"/>
        <v>0.70818181818181813</v>
      </c>
      <c r="AG45" s="14">
        <f t="shared" si="6"/>
        <v>0.71562219659105475</v>
      </c>
      <c r="AI45" s="7" t="s">
        <v>29</v>
      </c>
      <c r="AJ45" s="14">
        <f>AJ14/SUM(F14,U45,AJ14)</f>
        <v>0.20772493383533813</v>
      </c>
      <c r="AK45" s="14">
        <f>AK14/SUM(G14,V45,AK14)</f>
        <v>0.15080371284576441</v>
      </c>
      <c r="AL45" s="14">
        <f>AL14/SUM(H14,W45,AL14)</f>
        <v>0.13611713121890773</v>
      </c>
      <c r="AM45" s="14">
        <f>AM14/SUM(I14,X45,AM14)</f>
        <v>0.11795040976309036</v>
      </c>
      <c r="AN45" s="14">
        <f>AN14/SUM(J14,Y45,AN14)</f>
        <v>0.12672491280849513</v>
      </c>
      <c r="AO45" s="14">
        <f>AO14/SUM(K14,Z45,AO14)</f>
        <v>0.1254952360435557</v>
      </c>
      <c r="AP45" s="14">
        <f>AP14/SUM(L14,AA45,AP14)</f>
        <v>0.16829433185556952</v>
      </c>
      <c r="AQ45" s="14">
        <f>AQ14/SUM(M14,AB45,AQ14)</f>
        <v>0.1742616063545562</v>
      </c>
      <c r="AR45" s="14">
        <f>AR14/SUM(N14,AC45,AR14)</f>
        <v>0.1954675753908611</v>
      </c>
      <c r="AS45" s="14">
        <f>AS14/SUM(O14,AD45,AS14)</f>
        <v>0.21259039500613672</v>
      </c>
      <c r="AT45" s="14">
        <f>AT14/SUM(P14,AE45,AT14)</f>
        <v>0.20925639334566679</v>
      </c>
      <c r="AU45" s="14">
        <f>AU14/SUM(Q14,AF45,AU14)</f>
        <v>0.22111411259711405</v>
      </c>
      <c r="AV45" s="14">
        <f>AV14/SUM(R14,AG45,AV14)</f>
        <v>0.22660560432612542</v>
      </c>
    </row>
    <row r="46" spans="5:48">
      <c r="E46" s="3" t="s">
        <v>31</v>
      </c>
      <c r="F46" s="13">
        <f t="shared" si="16"/>
        <v>0.1883125078884261</v>
      </c>
      <c r="G46" s="13">
        <f t="shared" si="17"/>
        <v>0.25895656068069861</v>
      </c>
      <c r="H46" s="13">
        <f t="shared" si="18"/>
        <v>0.2777027027027027</v>
      </c>
      <c r="I46" s="13">
        <f t="shared" si="19"/>
        <v>0.27950033459736784</v>
      </c>
      <c r="J46" s="13">
        <f t="shared" si="20"/>
        <v>0.28266605483537915</v>
      </c>
      <c r="K46" s="13">
        <f t="shared" si="21"/>
        <v>0.28418535807810541</v>
      </c>
      <c r="L46" s="13">
        <f t="shared" si="22"/>
        <v>0.28366086468276247</v>
      </c>
      <c r="M46" s="13">
        <f t="shared" si="23"/>
        <v>0.26750367605474495</v>
      </c>
      <c r="N46" s="13">
        <f t="shared" si="24"/>
        <v>0.23640715832668416</v>
      </c>
      <c r="O46" s="13">
        <f t="shared" si="25"/>
        <v>0.20707246376811594</v>
      </c>
      <c r="P46" s="13">
        <f t="shared" si="26"/>
        <v>0.21528254404026539</v>
      </c>
      <c r="Q46" s="13">
        <f t="shared" si="27"/>
        <v>0.2109796715286551</v>
      </c>
      <c r="R46" s="13">
        <f t="shared" si="28"/>
        <v>0.20440650594070828</v>
      </c>
      <c r="T46" s="7" t="s">
        <v>31</v>
      </c>
      <c r="U46" s="10">
        <f t="shared" si="2"/>
        <v>0.7623374984223148</v>
      </c>
      <c r="V46" s="10">
        <f t="shared" si="8"/>
        <v>0.69816390506045678</v>
      </c>
      <c r="W46" s="10">
        <f t="shared" si="9"/>
        <v>0.68265765765765762</v>
      </c>
      <c r="X46" s="10">
        <f t="shared" si="10"/>
        <v>0.68235556546955167</v>
      </c>
      <c r="Y46" s="10">
        <f t="shared" si="11"/>
        <v>0.67798554548583223</v>
      </c>
      <c r="Z46" s="10">
        <f t="shared" si="12"/>
        <v>0.67573721962882838</v>
      </c>
      <c r="AA46" s="10">
        <f t="shared" si="13"/>
        <v>0.65637282425603594</v>
      </c>
      <c r="AB46" s="10">
        <f t="shared" si="14"/>
        <v>0.675262979300984</v>
      </c>
      <c r="AC46" s="10">
        <f t="shared" si="15"/>
        <v>0.70614385045024508</v>
      </c>
      <c r="AD46" s="10">
        <f t="shared" si="3"/>
        <v>0.73646376811594205</v>
      </c>
      <c r="AE46" s="10">
        <f t="shared" si="4"/>
        <v>0.7290093800045756</v>
      </c>
      <c r="AF46" s="10">
        <f t="shared" si="5"/>
        <v>0.73435167106925459</v>
      </c>
      <c r="AG46" s="10">
        <f t="shared" si="6"/>
        <v>0.74230014995962623</v>
      </c>
      <c r="AI46" s="7" t="s">
        <v>31</v>
      </c>
      <c r="AJ46" s="10">
        <f>AJ15/SUM(F15,U46,AJ15)</f>
        <v>0.20756333865302554</v>
      </c>
      <c r="AK46" s="10">
        <f>AK15/SUM(G15,V46,AK15)</f>
        <v>0.14202553519945357</v>
      </c>
      <c r="AL46" s="10">
        <f>AL15/SUM(H15,W46,AL15)</f>
        <v>0.12488103229489272</v>
      </c>
      <c r="AM46" s="10">
        <f>AM15/SUM(I15,X46,AM15)</f>
        <v>0.12005550542756539</v>
      </c>
      <c r="AN46" s="10">
        <f>AN15/SUM(J15,Y46,AN15)</f>
        <v>0.12216500673005802</v>
      </c>
      <c r="AO46" s="10">
        <f>AO15/SUM(K15,Z46,AO15)</f>
        <v>0.12356618740452358</v>
      </c>
      <c r="AP46" s="10">
        <f>AP15/SUM(L15,AA46,AP15)</f>
        <v>0.17447237943514887</v>
      </c>
      <c r="AQ46" s="10">
        <f>AQ15/SUM(M15,AB46,AQ15)</f>
        <v>0.17620376736993443</v>
      </c>
      <c r="AR46" s="10">
        <f>AR15/SUM(N15,AC46,AR15)</f>
        <v>0.1954468527567246</v>
      </c>
      <c r="AS46" s="10">
        <f>AS15/SUM(O15,AD46,AS15)</f>
        <v>0.21418489247119102</v>
      </c>
      <c r="AT46" s="10">
        <f>AT15/SUM(P15,AE46,AT15)</f>
        <v>0.20550873035369324</v>
      </c>
      <c r="AU46" s="10">
        <f>AU15/SUM(Q15,AF46,AU15)</f>
        <v>0.2057280256293097</v>
      </c>
      <c r="AV46" s="10">
        <f>AV15/SUM(R15,AG46,AV15)</f>
        <v>0.20673524637225421</v>
      </c>
    </row>
    <row r="47" spans="5:48">
      <c r="E47" s="3" t="s">
        <v>32</v>
      </c>
      <c r="F47" s="12">
        <f t="shared" si="16"/>
        <v>0.1786312514955731</v>
      </c>
      <c r="G47" s="12">
        <f t="shared" si="17"/>
        <v>0.24796625489605303</v>
      </c>
      <c r="H47" s="12">
        <f t="shared" si="18"/>
        <v>0.24814890991361579</v>
      </c>
      <c r="I47" s="12">
        <f t="shared" si="19"/>
        <v>0.25454174321290057</v>
      </c>
      <c r="J47" s="12">
        <f t="shared" si="20"/>
        <v>0.26005334427574889</v>
      </c>
      <c r="K47" s="12">
        <f t="shared" si="21"/>
        <v>0.2615968801313629</v>
      </c>
      <c r="L47" s="12">
        <f t="shared" si="22"/>
        <v>0.27103377686796315</v>
      </c>
      <c r="M47" s="12">
        <f t="shared" si="23"/>
        <v>0.25157863085095722</v>
      </c>
      <c r="N47" s="12">
        <f t="shared" si="24"/>
        <v>0.21439509954058192</v>
      </c>
      <c r="O47" s="12">
        <f t="shared" si="25"/>
        <v>0.19510385756676557</v>
      </c>
      <c r="P47" s="12">
        <f t="shared" si="26"/>
        <v>0.19546652609383236</v>
      </c>
      <c r="Q47" s="12">
        <f t="shared" si="27"/>
        <v>0.2001045478306325</v>
      </c>
      <c r="R47" s="12">
        <f t="shared" si="28"/>
        <v>0.19816570486397361</v>
      </c>
      <c r="T47" s="7" t="s">
        <v>32</v>
      </c>
      <c r="U47" s="14">
        <f t="shared" si="2"/>
        <v>0.77530509691313709</v>
      </c>
      <c r="V47" s="14">
        <f t="shared" si="8"/>
        <v>0.71256402530882801</v>
      </c>
      <c r="W47" s="14">
        <f t="shared" si="9"/>
        <v>0.71524064171122992</v>
      </c>
      <c r="X47" s="14">
        <f t="shared" si="10"/>
        <v>0.70759338640538882</v>
      </c>
      <c r="Y47" s="14">
        <f t="shared" si="11"/>
        <v>0.70393926959376285</v>
      </c>
      <c r="Z47" s="14">
        <f t="shared" si="12"/>
        <v>0.70320197044334976</v>
      </c>
      <c r="AA47" s="14">
        <f t="shared" si="13"/>
        <v>0.67778915046059363</v>
      </c>
      <c r="AB47" s="14">
        <f t="shared" si="14"/>
        <v>0.69509872707226616</v>
      </c>
      <c r="AC47" s="14">
        <f t="shared" si="15"/>
        <v>0.73180193976518637</v>
      </c>
      <c r="AD47" s="14">
        <f t="shared" si="3"/>
        <v>0.74989402289105556</v>
      </c>
      <c r="AE47" s="14">
        <f t="shared" si="4"/>
        <v>0.75076436478650499</v>
      </c>
      <c r="AF47" s="14">
        <f t="shared" si="5"/>
        <v>0.74814427600627287</v>
      </c>
      <c r="AG47" s="14">
        <f t="shared" si="6"/>
        <v>0.75175185490519369</v>
      </c>
      <c r="AI47" s="7" t="s">
        <v>32</v>
      </c>
      <c r="AJ47" s="14">
        <f>AJ16/SUM(F16,U47,AJ16)</f>
        <v>0.2049207262600998</v>
      </c>
      <c r="AK47" s="14">
        <f>AK16/SUM(G16,V47,AK16)</f>
        <v>0.13728238208009119</v>
      </c>
      <c r="AL47" s="14">
        <f>AL16/SUM(H16,W47,AL16)</f>
        <v>0.12853306895098676</v>
      </c>
      <c r="AM47" s="14">
        <f>AM16/SUM(I16,X47,AM16)</f>
        <v>0.12946191748809566</v>
      </c>
      <c r="AN47" s="14">
        <f>AN16/SUM(J16,Y47,AN16)</f>
        <v>0.12159196349342688</v>
      </c>
      <c r="AO47" s="14">
        <f>AO16/SUM(K16,Z47,AO16)</f>
        <v>0.11857421105848544</v>
      </c>
      <c r="AP47" s="14">
        <f>AP16/SUM(L16,AA47,AP16)</f>
        <v>0.15879681360946879</v>
      </c>
      <c r="AQ47" s="14">
        <f>AQ16/SUM(M16,AB47,AQ16)</f>
        <v>0.17484499193578909</v>
      </c>
      <c r="AR47" s="14">
        <f>AR16/SUM(N16,AC47,AR16)</f>
        <v>0.20055319177207273</v>
      </c>
      <c r="AS47" s="14">
        <f>AS16/SUM(O16,AD47,AS16)</f>
        <v>0.21984539798732591</v>
      </c>
      <c r="AT47" s="14">
        <f>AT16/SUM(P16,AE47,AT16)</f>
        <v>0.21566754843062497</v>
      </c>
      <c r="AU47" s="14">
        <f>AU16/SUM(Q16,AF47,AU16)</f>
        <v>0.20541565772165774</v>
      </c>
      <c r="AV47" s="14">
        <f>AV16/SUM(R16,AG47,AV16)</f>
        <v>0.20168052564995614</v>
      </c>
    </row>
    <row r="48" spans="5:48">
      <c r="E48" s="3" t="s">
        <v>33</v>
      </c>
      <c r="F48" s="13">
        <f t="shared" si="16"/>
        <v>0.11686903729401561</v>
      </c>
      <c r="G48" s="13">
        <f t="shared" si="17"/>
        <v>0.36578769438810005</v>
      </c>
      <c r="H48" s="13">
        <f t="shared" si="18"/>
        <v>0.37502714440825191</v>
      </c>
      <c r="I48" s="13">
        <f t="shared" si="19"/>
        <v>0.3916159860990443</v>
      </c>
      <c r="J48" s="13">
        <f t="shared" si="20"/>
        <v>0.43297413793103451</v>
      </c>
      <c r="K48" s="13">
        <f t="shared" si="21"/>
        <v>0.42556879739978332</v>
      </c>
      <c r="L48" s="13">
        <f t="shared" si="22"/>
        <v>0.26032596561732529</v>
      </c>
      <c r="M48" s="13">
        <f t="shared" si="23"/>
        <v>0.24994395875364267</v>
      </c>
      <c r="N48" s="13">
        <f t="shared" si="24"/>
        <v>0.22820401046207497</v>
      </c>
      <c r="O48" s="13">
        <f t="shared" si="25"/>
        <v>0.21572840567253976</v>
      </c>
      <c r="P48" s="13">
        <f t="shared" si="26"/>
        <v>0.2180136533803127</v>
      </c>
      <c r="Q48" s="13">
        <f t="shared" si="27"/>
        <v>0.22135416666666666</v>
      </c>
      <c r="R48" s="13">
        <f t="shared" si="28"/>
        <v>0.22614761476147616</v>
      </c>
      <c r="T48" s="7" t="s">
        <v>33</v>
      </c>
      <c r="U48" s="10">
        <f t="shared" si="2"/>
        <v>0.7493495229835212</v>
      </c>
      <c r="V48" s="10">
        <f t="shared" si="8"/>
        <v>0.49808429118773945</v>
      </c>
      <c r="W48" s="10">
        <f t="shared" si="9"/>
        <v>0.49359391965255156</v>
      </c>
      <c r="X48" s="10">
        <f t="shared" si="10"/>
        <v>0.48197219808861858</v>
      </c>
      <c r="Y48" s="10">
        <f t="shared" si="11"/>
        <v>0.45280172413793102</v>
      </c>
      <c r="Z48" s="10">
        <f t="shared" si="12"/>
        <v>0.40541711809317443</v>
      </c>
      <c r="AA48" s="10">
        <f t="shared" si="13"/>
        <v>0.37597678053136863</v>
      </c>
      <c r="AB48" s="10">
        <f t="shared" si="14"/>
        <v>0.61062542030934763</v>
      </c>
      <c r="AC48" s="10">
        <f t="shared" si="15"/>
        <v>0.65649520488230162</v>
      </c>
      <c r="AD48" s="10">
        <f t="shared" si="3"/>
        <v>0.67404383326171036</v>
      </c>
      <c r="AE48" s="10">
        <f t="shared" si="4"/>
        <v>0.67055714600308303</v>
      </c>
      <c r="AF48" s="10">
        <f t="shared" si="5"/>
        <v>0.66297743055555558</v>
      </c>
      <c r="AG48" s="10">
        <f t="shared" si="6"/>
        <v>0.66246624662466247</v>
      </c>
      <c r="AI48" s="7" t="s">
        <v>33</v>
      </c>
      <c r="AJ48" s="10">
        <f>AJ17/SUM(F17,U48,AJ17)</f>
        <v>0.53339126601146258</v>
      </c>
      <c r="AK48" s="10">
        <f>AK17/SUM(G17,V48,AK17)</f>
        <v>0.2711562376908615</v>
      </c>
      <c r="AL48" s="10">
        <f>AL17/SUM(H17,W48,AL17)</f>
        <v>0.25937906178054027</v>
      </c>
      <c r="AM48" s="10">
        <f>AM17/SUM(I17,X48,AM17)</f>
        <v>0.24397585342626568</v>
      </c>
      <c r="AN48" s="10">
        <f>AN17/SUM(J17,Y48,AN17)</f>
        <v>0.20870637943739745</v>
      </c>
      <c r="AO48" s="10">
        <f>AO17/SUM(K17,Z48,AO17)</f>
        <v>0.28421456798430311</v>
      </c>
      <c r="AP48" s="10">
        <f>AP17/SUM(L17,AA48,AP17)</f>
        <v>0.58274808595734562</v>
      </c>
      <c r="AQ48" s="10">
        <f>AQ17/SUM(M17,AB48,AQ17)</f>
        <v>0.35796282026621751</v>
      </c>
      <c r="AR48" s="10">
        <f>AR17/SUM(N17,AC48,AR17)</f>
        <v>0.3355201349240361</v>
      </c>
      <c r="AS48" s="10">
        <f>AS17/SUM(O17,AD48,AS17)</f>
        <v>0.33801724559002894</v>
      </c>
      <c r="AT48" s="10">
        <f>AT17/SUM(P17,AE48,AT17)</f>
        <v>0.33808375369185456</v>
      </c>
      <c r="AU48" s="10">
        <f>AU17/SUM(Q17,AF48,AU17)</f>
        <v>0.34306024391562334</v>
      </c>
      <c r="AV48" s="10">
        <f>AV17/SUM(R17,AG48,AV17)</f>
        <v>0.32985432176368551</v>
      </c>
    </row>
    <row r="49" spans="5:48">
      <c r="E49" s="3" t="s">
        <v>34</v>
      </c>
      <c r="F49" s="12">
        <f t="shared" si="16"/>
        <v>0.25247291568535091</v>
      </c>
      <c r="G49" s="12">
        <f t="shared" si="17"/>
        <v>0.49302549302549303</v>
      </c>
      <c r="H49" s="12">
        <f t="shared" si="18"/>
        <v>0.51327649208282577</v>
      </c>
      <c r="I49" s="12">
        <f t="shared" si="19"/>
        <v>0.52702372218146243</v>
      </c>
      <c r="J49" s="12">
        <f t="shared" si="20"/>
        <v>0.54091022133797562</v>
      </c>
      <c r="K49" s="12">
        <f t="shared" si="21"/>
        <v>0.58577905034597944</v>
      </c>
      <c r="L49" s="12">
        <f t="shared" si="22"/>
        <v>0.63736532810969637</v>
      </c>
      <c r="M49" s="12">
        <f t="shared" si="23"/>
        <v>0.36542443064182195</v>
      </c>
      <c r="N49" s="12">
        <f t="shared" si="24"/>
        <v>0.3514173998044966</v>
      </c>
      <c r="O49" s="12">
        <f t="shared" si="25"/>
        <v>0.32280019445794844</v>
      </c>
      <c r="P49" s="12">
        <f t="shared" si="26"/>
        <v>0.32277417806575476</v>
      </c>
      <c r="Q49" s="12">
        <f t="shared" si="27"/>
        <v>0.31187270501835984</v>
      </c>
      <c r="R49" s="12">
        <f t="shared" si="28"/>
        <v>0.32135777998017839</v>
      </c>
      <c r="T49" s="7" t="s">
        <v>34</v>
      </c>
      <c r="U49" s="14">
        <f t="shared" si="2"/>
        <v>0.61987753179463023</v>
      </c>
      <c r="V49" s="14">
        <f t="shared" si="8"/>
        <v>0.37109187109187108</v>
      </c>
      <c r="W49" s="14">
        <f t="shared" si="9"/>
        <v>0.35054811205846531</v>
      </c>
      <c r="X49" s="14">
        <f t="shared" si="10"/>
        <v>0.36072389337246269</v>
      </c>
      <c r="Y49" s="14">
        <f t="shared" si="11"/>
        <v>0.3397164884357125</v>
      </c>
      <c r="Z49" s="14">
        <f t="shared" si="12"/>
        <v>0.30446194225721784</v>
      </c>
      <c r="AA49" s="14">
        <f t="shared" si="13"/>
        <v>0.22257590597453478</v>
      </c>
      <c r="AB49" s="14">
        <f t="shared" si="14"/>
        <v>0.26811594202898553</v>
      </c>
      <c r="AC49" s="14">
        <f t="shared" si="15"/>
        <v>0.52908113391984357</v>
      </c>
      <c r="AD49" s="14">
        <f t="shared" si="3"/>
        <v>0.5663587749149247</v>
      </c>
      <c r="AE49" s="14">
        <f t="shared" si="4"/>
        <v>0.56395488360931123</v>
      </c>
      <c r="AF49" s="14">
        <f t="shared" si="5"/>
        <v>0.58188494492044063</v>
      </c>
      <c r="AG49" s="14">
        <f t="shared" si="6"/>
        <v>0.57061446977205155</v>
      </c>
      <c r="AI49" s="7" t="s">
        <v>34</v>
      </c>
      <c r="AJ49" s="14">
        <f>AJ18/SUM(F18,U49,AJ18)</f>
        <v>0.33568272479621264</v>
      </c>
      <c r="AK49" s="14">
        <f>AK18/SUM(G18,V49,AK18)</f>
        <v>0.21603052880567974</v>
      </c>
      <c r="AL49" s="14">
        <f>AL18/SUM(H18,W49,AL18)</f>
        <v>0.20964985282816873</v>
      </c>
      <c r="AM49" s="14">
        <f>AM18/SUM(I18,X49,AM18)</f>
        <v>0.17556873303866252</v>
      </c>
      <c r="AN49" s="14">
        <f>AN18/SUM(J18,Y49,AN18)</f>
        <v>0.18076783057904841</v>
      </c>
      <c r="AO49" s="14">
        <f>AO18/SUM(K18,Z49,AO18)</f>
        <v>0.15778797926770749</v>
      </c>
      <c r="AP49" s="14">
        <f>AP18/SUM(L18,AA49,AP18)</f>
        <v>0.18014485168391489</v>
      </c>
      <c r="AQ49" s="14">
        <f>AQ18/SUM(M18,AB49,AQ18)</f>
        <v>0.50065974722073481</v>
      </c>
      <c r="AR49" s="14">
        <f>AR18/SUM(N18,AC49,AR18)</f>
        <v>0.25369267046924804</v>
      </c>
      <c r="AS49" s="14">
        <f>AS18/SUM(O18,AD49,AS18)</f>
        <v>0.25552426098239289</v>
      </c>
      <c r="AT49" s="14">
        <f>AT18/SUM(P18,AE49,AT18)</f>
        <v>0.25968824851075201</v>
      </c>
      <c r="AU49" s="14">
        <f>AU18/SUM(Q18,AF49,AU18)</f>
        <v>0.25401182338649858</v>
      </c>
      <c r="AV49" s="14">
        <f>AV18/SUM(R18,AG49,AV18)</f>
        <v>0.25150403240617603</v>
      </c>
    </row>
    <row r="50" spans="5:48">
      <c r="E50" s="3" t="s">
        <v>35</v>
      </c>
      <c r="F50" s="13">
        <f t="shared" si="16"/>
        <v>0.37755102040816324</v>
      </c>
      <c r="G50" s="13">
        <f t="shared" si="17"/>
        <v>0.635498776841533</v>
      </c>
      <c r="H50" s="13">
        <f t="shared" si="18"/>
        <v>0.63445378151260501</v>
      </c>
      <c r="I50" s="13">
        <f t="shared" si="19"/>
        <v>0.65145788336933041</v>
      </c>
      <c r="J50" s="13">
        <f t="shared" si="20"/>
        <v>0.67222525970475666</v>
      </c>
      <c r="K50" s="13">
        <f t="shared" si="21"/>
        <v>0.68975741239892185</v>
      </c>
      <c r="L50" s="13">
        <f t="shared" si="22"/>
        <v>0.76249999999999996</v>
      </c>
      <c r="M50" s="13">
        <f t="shared" si="23"/>
        <v>0.73305203938115326</v>
      </c>
      <c r="N50" s="13">
        <f t="shared" si="24"/>
        <v>0.46534653465346537</v>
      </c>
      <c r="O50" s="13">
        <f t="shared" si="25"/>
        <v>0.43976244343891402</v>
      </c>
      <c r="P50" s="13">
        <f t="shared" si="26"/>
        <v>0.43151447661469933</v>
      </c>
      <c r="Q50" s="13">
        <f t="shared" si="27"/>
        <v>0.43357221609702318</v>
      </c>
      <c r="R50" s="13">
        <f t="shared" si="28"/>
        <v>0.43830818965517243</v>
      </c>
      <c r="T50" s="7" t="s">
        <v>35</v>
      </c>
      <c r="U50" s="10">
        <f t="shared" si="2"/>
        <v>0.49084249084249082</v>
      </c>
      <c r="V50" s="10">
        <f t="shared" si="8"/>
        <v>0.23702092960043489</v>
      </c>
      <c r="W50" s="10">
        <f t="shared" si="9"/>
        <v>0.2372549019607843</v>
      </c>
      <c r="X50" s="10">
        <f t="shared" si="10"/>
        <v>0.23056155507559395</v>
      </c>
      <c r="Y50" s="10">
        <f t="shared" si="11"/>
        <v>0.21487151448879169</v>
      </c>
      <c r="Z50" s="10">
        <f t="shared" si="12"/>
        <v>0.20377358490566039</v>
      </c>
      <c r="AA50" s="10">
        <f t="shared" si="13"/>
        <v>0.14918478260869567</v>
      </c>
      <c r="AB50" s="10">
        <f t="shared" si="14"/>
        <v>0.13473980309423347</v>
      </c>
      <c r="AC50" s="10">
        <f t="shared" si="15"/>
        <v>0.17546754675467546</v>
      </c>
      <c r="AD50" s="10">
        <f t="shared" si="3"/>
        <v>0.43636877828054299</v>
      </c>
      <c r="AE50" s="10">
        <f t="shared" si="4"/>
        <v>0.45740534521158127</v>
      </c>
      <c r="AF50" s="10">
        <f t="shared" si="5"/>
        <v>0.45617420066152148</v>
      </c>
      <c r="AG50" s="10">
        <f t="shared" si="6"/>
        <v>0.44207974137931033</v>
      </c>
      <c r="AI50" s="7" t="s">
        <v>35</v>
      </c>
      <c r="AJ50" s="10">
        <f>AJ19/SUM(F19,U50,AJ19)</f>
        <v>0.25841375105383596</v>
      </c>
      <c r="AK50" s="10">
        <f>AK19/SUM(G19,V50,AK19)</f>
        <v>0.1670681871546042</v>
      </c>
      <c r="AL50" s="10">
        <f>AL19/SUM(H19,W50,AL19)</f>
        <v>0.16818218801008894</v>
      </c>
      <c r="AM50" s="10">
        <f>AM19/SUM(I19,X50,AM19)</f>
        <v>0.153320929855434</v>
      </c>
      <c r="AN50" s="10">
        <f>AN19/SUM(J19,Y50,AN19)</f>
        <v>0.14379147051147653</v>
      </c>
      <c r="AO50" s="10">
        <f>AO19/SUM(K19,Z50,AO19)</f>
        <v>0.13370777044288662</v>
      </c>
      <c r="AP50" s="10">
        <f>AP19/SUM(L19,AA50,AP19)</f>
        <v>0.10379575702732423</v>
      </c>
      <c r="AQ50" s="10">
        <f>AQ19/SUM(M19,AB50,AQ19)</f>
        <v>0.1527891460404901</v>
      </c>
      <c r="AR50" s="10">
        <f>AR19/SUM(N19,AC50,AR19)</f>
        <v>0.43559825438390015</v>
      </c>
      <c r="AS50" s="10">
        <f>AS19/SUM(O19,AD50,AS19)</f>
        <v>0.21972108408378119</v>
      </c>
      <c r="AT50" s="10">
        <f>AT19/SUM(P19,AE50,AT19)</f>
        <v>0.20467233544368965</v>
      </c>
      <c r="AU50" s="10">
        <f>AU19/SUM(Q19,AF50,AU19)</f>
        <v>0.20269008515581452</v>
      </c>
      <c r="AV50" s="10">
        <f>AV19/SUM(R19,AG50,AV19)</f>
        <v>0.21434342979815954</v>
      </c>
    </row>
    <row r="51" spans="5:48">
      <c r="E51" s="3" t="s">
        <v>36</v>
      </c>
      <c r="F51" s="12">
        <f t="shared" si="16"/>
        <v>0.50407276676622315</v>
      </c>
      <c r="G51" s="12">
        <f t="shared" si="17"/>
        <v>0.76304888152444073</v>
      </c>
      <c r="H51" s="12">
        <f t="shared" si="18"/>
        <v>0.76158019195993876</v>
      </c>
      <c r="I51" s="12">
        <f t="shared" si="19"/>
        <v>0.76275007044237808</v>
      </c>
      <c r="J51" s="12">
        <f t="shared" si="20"/>
        <v>0.77668148971650919</v>
      </c>
      <c r="K51" s="12">
        <f t="shared" si="21"/>
        <v>0.79420647995606808</v>
      </c>
      <c r="L51" s="12">
        <f t="shared" si="22"/>
        <v>0.84434794409010716</v>
      </c>
      <c r="M51" s="12">
        <f t="shared" si="23"/>
        <v>0.86346258874931736</v>
      </c>
      <c r="N51" s="12">
        <f t="shared" si="24"/>
        <v>0.82412750755702113</v>
      </c>
      <c r="O51" s="12">
        <f t="shared" si="25"/>
        <v>0.55049396267837536</v>
      </c>
      <c r="P51" s="12">
        <f t="shared" si="26"/>
        <v>0.54461494742824668</v>
      </c>
      <c r="Q51" s="12">
        <f t="shared" si="27"/>
        <v>0.54298895568293026</v>
      </c>
      <c r="R51" s="12">
        <f t="shared" si="28"/>
        <v>0.55304223335719394</v>
      </c>
      <c r="T51" s="7" t="s">
        <v>36</v>
      </c>
      <c r="U51" s="14">
        <f t="shared" si="2"/>
        <v>0.35867499321205537</v>
      </c>
      <c r="V51" s="14">
        <f t="shared" si="8"/>
        <v>0.11391880695940348</v>
      </c>
      <c r="W51" s="14">
        <f t="shared" si="9"/>
        <v>0.12143552649881764</v>
      </c>
      <c r="X51" s="14">
        <f t="shared" si="10"/>
        <v>0.12285150746689208</v>
      </c>
      <c r="Y51" s="14">
        <f t="shared" si="11"/>
        <v>0.10978321289605336</v>
      </c>
      <c r="Z51" s="14">
        <f t="shared" si="12"/>
        <v>9.8023064250411865E-2</v>
      </c>
      <c r="AA51" s="14">
        <f t="shared" si="13"/>
        <v>7.1380105848826161E-2</v>
      </c>
      <c r="AB51" s="14">
        <f t="shared" si="14"/>
        <v>6.6766794101583829E-2</v>
      </c>
      <c r="AC51" s="14">
        <f t="shared" si="15"/>
        <v>6.2654575432811208E-2</v>
      </c>
      <c r="AD51" s="14">
        <f t="shared" si="3"/>
        <v>0.11210208562019759</v>
      </c>
      <c r="AE51" s="14">
        <f t="shared" si="4"/>
        <v>0.1126740551292981</v>
      </c>
      <c r="AF51" s="14">
        <f t="shared" si="5"/>
        <v>0.11212078848035789</v>
      </c>
      <c r="AG51" s="14">
        <f t="shared" si="6"/>
        <v>0.11667859699355762</v>
      </c>
      <c r="AI51" s="7" t="s">
        <v>36</v>
      </c>
      <c r="AJ51" s="14">
        <f>AJ20/SUM(F20,U51,AJ20)</f>
        <v>0.21399729985603869</v>
      </c>
      <c r="AK51" s="14">
        <f>AK20/SUM(G20,V51,AK20)</f>
        <v>0.13884746496220074</v>
      </c>
      <c r="AL51" s="14">
        <f>AL20/SUM(H20,W51,AL20)</f>
        <v>0.13315133481595195</v>
      </c>
      <c r="AM51" s="14">
        <f>AM20/SUM(I20,X51,AM20)</f>
        <v>0.13041824251884121</v>
      </c>
      <c r="AN51" s="14">
        <f>AN20/SUM(J20,Y51,AN20)</f>
        <v>0.12753449872821956</v>
      </c>
      <c r="AO51" s="14">
        <f>AO20/SUM(K20,Z51,AO20)</f>
        <v>0.11948071356687022</v>
      </c>
      <c r="AP51" s="14">
        <f>AP20/SUM(L20,AA51,AP20)</f>
        <v>9.074872458664815E-2</v>
      </c>
      <c r="AQ51" s="14">
        <f>AQ20/SUM(M20,AB51,AQ20)</f>
        <v>7.4761522810943642E-2</v>
      </c>
      <c r="AR51" s="14">
        <f>AR20/SUM(N20,AC51,AR20)</f>
        <v>0.12078458403593791</v>
      </c>
      <c r="AS51" s="14">
        <f>AS20/SUM(O20,AD51,AS20)</f>
        <v>0.37999650774207289</v>
      </c>
      <c r="AT51" s="14">
        <f>AT20/SUM(P20,AE51,AT20)</f>
        <v>0.38622201485979268</v>
      </c>
      <c r="AU51" s="14">
        <f>AU20/SUM(Q20,AF51,AU20)</f>
        <v>0.38843590745705897</v>
      </c>
      <c r="AV51" s="14">
        <f>AV20/SUM(R20,AG51,AV20)</f>
        <v>0.3738989260936606</v>
      </c>
    </row>
    <row r="52" spans="5:48">
      <c r="E52" s="3" t="s">
        <v>37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T52" s="7" t="s">
        <v>37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I52" s="7" t="s">
        <v>37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</row>
    <row r="53" spans="5:48">
      <c r="E53" s="3" t="s">
        <v>38</v>
      </c>
      <c r="F53" s="12">
        <f t="shared" si="16"/>
        <v>0.29317269076305219</v>
      </c>
      <c r="G53" s="12">
        <f t="shared" si="17"/>
        <v>0.58787878787878789</v>
      </c>
      <c r="H53" s="12">
        <f t="shared" si="18"/>
        <v>0.65934065934065933</v>
      </c>
      <c r="I53" s="12">
        <f t="shared" si="19"/>
        <v>0.70886075949367089</v>
      </c>
      <c r="J53" s="12">
        <f t="shared" si="20"/>
        <v>0.74431818181818177</v>
      </c>
      <c r="K53" s="12">
        <f t="shared" si="21"/>
        <v>0.65131578947368418</v>
      </c>
      <c r="L53" s="12">
        <f t="shared" si="22"/>
        <v>0.625</v>
      </c>
      <c r="M53" s="12">
        <f t="shared" si="23"/>
        <v>0.64071856287425155</v>
      </c>
      <c r="N53" s="12">
        <f t="shared" si="24"/>
        <v>0.51764705882352946</v>
      </c>
      <c r="O53" s="12">
        <f t="shared" si="25"/>
        <v>0.46486486486486489</v>
      </c>
      <c r="P53" s="12">
        <f t="shared" si="26"/>
        <v>0.45365853658536587</v>
      </c>
      <c r="Q53" s="12">
        <f t="shared" si="27"/>
        <v>0.47668393782383417</v>
      </c>
      <c r="R53" s="12">
        <f t="shared" si="28"/>
        <v>0.43715846994535518</v>
      </c>
      <c r="T53" s="7" t="s">
        <v>38</v>
      </c>
      <c r="U53" s="14">
        <f t="shared" si="2"/>
        <v>0.65461847389558236</v>
      </c>
      <c r="V53" s="14">
        <f t="shared" si="8"/>
        <v>0.32727272727272727</v>
      </c>
      <c r="W53" s="14">
        <f t="shared" si="9"/>
        <v>0.24725274725274726</v>
      </c>
      <c r="X53" s="14">
        <f t="shared" si="10"/>
        <v>0.20253164556962025</v>
      </c>
      <c r="Y53" s="14">
        <f t="shared" si="11"/>
        <v>0.19318181818181818</v>
      </c>
      <c r="Z53" s="14">
        <f t="shared" si="12"/>
        <v>0.20394736842105263</v>
      </c>
      <c r="AA53" s="14">
        <f t="shared" si="13"/>
        <v>0.17934782608695651</v>
      </c>
      <c r="AB53" s="14">
        <f t="shared" si="14"/>
        <v>0.21556886227544911</v>
      </c>
      <c r="AC53" s="14">
        <f t="shared" si="15"/>
        <v>0.35882352941176471</v>
      </c>
      <c r="AD53" s="14">
        <f t="shared" si="3"/>
        <v>0.42162162162162165</v>
      </c>
      <c r="AE53" s="14">
        <f t="shared" si="4"/>
        <v>0.44878048780487806</v>
      </c>
      <c r="AF53" s="14">
        <f t="shared" si="5"/>
        <v>0.40414507772020725</v>
      </c>
      <c r="AG53" s="14">
        <f t="shared" si="6"/>
        <v>0.42076502732240439</v>
      </c>
      <c r="AI53" s="7" t="s">
        <v>38</v>
      </c>
      <c r="AJ53" s="14">
        <f>AJ22/SUM(F22,U53,AJ22)</f>
        <v>0.15002085554062197</v>
      </c>
      <c r="AK53" s="14">
        <f>AK22/SUM(G22,V53,AK22)</f>
        <v>0.12575534868528498</v>
      </c>
      <c r="AL53" s="14">
        <f>AL22/SUM(H22,W53,AL22)</f>
        <v>0.12386404579847073</v>
      </c>
      <c r="AM53" s="14">
        <f>AM22/SUM(I22,X53,AM22)</f>
        <v>0.11093279839518555</v>
      </c>
      <c r="AN53" s="14">
        <f>AN22/SUM(J22,Y53,AN22)</f>
        <v>7.7359546072085034E-2</v>
      </c>
      <c r="AO53" s="14">
        <f>AO22/SUM(K22,Z53,AO22)</f>
        <v>0.18151224013461434</v>
      </c>
      <c r="AP53" s="14">
        <f>AP22/SUM(L22,AA53,AP22)</f>
        <v>0.23812776359779994</v>
      </c>
      <c r="AQ53" s="14">
        <f>AQ22/SUM(M22,AB53,AQ22)</f>
        <v>0.18290512481175555</v>
      </c>
      <c r="AR53" s="14">
        <f>AR22/SUM(N22,AC53,AR22)</f>
        <v>0.19202840083911571</v>
      </c>
      <c r="AS53" s="14">
        <f>AS22/SUM(O22,AD53,AS22)</f>
        <v>0.19549137020077492</v>
      </c>
      <c r="AT53" s="14">
        <f>AT22/SUM(P22,AE53,AT22)</f>
        <v>0.17629100915853291</v>
      </c>
      <c r="AU53" s="14">
        <f>AU22/SUM(Q22,AF53,AU22)</f>
        <v>0.19929960041305617</v>
      </c>
      <c r="AV53" s="14">
        <f>AV22/SUM(R22,AG53,AV22)</f>
        <v>0.24431322207958922</v>
      </c>
    </row>
    <row r="54" spans="5:48">
      <c r="E54" s="3" t="s">
        <v>39</v>
      </c>
      <c r="F54" s="13">
        <f t="shared" si="16"/>
        <v>0.24183006535947713</v>
      </c>
      <c r="G54" s="13">
        <f t="shared" si="17"/>
        <v>0.65277777777777779</v>
      </c>
      <c r="H54" s="13">
        <f t="shared" si="18"/>
        <v>0.63030303030303025</v>
      </c>
      <c r="I54" s="13">
        <f t="shared" si="19"/>
        <v>0.69364161849710981</v>
      </c>
      <c r="J54" s="13">
        <f t="shared" si="20"/>
        <v>0.6763157894736842</v>
      </c>
      <c r="K54" s="13">
        <f t="shared" si="21"/>
        <v>0.65284974093264247</v>
      </c>
      <c r="L54" s="13">
        <f t="shared" si="22"/>
        <v>0.69665809768637532</v>
      </c>
      <c r="M54" s="13">
        <f t="shared" si="23"/>
        <v>0.63663663663663661</v>
      </c>
      <c r="N54" s="13">
        <f t="shared" si="24"/>
        <v>0.57783641160949872</v>
      </c>
      <c r="O54" s="13">
        <f t="shared" si="25"/>
        <v>0.46588235294117647</v>
      </c>
      <c r="P54" s="13">
        <f t="shared" si="26"/>
        <v>0.42372881355932202</v>
      </c>
      <c r="Q54" s="13">
        <f t="shared" si="27"/>
        <v>0.45368171021377673</v>
      </c>
      <c r="R54" s="13">
        <f t="shared" si="28"/>
        <v>0.44356955380577429</v>
      </c>
      <c r="T54" s="7" t="s">
        <v>39</v>
      </c>
      <c r="U54" s="10">
        <f t="shared" si="2"/>
        <v>0.69716775599128544</v>
      </c>
      <c r="V54" s="10">
        <f t="shared" si="8"/>
        <v>0.25833333333333336</v>
      </c>
      <c r="W54" s="10">
        <f t="shared" si="9"/>
        <v>0.24242424242424243</v>
      </c>
      <c r="X54" s="10">
        <f t="shared" si="10"/>
        <v>0.21965317919075145</v>
      </c>
      <c r="Y54" s="10">
        <f t="shared" si="11"/>
        <v>0.2131578947368421</v>
      </c>
      <c r="Z54" s="10">
        <f t="shared" si="12"/>
        <v>0.20984455958549222</v>
      </c>
      <c r="AA54" s="10">
        <f t="shared" si="13"/>
        <v>0.17737789203084833</v>
      </c>
      <c r="AB54" s="10">
        <f t="shared" si="14"/>
        <v>0.22522522522522523</v>
      </c>
      <c r="AC54" s="10">
        <f t="shared" si="15"/>
        <v>0.30079155672823221</v>
      </c>
      <c r="AD54" s="10">
        <f t="shared" si="3"/>
        <v>0.42352941176470588</v>
      </c>
      <c r="AE54" s="10">
        <f t="shared" si="4"/>
        <v>0.42372881355932202</v>
      </c>
      <c r="AF54" s="10">
        <f t="shared" si="5"/>
        <v>0.42280285035629456</v>
      </c>
      <c r="AG54" s="10">
        <f t="shared" si="6"/>
        <v>0.4461942257217848</v>
      </c>
      <c r="AI54" s="7" t="s">
        <v>39</v>
      </c>
      <c r="AJ54" s="10">
        <f>AJ23/SUM(F23,U54,AJ23)</f>
        <v>0.20043355530949297</v>
      </c>
      <c r="AK54" s="10">
        <f>AK23/SUM(G23,V54,AK23)</f>
        <v>0.11973433943437997</v>
      </c>
      <c r="AL54" s="10">
        <f>AL23/SUM(H23,W54,AL23)</f>
        <v>0.16783724872850569</v>
      </c>
      <c r="AM54" s="10">
        <f>AM23/SUM(I23,X54,AM23)</f>
        <v>0.11102079233336186</v>
      </c>
      <c r="AN54" s="10">
        <f>AN23/SUM(J23,Y54,AN23)</f>
        <v>0.14036815859139321</v>
      </c>
      <c r="AO54" s="10">
        <f>AO23/SUM(K23,Z54,AO23)</f>
        <v>0.17365101730738217</v>
      </c>
      <c r="AP54" s="10">
        <f>AP23/SUM(L23,AA54,AP23)</f>
        <v>0.15304016892949762</v>
      </c>
      <c r="AQ54" s="10">
        <f>AQ23/SUM(M23,AB54,AQ23)</f>
        <v>0.17813906429892193</v>
      </c>
      <c r="AR54" s="10">
        <f>AR23/SUM(N23,AC54,AR23)</f>
        <v>0.17338809933465277</v>
      </c>
      <c r="AS54" s="10">
        <f>AS23/SUM(O23,AD54,AS23)</f>
        <v>0.19150568045635394</v>
      </c>
      <c r="AT54" s="10">
        <f>AT23/SUM(P23,AE54,AT23)</f>
        <v>0.26423544465770954</v>
      </c>
      <c r="AU54" s="10">
        <f>AU23/SUM(Q23,AF54,AU23)</f>
        <v>0.21362008567441768</v>
      </c>
      <c r="AV54" s="10">
        <f>AV23/SUM(R23,AG54,AV23)</f>
        <v>0.19863209245168256</v>
      </c>
    </row>
    <row r="55" spans="5:48">
      <c r="E55" s="3" t="s">
        <v>40</v>
      </c>
      <c r="F55" s="12">
        <f t="shared" si="16"/>
        <v>0.24909747292418771</v>
      </c>
      <c r="G55" s="12">
        <f t="shared" si="17"/>
        <v>0.62467866323907451</v>
      </c>
      <c r="H55" s="12">
        <f t="shared" si="18"/>
        <v>0.68238213399503722</v>
      </c>
      <c r="I55" s="12">
        <f t="shared" si="19"/>
        <v>0.68181818181818177</v>
      </c>
      <c r="J55" s="12">
        <f t="shared" si="20"/>
        <v>0.67479674796747968</v>
      </c>
      <c r="K55" s="12">
        <f t="shared" si="21"/>
        <v>0.69191919191919193</v>
      </c>
      <c r="L55" s="12">
        <f t="shared" si="22"/>
        <v>0.6785714285714286</v>
      </c>
      <c r="M55" s="12">
        <f t="shared" si="23"/>
        <v>0.62770562770562766</v>
      </c>
      <c r="N55" s="12">
        <f t="shared" si="24"/>
        <v>0.58454106280193241</v>
      </c>
      <c r="O55" s="12">
        <f t="shared" si="25"/>
        <v>0.44868735083532219</v>
      </c>
      <c r="P55" s="12">
        <f t="shared" si="26"/>
        <v>0.43648960739030024</v>
      </c>
      <c r="Q55" s="12">
        <f t="shared" si="27"/>
        <v>0.44467213114754101</v>
      </c>
      <c r="R55" s="12">
        <f t="shared" si="28"/>
        <v>0.47345132743362833</v>
      </c>
      <c r="T55" s="7" t="s">
        <v>40</v>
      </c>
      <c r="U55" s="14">
        <f t="shared" si="2"/>
        <v>0.65523465703971118</v>
      </c>
      <c r="V55" s="14">
        <f t="shared" si="8"/>
        <v>0.2467866323907455</v>
      </c>
      <c r="W55" s="14">
        <f t="shared" si="9"/>
        <v>0.21339950372208435</v>
      </c>
      <c r="X55" s="14">
        <f t="shared" si="10"/>
        <v>0.23923444976076555</v>
      </c>
      <c r="Y55" s="14">
        <f t="shared" si="11"/>
        <v>0.23577235772357724</v>
      </c>
      <c r="Z55" s="14">
        <f t="shared" si="12"/>
        <v>0.20454545454545456</v>
      </c>
      <c r="AA55" s="14">
        <f t="shared" si="13"/>
        <v>0.15714285714285714</v>
      </c>
      <c r="AB55" s="14">
        <f t="shared" si="14"/>
        <v>0.24891774891774893</v>
      </c>
      <c r="AC55" s="14">
        <f t="shared" si="15"/>
        <v>0.28743961352657005</v>
      </c>
      <c r="AD55" s="14">
        <f t="shared" si="3"/>
        <v>0.41527446300715992</v>
      </c>
      <c r="AE55" s="14">
        <f t="shared" si="4"/>
        <v>0.44803695150115475</v>
      </c>
      <c r="AF55" s="14">
        <f t="shared" si="5"/>
        <v>0.43237704918032788</v>
      </c>
      <c r="AG55" s="14">
        <f t="shared" si="6"/>
        <v>0.42035398230088494</v>
      </c>
      <c r="AI55" s="7" t="s">
        <v>40</v>
      </c>
      <c r="AJ55" s="14">
        <f>AJ24/SUM(F24,U55,AJ24)</f>
        <v>0.27653823332736849</v>
      </c>
      <c r="AK55" s="14">
        <f>AK24/SUM(G24,V55,AK24)</f>
        <v>0.1705048521560755</v>
      </c>
      <c r="AL55" s="14">
        <f>AL24/SUM(H24,W55,AL24)</f>
        <v>0.13240298192229166</v>
      </c>
      <c r="AM55" s="14">
        <f>AM24/SUM(I24,X55,AM24)</f>
        <v>0.10369557373105605</v>
      </c>
      <c r="AN55" s="14">
        <f>AN24/SUM(J24,Y55,AN24)</f>
        <v>0.11692352009217917</v>
      </c>
      <c r="AO55" s="14">
        <f>AO24/SUM(K24,Z55,AO24)</f>
        <v>0.13007426634941235</v>
      </c>
      <c r="AP55" s="14">
        <f>AP24/SUM(L24,AA55,AP24)</f>
        <v>0.1948287685046993</v>
      </c>
      <c r="AQ55" s="14">
        <f>AQ24/SUM(M24,AB55,AQ24)</f>
        <v>0.16414737983780989</v>
      </c>
      <c r="AR55" s="14">
        <f>AR24/SUM(N24,AC55,AR24)</f>
        <v>0.17948613076589584</v>
      </c>
      <c r="AS55" s="14">
        <f>AS24/SUM(O24,AD55,AS24)</f>
        <v>0.23225938208093047</v>
      </c>
      <c r="AT55" s="14">
        <f>AT24/SUM(P24,AE55,AT24)</f>
        <v>0.20881357239995754</v>
      </c>
      <c r="AU55" s="14">
        <f>AU24/SUM(Q24,AF55,AU24)</f>
        <v>0.21626891799064901</v>
      </c>
      <c r="AV55" s="14">
        <f>AV24/SUM(R24,AG55,AV24)</f>
        <v>0.1829126410035915</v>
      </c>
    </row>
    <row r="56" spans="5:48">
      <c r="E56" s="3" t="s">
        <v>41</v>
      </c>
      <c r="F56" s="13">
        <f t="shared" si="16"/>
        <v>0.26846846846846845</v>
      </c>
      <c r="G56" s="13">
        <f t="shared" si="17"/>
        <v>0.64597701149425291</v>
      </c>
      <c r="H56" s="13">
        <f t="shared" si="18"/>
        <v>0.67991631799163177</v>
      </c>
      <c r="I56" s="13">
        <f t="shared" si="19"/>
        <v>0.63591022443890277</v>
      </c>
      <c r="J56" s="13">
        <f t="shared" si="20"/>
        <v>0.6635071090047393</v>
      </c>
      <c r="K56" s="13">
        <f t="shared" si="21"/>
        <v>0.6843267108167771</v>
      </c>
      <c r="L56" s="13">
        <f t="shared" si="22"/>
        <v>0.72979214780600465</v>
      </c>
      <c r="M56" s="13">
        <f t="shared" si="23"/>
        <v>0.69041769041769041</v>
      </c>
      <c r="N56" s="13">
        <f t="shared" si="24"/>
        <v>0.5358744394618834</v>
      </c>
      <c r="O56" s="13">
        <f t="shared" si="25"/>
        <v>0.49590163934426229</v>
      </c>
      <c r="P56" s="13">
        <f t="shared" si="26"/>
        <v>0.4375</v>
      </c>
      <c r="Q56" s="13">
        <f t="shared" si="27"/>
        <v>0.43318965517241381</v>
      </c>
      <c r="R56" s="13">
        <f t="shared" si="28"/>
        <v>0.45643153526970953</v>
      </c>
      <c r="T56" s="7" t="s">
        <v>41</v>
      </c>
      <c r="U56" s="10">
        <f t="shared" si="2"/>
        <v>0.67387387387387387</v>
      </c>
      <c r="V56" s="10">
        <f t="shared" si="8"/>
        <v>0.2413793103448276</v>
      </c>
      <c r="W56" s="10">
        <f t="shared" si="9"/>
        <v>0.23012552301255229</v>
      </c>
      <c r="X56" s="10">
        <f t="shared" si="10"/>
        <v>0.27680798004987534</v>
      </c>
      <c r="Y56" s="10">
        <f t="shared" si="11"/>
        <v>0.23459715639810427</v>
      </c>
      <c r="Z56" s="10">
        <f t="shared" si="12"/>
        <v>0.24061810154525387</v>
      </c>
      <c r="AA56" s="10">
        <f t="shared" si="13"/>
        <v>0.15242494226327943</v>
      </c>
      <c r="AB56" s="10">
        <f t="shared" si="14"/>
        <v>0.20638820638820637</v>
      </c>
      <c r="AC56" s="10">
        <f t="shared" si="15"/>
        <v>0.30044843049327352</v>
      </c>
      <c r="AD56" s="10">
        <f t="shared" si="3"/>
        <v>0.37295081967213117</v>
      </c>
      <c r="AE56" s="10">
        <f t="shared" si="4"/>
        <v>0.42857142857142855</v>
      </c>
      <c r="AF56" s="10">
        <f t="shared" si="5"/>
        <v>0.42887931034482757</v>
      </c>
      <c r="AG56" s="10">
        <f t="shared" si="6"/>
        <v>0.43153526970954359</v>
      </c>
      <c r="AI56" s="7" t="s">
        <v>41</v>
      </c>
      <c r="AJ56" s="10">
        <f>AJ25/SUM(F25,U56,AJ25)</f>
        <v>0.1761398010493013</v>
      </c>
      <c r="AK56" s="10">
        <f>AK25/SUM(G25,V56,AK25)</f>
        <v>0.14837631826250391</v>
      </c>
      <c r="AL56" s="10">
        <f>AL25/SUM(H25,W56,AL25)</f>
        <v>0.11677480200438602</v>
      </c>
      <c r="AM56" s="10">
        <f>AM25/SUM(I25,X56,AM25)</f>
        <v>0.12057456551060559</v>
      </c>
      <c r="AN56" s="10">
        <f>AN25/SUM(J25,Y56,AN25)</f>
        <v>0.13303031413804481</v>
      </c>
      <c r="AO56" s="10">
        <f>AO25/SUM(K25,Z56,AO25)</f>
        <v>9.8768123841709368E-2</v>
      </c>
      <c r="AP56" s="10">
        <f>AP25/SUM(L25,AA56,AP25)</f>
        <v>0.13890688590173422</v>
      </c>
      <c r="AQ56" s="10">
        <f>AQ25/SUM(M25,AB56,AQ25)</f>
        <v>0.12994792656505377</v>
      </c>
      <c r="AR56" s="10">
        <f>AR25/SUM(N25,AC56,AR25)</f>
        <v>0.23374926410407365</v>
      </c>
      <c r="AS56" s="10">
        <f>AS25/SUM(O25,AD56,AS25)</f>
        <v>0.20889572603839207</v>
      </c>
      <c r="AT56" s="10">
        <f>AT25/SUM(P25,AE56,AT25)</f>
        <v>0.23398328690807799</v>
      </c>
      <c r="AU56" s="10">
        <f>AU25/SUM(Q25,AF56,AU25)</f>
        <v>0.24111920363107853</v>
      </c>
      <c r="AV56" s="10">
        <f>AV25/SUM(R25,AG56,AV25)</f>
        <v>0.19677038918624692</v>
      </c>
    </row>
    <row r="57" spans="5:48">
      <c r="E57" s="3" t="s">
        <v>42</v>
      </c>
      <c r="F57" s="12">
        <f t="shared" si="16"/>
        <v>0.30769230769230771</v>
      </c>
      <c r="G57" s="12">
        <f t="shared" si="17"/>
        <v>0.63594470046082952</v>
      </c>
      <c r="H57" s="12">
        <f t="shared" si="18"/>
        <v>0.65913757700205344</v>
      </c>
      <c r="I57" s="12">
        <f t="shared" si="19"/>
        <v>0.68944099378881984</v>
      </c>
      <c r="J57" s="12">
        <f t="shared" si="20"/>
        <v>0.66814159292035402</v>
      </c>
      <c r="K57" s="12">
        <f t="shared" si="21"/>
        <v>0.710239651416122</v>
      </c>
      <c r="L57" s="12">
        <f t="shared" si="22"/>
        <v>0.7032755298651252</v>
      </c>
      <c r="M57" s="12">
        <f t="shared" si="23"/>
        <v>0.61788617886178865</v>
      </c>
      <c r="N57" s="12">
        <f t="shared" si="24"/>
        <v>0.55670103092783507</v>
      </c>
      <c r="O57" s="12">
        <f t="shared" si="25"/>
        <v>0.43514644351464438</v>
      </c>
      <c r="P57" s="12">
        <f t="shared" si="26"/>
        <v>0.44534412955465585</v>
      </c>
      <c r="Q57" s="12">
        <f t="shared" si="27"/>
        <v>0.43887775551102204</v>
      </c>
      <c r="R57" s="12">
        <f t="shared" si="28"/>
        <v>0.41463414634146339</v>
      </c>
      <c r="T57" s="7" t="s">
        <v>42</v>
      </c>
      <c r="U57" s="14">
        <f t="shared" si="2"/>
        <v>0.62307692307692308</v>
      </c>
      <c r="V57" s="14">
        <f t="shared" si="8"/>
        <v>0.23271889400921658</v>
      </c>
      <c r="W57" s="14">
        <f t="shared" si="9"/>
        <v>0.24435318275154005</v>
      </c>
      <c r="X57" s="14">
        <f t="shared" si="10"/>
        <v>0.21532091097308489</v>
      </c>
      <c r="Y57" s="14">
        <f t="shared" si="11"/>
        <v>0.24115044247787609</v>
      </c>
      <c r="Z57" s="14">
        <f t="shared" si="12"/>
        <v>0.19172113289760348</v>
      </c>
      <c r="AA57" s="14">
        <f t="shared" si="13"/>
        <v>0.1811175337186898</v>
      </c>
      <c r="AB57" s="14">
        <f t="shared" si="14"/>
        <v>0.23780487804878048</v>
      </c>
      <c r="AC57" s="14">
        <f t="shared" si="15"/>
        <v>0.28041237113402062</v>
      </c>
      <c r="AD57" s="14">
        <f t="shared" si="3"/>
        <v>0.39121338912133891</v>
      </c>
      <c r="AE57" s="14">
        <f t="shared" si="4"/>
        <v>0.43522267206477733</v>
      </c>
      <c r="AF57" s="14">
        <f t="shared" si="5"/>
        <v>0.41883767535070138</v>
      </c>
      <c r="AG57" s="14">
        <f t="shared" si="6"/>
        <v>0.46529080675422141</v>
      </c>
      <c r="AI57" s="7" t="s">
        <v>42</v>
      </c>
      <c r="AJ57" s="14">
        <f>AJ26/SUM(F26,U57,AJ26)</f>
        <v>0.18320754126084368</v>
      </c>
      <c r="AK57" s="14">
        <f>AK26/SUM(G26,V57,AK26)</f>
        <v>0.17105163079178276</v>
      </c>
      <c r="AL57" s="14">
        <f>AL26/SUM(H26,W57,AL26)</f>
        <v>0.12763264281930467</v>
      </c>
      <c r="AM57" s="14">
        <f>AM26/SUM(I26,X57,AM26)</f>
        <v>0.12130311583797861</v>
      </c>
      <c r="AN57" s="14">
        <f>AN26/SUM(J26,Y57,AN26)</f>
        <v>0.11944954719778272</v>
      </c>
      <c r="AO57" s="14">
        <f>AO26/SUM(K26,Z57,AO26)</f>
        <v>0.12123115209212511</v>
      </c>
      <c r="AP57" s="14">
        <f>AP26/SUM(L26,AA57,AP26)</f>
        <v>0.14111633260675491</v>
      </c>
      <c r="AQ57" s="14">
        <f>AQ26/SUM(M26,AB57,AQ26)</f>
        <v>0.18921334438323664</v>
      </c>
      <c r="AR57" s="14">
        <f>AR26/SUM(N26,AC57,AR26)</f>
        <v>0.22617930236539333</v>
      </c>
      <c r="AS57" s="14">
        <f>AS26/SUM(O26,AD57,AS26)</f>
        <v>0.28484043507915424</v>
      </c>
      <c r="AT57" s="14">
        <f>AT26/SUM(P26,AE57,AT26)</f>
        <v>0.21114016850066283</v>
      </c>
      <c r="AU57" s="14">
        <f>AU26/SUM(Q26,AF57,AU26)</f>
        <v>0.24447449954802339</v>
      </c>
      <c r="AV57" s="14">
        <f>AV26/SUM(R26,AG57,AV26)</f>
        <v>0.22419538227967903</v>
      </c>
    </row>
    <row r="58" spans="5:48">
      <c r="E58" s="3" t="s">
        <v>43</v>
      </c>
      <c r="F58" s="13">
        <f t="shared" si="16"/>
        <v>0.13154831199068684</v>
      </c>
      <c r="G58" s="13">
        <f t="shared" si="17"/>
        <v>0.36965376782077392</v>
      </c>
      <c r="H58" s="13">
        <f t="shared" si="18"/>
        <v>0.35674470457079155</v>
      </c>
      <c r="I58" s="13">
        <f t="shared" si="19"/>
        <v>0.39008620689655171</v>
      </c>
      <c r="J58" s="13">
        <f t="shared" si="20"/>
        <v>0.42717391304347824</v>
      </c>
      <c r="K58" s="13">
        <f t="shared" si="21"/>
        <v>0.42529989094874593</v>
      </c>
      <c r="L58" s="13">
        <f t="shared" si="22"/>
        <v>0.25419932810750279</v>
      </c>
      <c r="M58" s="13">
        <f t="shared" si="23"/>
        <v>0.23922413793103448</v>
      </c>
      <c r="N58" s="13">
        <f t="shared" si="24"/>
        <v>0.2366167023554604</v>
      </c>
      <c r="O58" s="13">
        <f t="shared" si="25"/>
        <v>0.20532741398446172</v>
      </c>
      <c r="P58" s="13">
        <f t="shared" si="26"/>
        <v>0.21752903907074975</v>
      </c>
      <c r="Q58" s="13">
        <f t="shared" si="27"/>
        <v>0.22163308589607636</v>
      </c>
      <c r="R58" s="13">
        <f t="shared" si="28"/>
        <v>0.20976116303219106</v>
      </c>
      <c r="T58" s="7" t="s">
        <v>43</v>
      </c>
      <c r="U58" s="10">
        <f t="shared" si="2"/>
        <v>0.76251455180442373</v>
      </c>
      <c r="V58" s="10">
        <f t="shared" si="8"/>
        <v>0.48574338085539714</v>
      </c>
      <c r="W58" s="10">
        <f t="shared" si="9"/>
        <v>0.50613154960981044</v>
      </c>
      <c r="X58" s="10">
        <f t="shared" si="10"/>
        <v>0.48383620689655171</v>
      </c>
      <c r="Y58" s="10">
        <f t="shared" si="11"/>
        <v>0.45652173913043476</v>
      </c>
      <c r="Z58" s="10">
        <f t="shared" si="12"/>
        <v>0.39912758996728465</v>
      </c>
      <c r="AA58" s="10">
        <f t="shared" si="13"/>
        <v>0.35834266517357222</v>
      </c>
      <c r="AB58" s="10">
        <f t="shared" si="14"/>
        <v>0.63900862068965514</v>
      </c>
      <c r="AC58" s="10">
        <f t="shared" si="15"/>
        <v>0.62740899357601709</v>
      </c>
      <c r="AD58" s="10">
        <f t="shared" si="3"/>
        <v>0.67369589345172032</v>
      </c>
      <c r="AE58" s="10">
        <f t="shared" si="4"/>
        <v>0.67898627243928189</v>
      </c>
      <c r="AF58" s="10">
        <f t="shared" si="5"/>
        <v>0.68398727465535525</v>
      </c>
      <c r="AG58" s="10">
        <f t="shared" si="6"/>
        <v>0.68328141225337491</v>
      </c>
      <c r="AI58" s="7" t="s">
        <v>43</v>
      </c>
      <c r="AJ58" s="10">
        <f>AJ27/SUM(F27,U58,AJ27)</f>
        <v>0.44441728115708024</v>
      </c>
      <c r="AK58" s="10">
        <f>AK27/SUM(G27,V58,AK27)</f>
        <v>0.28091791283816858</v>
      </c>
      <c r="AL58" s="10">
        <f>AL27/SUM(H27,W58,AL27)</f>
        <v>0.2773355118456608</v>
      </c>
      <c r="AM58" s="10">
        <f>AM27/SUM(I27,X58,AM27)</f>
        <v>0.24401239659206087</v>
      </c>
      <c r="AN58" s="10">
        <f>AN27/SUM(J27,Y58,AN27)</f>
        <v>0.21380478693366925</v>
      </c>
      <c r="AO58" s="10">
        <f>AO27/SUM(K27,Z58,AO27)</f>
        <v>0.29198450259377851</v>
      </c>
      <c r="AP58" s="10">
        <f>AP27/SUM(L27,AA58,AP27)</f>
        <v>0.60346204851867835</v>
      </c>
      <c r="AQ58" s="10">
        <f>AQ27/SUM(M27,AB58,AQ27)</f>
        <v>0.33667123635114443</v>
      </c>
      <c r="AR58" s="10">
        <f>AR27/SUM(N27,AC58,AR27)</f>
        <v>0.36428575815833275</v>
      </c>
      <c r="AS58" s="10">
        <f>AS27/SUM(O27,AD58,AS27)</f>
        <v>0.36990067834019458</v>
      </c>
      <c r="AT58" s="10">
        <f>AT27/SUM(P27,AE58,AT27)</f>
        <v>0.32165001334345361</v>
      </c>
      <c r="AU58" s="10">
        <f>AU27/SUM(Q27,AF58,AU27)</f>
        <v>0.29797379100259536</v>
      </c>
      <c r="AV58" s="10">
        <f>AV27/SUM(R27,AG58,AV27)</f>
        <v>0.33695005995794458</v>
      </c>
    </row>
    <row r="59" spans="5:48">
      <c r="E59" s="3" t="s">
        <v>44</v>
      </c>
      <c r="F59" s="12">
        <f t="shared" si="16"/>
        <v>0.24971098265895952</v>
      </c>
      <c r="G59" s="12">
        <f t="shared" si="17"/>
        <v>0.50592034445640477</v>
      </c>
      <c r="H59" s="12">
        <f t="shared" si="18"/>
        <v>0.51524710830704523</v>
      </c>
      <c r="I59" s="12">
        <f t="shared" si="19"/>
        <v>0.52416756176154677</v>
      </c>
      <c r="J59" s="12">
        <f t="shared" si="20"/>
        <v>0.56084656084656082</v>
      </c>
      <c r="K59" s="12">
        <f t="shared" si="21"/>
        <v>0.5849462365591398</v>
      </c>
      <c r="L59" s="12">
        <f t="shared" si="22"/>
        <v>0.6293478260869565</v>
      </c>
      <c r="M59" s="12">
        <f t="shared" si="23"/>
        <v>0.36156351791530944</v>
      </c>
      <c r="N59" s="12">
        <f t="shared" si="24"/>
        <v>0.3432671081677704</v>
      </c>
      <c r="O59" s="12">
        <f t="shared" si="25"/>
        <v>0.30925507900677202</v>
      </c>
      <c r="P59" s="12">
        <f t="shared" si="26"/>
        <v>0.32655367231638416</v>
      </c>
      <c r="Q59" s="12">
        <f t="shared" si="27"/>
        <v>0.33828207847295866</v>
      </c>
      <c r="R59" s="12">
        <f t="shared" si="28"/>
        <v>0.33777777777777779</v>
      </c>
      <c r="T59" s="7" t="s">
        <v>44</v>
      </c>
      <c r="U59" s="14">
        <f t="shared" si="2"/>
        <v>0.59884393063583818</v>
      </c>
      <c r="V59" s="14">
        <f t="shared" si="8"/>
        <v>0.35629709364908502</v>
      </c>
      <c r="W59" s="14">
        <f t="shared" si="9"/>
        <v>0.3491062039957939</v>
      </c>
      <c r="X59" s="14">
        <f t="shared" si="10"/>
        <v>0.34801288936627284</v>
      </c>
      <c r="Y59" s="14">
        <f t="shared" si="11"/>
        <v>0.31322751322751324</v>
      </c>
      <c r="Z59" s="14">
        <f t="shared" si="12"/>
        <v>0.3193548387096774</v>
      </c>
      <c r="AA59" s="14">
        <f t="shared" si="13"/>
        <v>0.24021739130434783</v>
      </c>
      <c r="AB59" s="14">
        <f t="shared" si="14"/>
        <v>0.2725298588490771</v>
      </c>
      <c r="AC59" s="14">
        <f t="shared" si="15"/>
        <v>0.54304635761589404</v>
      </c>
      <c r="AD59" s="14">
        <f t="shared" si="3"/>
        <v>0.58126410835214448</v>
      </c>
      <c r="AE59" s="14">
        <f t="shared" si="4"/>
        <v>0.56384180790960448</v>
      </c>
      <c r="AF59" s="14">
        <f t="shared" si="5"/>
        <v>0.54825026511134678</v>
      </c>
      <c r="AG59" s="14">
        <f t="shared" si="6"/>
        <v>0.55777777777777782</v>
      </c>
      <c r="AI59" s="7" t="s">
        <v>44</v>
      </c>
      <c r="AJ59" s="14">
        <f>AJ28/SUM(F28,U59,AJ28)</f>
        <v>0.37687121889893671</v>
      </c>
      <c r="AK59" s="14">
        <f>AK28/SUM(G28,V59,AK28)</f>
        <v>0.21391936647399676</v>
      </c>
      <c r="AL59" s="14">
        <f>AL28/SUM(H28,W59,AL28)</f>
        <v>0.20828317778747404</v>
      </c>
      <c r="AM59" s="14">
        <f>AM28/SUM(I28,X59,AM28)</f>
        <v>0.19593379326932431</v>
      </c>
      <c r="AN59" s="14">
        <f>AN28/SUM(J28,Y59,AN28)</f>
        <v>0.18327056181459939</v>
      </c>
      <c r="AO59" s="14">
        <f>AO28/SUM(K28,Z59,AO28)</f>
        <v>0.14052941745743114</v>
      </c>
      <c r="AP59" s="14">
        <f>AP28/SUM(L28,AA59,AP28)</f>
        <v>0.17161484281852507</v>
      </c>
      <c r="AQ59" s="14">
        <f>AQ28/SUM(M28,AB59,AQ28)</f>
        <v>0.50278056311060204</v>
      </c>
      <c r="AR59" s="14">
        <f>AR28/SUM(N28,AC59,AR28)</f>
        <v>0.24846635567767911</v>
      </c>
      <c r="AS59" s="14">
        <f>AS28/SUM(O28,AD59,AS28)</f>
        <v>0.26104653105360837</v>
      </c>
      <c r="AT59" s="14">
        <f>AT28/SUM(P28,AE59,AT28)</f>
        <v>0.25092879754698061</v>
      </c>
      <c r="AU59" s="14">
        <f>AU28/SUM(Q28,AF59,AU28)</f>
        <v>0.25085087075963058</v>
      </c>
      <c r="AV59" s="14">
        <f>AV28/SUM(R28,AG59,AV28)</f>
        <v>0.23585037161766589</v>
      </c>
    </row>
    <row r="60" spans="5:48">
      <c r="E60" s="3" t="s">
        <v>45</v>
      </c>
      <c r="F60" s="13">
        <f t="shared" si="16"/>
        <v>0.36489607390300233</v>
      </c>
      <c r="G60" s="13">
        <f t="shared" si="17"/>
        <v>0.62008733624454149</v>
      </c>
      <c r="H60" s="13">
        <f t="shared" si="18"/>
        <v>0.62913907284768211</v>
      </c>
      <c r="I60" s="13">
        <f t="shared" si="19"/>
        <v>0.64893617021276595</v>
      </c>
      <c r="J60" s="13">
        <f t="shared" si="20"/>
        <v>0.65189189189189189</v>
      </c>
      <c r="K60" s="13">
        <f t="shared" si="21"/>
        <v>0.67872807017543857</v>
      </c>
      <c r="L60" s="13">
        <f t="shared" si="22"/>
        <v>0.77936333699231619</v>
      </c>
      <c r="M60" s="13">
        <f t="shared" si="23"/>
        <v>0.71650717703349287</v>
      </c>
      <c r="N60" s="13">
        <f t="shared" si="24"/>
        <v>0.44919168591224018</v>
      </c>
      <c r="O60" s="13">
        <f t="shared" si="25"/>
        <v>0.40654699049630411</v>
      </c>
      <c r="P60" s="13">
        <f t="shared" si="26"/>
        <v>0.44314558979808716</v>
      </c>
      <c r="Q60" s="13">
        <f t="shared" si="27"/>
        <v>0.44360086767895879</v>
      </c>
      <c r="R60" s="13">
        <f t="shared" si="28"/>
        <v>0.45345016429353779</v>
      </c>
      <c r="T60" s="7" t="s">
        <v>45</v>
      </c>
      <c r="U60" s="10">
        <f t="shared" si="2"/>
        <v>0.50115473441108549</v>
      </c>
      <c r="V60" s="10">
        <f t="shared" si="8"/>
        <v>0.23471615720524017</v>
      </c>
      <c r="W60" s="10">
        <f t="shared" si="9"/>
        <v>0.24392935982339956</v>
      </c>
      <c r="X60" s="10">
        <f t="shared" si="10"/>
        <v>0.23617021276595745</v>
      </c>
      <c r="Y60" s="10">
        <f t="shared" si="11"/>
        <v>0.24216216216216216</v>
      </c>
      <c r="Z60" s="10">
        <f t="shared" si="12"/>
        <v>0.20833333333333334</v>
      </c>
      <c r="AA60" s="10">
        <f t="shared" si="13"/>
        <v>0.14270032930845225</v>
      </c>
      <c r="AB60" s="10">
        <f t="shared" si="14"/>
        <v>0.1471291866028708</v>
      </c>
      <c r="AC60" s="10">
        <f t="shared" si="15"/>
        <v>0.18822170900692842</v>
      </c>
      <c r="AD60" s="10">
        <f t="shared" si="3"/>
        <v>0.46673706441393875</v>
      </c>
      <c r="AE60" s="10">
        <f t="shared" si="4"/>
        <v>0.4452709883103082</v>
      </c>
      <c r="AF60" s="10">
        <f t="shared" si="5"/>
        <v>0.45336225596529284</v>
      </c>
      <c r="AG60" s="10">
        <f t="shared" si="6"/>
        <v>0.42168674698795183</v>
      </c>
      <c r="AI60" s="7" t="s">
        <v>45</v>
      </c>
      <c r="AJ60" s="10">
        <f>AJ29/SUM(F29,U60,AJ29)</f>
        <v>0.26820737639702463</v>
      </c>
      <c r="AK60" s="10">
        <f>AK29/SUM(G29,V60,AK29)</f>
        <v>0.18966545285841724</v>
      </c>
      <c r="AL60" s="10">
        <f>AL29/SUM(H29,W60,AL29)</f>
        <v>0.16782344953779693</v>
      </c>
      <c r="AM60" s="10">
        <f>AM29/SUM(I29,X60,AM29)</f>
        <v>0.15036836695095254</v>
      </c>
      <c r="AN60" s="10">
        <f>AN29/SUM(J29,Y60,AN29)</f>
        <v>0.13975200763432921</v>
      </c>
      <c r="AO60" s="10">
        <f>AO29/SUM(K29,Z60,AO29)</f>
        <v>0.1426181272716783</v>
      </c>
      <c r="AP60" s="10">
        <f>AP29/SUM(L29,AA60,AP29)</f>
        <v>9.0892483498941148E-2</v>
      </c>
      <c r="AQ60" s="10">
        <f>AQ29/SUM(M29,AB60,AQ29)</f>
        <v>0.1598548116291591</v>
      </c>
      <c r="AR60" s="10">
        <f>AR29/SUM(N29,AC60,AR29)</f>
        <v>0.4465376272043694</v>
      </c>
      <c r="AS60" s="10">
        <f>AS29/SUM(O29,AD60,AS29)</f>
        <v>0.23740434572791255</v>
      </c>
      <c r="AT60" s="10">
        <f>AT29/SUM(P29,AE60,AT29)</f>
        <v>0.20097798914204235</v>
      </c>
      <c r="AU60" s="10">
        <f>AU29/SUM(Q29,AF60,AU29)</f>
        <v>0.18832266193082867</v>
      </c>
      <c r="AV60" s="10">
        <f>AV29/SUM(R29,AG60,AV29)</f>
        <v>0.21573679290453501</v>
      </c>
    </row>
    <row r="61" spans="5:48">
      <c r="E61" s="3" t="s">
        <v>46</v>
      </c>
      <c r="F61" s="12">
        <f t="shared" si="16"/>
        <v>0.53624856156501721</v>
      </c>
      <c r="G61" s="12">
        <f t="shared" si="17"/>
        <v>0.79450549450549446</v>
      </c>
      <c r="H61" s="12">
        <f t="shared" si="18"/>
        <v>0.74750830564784054</v>
      </c>
      <c r="I61" s="12">
        <f t="shared" si="19"/>
        <v>0.76898047722342733</v>
      </c>
      <c r="J61" s="12">
        <f t="shared" si="20"/>
        <v>0.78118161925601748</v>
      </c>
      <c r="K61" s="12">
        <f t="shared" si="21"/>
        <v>0.80561555075593949</v>
      </c>
      <c r="L61" s="12">
        <f t="shared" si="22"/>
        <v>0.86708860759493667</v>
      </c>
      <c r="M61" s="12">
        <f t="shared" si="23"/>
        <v>0.84183142559833501</v>
      </c>
      <c r="N61" s="12">
        <f t="shared" si="24"/>
        <v>0.80648899188876011</v>
      </c>
      <c r="O61" s="12">
        <f t="shared" si="25"/>
        <v>0.5386199794026777</v>
      </c>
      <c r="P61" s="12">
        <f t="shared" si="26"/>
        <v>0.53938730853391681</v>
      </c>
      <c r="Q61" s="12">
        <f t="shared" si="27"/>
        <v>0.55943293347873502</v>
      </c>
      <c r="R61" s="12">
        <f t="shared" si="28"/>
        <v>0.54219653179190752</v>
      </c>
      <c r="T61" s="7" t="s">
        <v>46</v>
      </c>
      <c r="U61" s="14">
        <f t="shared" si="2"/>
        <v>0.35327963176064442</v>
      </c>
      <c r="V61" s="14">
        <f t="shared" si="8"/>
        <v>0.1043956043956044</v>
      </c>
      <c r="W61" s="14">
        <f t="shared" si="9"/>
        <v>0.13178294573643412</v>
      </c>
      <c r="X61" s="14">
        <f t="shared" si="10"/>
        <v>0.10737527114967461</v>
      </c>
      <c r="Y61" s="14">
        <f t="shared" si="11"/>
        <v>9.4091903719912467E-2</v>
      </c>
      <c r="Z61" s="14">
        <f t="shared" si="12"/>
        <v>8.4233261339092869E-2</v>
      </c>
      <c r="AA61" s="14">
        <f t="shared" si="13"/>
        <v>6.7510548523206745E-2</v>
      </c>
      <c r="AB61" s="14">
        <f t="shared" si="14"/>
        <v>7.7003121748178985E-2</v>
      </c>
      <c r="AC61" s="14">
        <f t="shared" si="15"/>
        <v>6.6048667439165695E-2</v>
      </c>
      <c r="AD61" s="14">
        <f t="shared" si="3"/>
        <v>9.577754891864057E-2</v>
      </c>
      <c r="AE61" s="14">
        <f t="shared" si="4"/>
        <v>0.12144420131291028</v>
      </c>
      <c r="AF61" s="14">
        <f t="shared" si="5"/>
        <v>0.11668484187568157</v>
      </c>
      <c r="AG61" s="14">
        <f t="shared" si="6"/>
        <v>9.7109826589595369E-2</v>
      </c>
      <c r="AI61" s="7" t="s">
        <v>46</v>
      </c>
      <c r="AJ61" s="14">
        <f>AJ30/SUM(F30,U61,AJ30)</f>
        <v>0.17071119432763437</v>
      </c>
      <c r="AK61" s="14">
        <f>AK30/SUM(G30,V61,AK30)</f>
        <v>0.11286897788323481</v>
      </c>
      <c r="AL61" s="14">
        <f>AL30/SUM(H30,W61,AL30)</f>
        <v>0.13900724644844939</v>
      </c>
      <c r="AM61" s="14">
        <f>AM30/SUM(I30,X61,AM30)</f>
        <v>0.13849954869186526</v>
      </c>
      <c r="AN61" s="14">
        <f>AN30/SUM(J30,Y61,AN30)</f>
        <v>0.1376655154463467</v>
      </c>
      <c r="AO61" s="14">
        <f>AO30/SUM(K30,Z61,AO30)</f>
        <v>0.12027107214074155</v>
      </c>
      <c r="AP61" s="14">
        <f>AP30/SUM(L30,AA61,AP30)</f>
        <v>7.0130390790553832E-2</v>
      </c>
      <c r="AQ61" s="14">
        <f>AQ30/SUM(M30,AB61,AQ30)</f>
        <v>8.7929232440371111E-2</v>
      </c>
      <c r="AR61" s="14">
        <f>AR30/SUM(N30,AC61,AR30)</f>
        <v>0.13646524398571089</v>
      </c>
      <c r="AS61" s="14">
        <f>AS30/SUM(O30,AD61,AS30)</f>
        <v>0.40428391648907913</v>
      </c>
      <c r="AT61" s="14">
        <f>AT30/SUM(P30,AE61,AT30)</f>
        <v>0.38599392686904077</v>
      </c>
      <c r="AU61" s="14">
        <f>AU30/SUM(Q30,AF61,AU30)</f>
        <v>0.36661385397582641</v>
      </c>
      <c r="AV61" s="14">
        <f>AV30/SUM(R30,AG61,AV30)</f>
        <v>0.39943816981894448</v>
      </c>
    </row>
    <row r="62" spans="5:48">
      <c r="E62" s="3" t="s">
        <v>47</v>
      </c>
      <c r="F62" s="13">
        <f t="shared" si="16"/>
        <v>0.71182053494391717</v>
      </c>
      <c r="G62" s="13">
        <f t="shared" si="17"/>
        <v>1</v>
      </c>
      <c r="H62" s="13">
        <f t="shared" si="18"/>
        <v>1</v>
      </c>
      <c r="I62" s="13">
        <f t="shared" si="19"/>
        <v>1</v>
      </c>
      <c r="J62" s="13">
        <f t="shared" si="20"/>
        <v>1</v>
      </c>
      <c r="K62" s="13">
        <f t="shared" si="21"/>
        <v>1</v>
      </c>
      <c r="L62" s="13">
        <f t="shared" si="22"/>
        <v>1</v>
      </c>
      <c r="M62" s="13">
        <f t="shared" si="23"/>
        <v>1</v>
      </c>
      <c r="N62" s="13">
        <f t="shared" si="24"/>
        <v>1</v>
      </c>
      <c r="O62" s="13">
        <f t="shared" si="25"/>
        <v>0.9247400109469075</v>
      </c>
      <c r="P62" s="13">
        <f t="shared" si="26"/>
        <v>0.9247524752475248</v>
      </c>
      <c r="Q62" s="13">
        <f t="shared" si="27"/>
        <v>0.92077028885832191</v>
      </c>
      <c r="R62" s="13">
        <f t="shared" si="28"/>
        <v>0.92609308885754582</v>
      </c>
      <c r="T62" s="7" t="s">
        <v>47</v>
      </c>
      <c r="U62" s="10">
        <f t="shared" si="2"/>
        <v>0</v>
      </c>
      <c r="V62" s="10">
        <f t="shared" si="8"/>
        <v>0</v>
      </c>
      <c r="W62" s="10">
        <f t="shared" si="9"/>
        <v>0</v>
      </c>
      <c r="X62" s="10">
        <f t="shared" si="10"/>
        <v>0</v>
      </c>
      <c r="Y62" s="10">
        <f t="shared" si="11"/>
        <v>0</v>
      </c>
      <c r="Z62" s="10">
        <f t="shared" si="12"/>
        <v>0</v>
      </c>
      <c r="AA62" s="10">
        <f t="shared" si="13"/>
        <v>0</v>
      </c>
      <c r="AB62" s="10">
        <f t="shared" si="14"/>
        <v>0</v>
      </c>
      <c r="AC62" s="10">
        <f t="shared" si="15"/>
        <v>0</v>
      </c>
      <c r="AD62" s="10">
        <f t="shared" si="3"/>
        <v>0</v>
      </c>
      <c r="AE62" s="10">
        <f t="shared" si="4"/>
        <v>0</v>
      </c>
      <c r="AF62" s="10">
        <f t="shared" si="5"/>
        <v>0</v>
      </c>
      <c r="AG62" s="10">
        <f t="shared" si="6"/>
        <v>0</v>
      </c>
      <c r="AI62" s="7" t="s">
        <v>47</v>
      </c>
      <c r="AJ62" s="10">
        <f>AJ31/SUM(F31,U62,AJ31)</f>
        <v>0.28817946505608283</v>
      </c>
      <c r="AK62" s="10">
        <f>AK31/SUM(G31,V62,AK31)</f>
        <v>0</v>
      </c>
      <c r="AL62" s="10">
        <f>AL31/SUM(H31,W62,AL31)</f>
        <v>0</v>
      </c>
      <c r="AM62" s="10">
        <f>AM31/SUM(I31,X62,AM31)</f>
        <v>0</v>
      </c>
      <c r="AN62" s="10">
        <f>AN31/SUM(J31,Y62,AN31)</f>
        <v>0</v>
      </c>
      <c r="AO62" s="10">
        <f>AO31/SUM(K31,Z62,AO31)</f>
        <v>0</v>
      </c>
      <c r="AP62" s="10">
        <f>AP31/SUM(L31,AA62,AP31)</f>
        <v>0</v>
      </c>
      <c r="AQ62" s="10">
        <f>AQ31/SUM(M31,AB62,AQ31)</f>
        <v>0</v>
      </c>
      <c r="AR62" s="10">
        <f>AR31/SUM(N31,AC62,AR31)</f>
        <v>0</v>
      </c>
      <c r="AS62" s="10">
        <f>AS31/SUM(O31,AD62,AS31)</f>
        <v>7.5259989053092502E-2</v>
      </c>
      <c r="AT62" s="10">
        <f>AT31/SUM(P31,AE62,AT31)</f>
        <v>7.5247524752475245E-2</v>
      </c>
      <c r="AU62" s="10">
        <f>AU31/SUM(Q31,AF62,AU31)</f>
        <v>7.9229711141678136E-2</v>
      </c>
      <c r="AV62" s="10">
        <f>AV31/SUM(R31,AG62,AV31)</f>
        <v>7.3906911142454165E-2</v>
      </c>
    </row>
  </sheetData>
  <mergeCells count="12">
    <mergeCell ref="E33:R33"/>
    <mergeCell ref="AI33:AV33"/>
    <mergeCell ref="A2:C2"/>
    <mergeCell ref="A11:C11"/>
    <mergeCell ref="B12:C12"/>
    <mergeCell ref="B13:C13"/>
    <mergeCell ref="T2:AG2"/>
    <mergeCell ref="B14:C14"/>
    <mergeCell ref="B15:C15"/>
    <mergeCell ref="E2:R2"/>
    <mergeCell ref="T33:AG33"/>
    <mergeCell ref="AI2:AV2"/>
  </mergeCells>
  <conditionalFormatting sqref="F35:R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5:AG6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5:AV62">
    <cfRule type="colorScale" priority="4">
      <colorScale>
        <cfvo type="min"/>
        <cfvo type="max"/>
        <color rgb="FFFCFCFF"/>
        <color rgb="FF63BE7B"/>
      </colorScale>
    </cfRule>
  </conditionalFormatting>
  <conditionalFormatting sqref="F4:R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AG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:AV31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2025-11-30T04:01:58Z</dcterms:created>
  <dcterms:modified xsi:type="dcterms:W3CDTF">2025-12-01T02:01:49Z</dcterms:modified>
  <cp:category/>
  <cp:contentStatus/>
</cp:coreProperties>
</file>