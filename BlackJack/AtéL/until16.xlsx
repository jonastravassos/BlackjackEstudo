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4EB3\EXCELCNV\e09129f7-77e5-4acc-ab0a-a7c5dd18eea5\"/>
    </mc:Choice>
  </mc:AlternateContent>
  <xr:revisionPtr revIDLastSave="143" documentId="8_{F22AA708-DD6C-4DD5-92CC-6B87ECA84DA5}" xr6:coauthVersionLast="47" xr6:coauthVersionMax="47" xr10:uidLastSave="{D264B22D-B4C2-4F83-AC0F-8FDFF234A983}"/>
  <bookViews>
    <workbookView xWindow="-60" yWindow="-60" windowWidth="15480" windowHeight="11640" xr2:uid="{D5E1392F-2CFE-40B6-95E6-C9DBA2F2E4C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6" i="1" l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T35" i="1"/>
  <c r="AU35" i="1"/>
  <c r="AV35" i="1"/>
  <c r="AW35" i="1"/>
  <c r="AK35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E35" i="1"/>
  <c r="AF35" i="1"/>
  <c r="AG35" i="1"/>
  <c r="AH35" i="1"/>
  <c r="V35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H36" i="1"/>
  <c r="I36" i="1"/>
  <c r="J36" i="1"/>
  <c r="K36" i="1"/>
  <c r="L36" i="1"/>
  <c r="M36" i="1"/>
  <c r="N36" i="1"/>
  <c r="O36" i="1"/>
  <c r="P36" i="1"/>
  <c r="Q36" i="1"/>
  <c r="R36" i="1"/>
  <c r="S36" i="1"/>
  <c r="G36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<sst xmlns="http://schemas.openxmlformats.org/spreadsheetml/2006/main" count="208" uniqueCount="48">
  <si>
    <t>RESULTADOS PRINCIPAIS</t>
  </si>
  <si>
    <t>RESULTADOS NUMÉRICOS DE VITÓRIAS</t>
  </si>
  <si>
    <t>RESULTADOS NUMÉRICOS DE DERROTAS</t>
  </si>
  <si>
    <t>RESULTADOS NUMÉRICOS DE EMPATES</t>
  </si>
  <si>
    <t>Vitórias</t>
  </si>
  <si>
    <t>A</t>
  </si>
  <si>
    <t>J</t>
  </si>
  <si>
    <t>Q</t>
  </si>
  <si>
    <t>K</t>
  </si>
  <si>
    <t>Derrotas</t>
  </si>
  <si>
    <t>4H</t>
  </si>
  <si>
    <t>Empates</t>
  </si>
  <si>
    <t>5H</t>
  </si>
  <si>
    <t>Busts do jogador</t>
  </si>
  <si>
    <t>6H</t>
  </si>
  <si>
    <t>Blackjacks do jogador</t>
  </si>
  <si>
    <t>7H</t>
  </si>
  <si>
    <t>Busts do dealer</t>
  </si>
  <si>
    <t>8H</t>
  </si>
  <si>
    <t>Blackjacks do dealer</t>
  </si>
  <si>
    <t>9H</t>
  </si>
  <si>
    <t>Saldo inicial (R$ 1,00 por aposta)</t>
  </si>
  <si>
    <t>10H</t>
  </si>
  <si>
    <t xml:space="preserve">Saldo final 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</si>
  <si>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</si>
  <si>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</si>
  <si>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</si>
  <si>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</si>
  <si>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</si>
  <si>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</si>
  <si>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</si>
  <si>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</si>
  <si>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</si>
  <si>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</si>
  <si>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</si>
  <si>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</si>
  <si>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</si>
  <si>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</si>
  <si>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</si>
  <si>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</si>
  <si>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</si>
  <si>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</si>
  <si>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</si>
  <si>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</si>
  <si>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</si>
  <si>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RESULTADOS PERCENTUAIS DE VITÓRIAS</t>
  </si>
  <si>
    <t>RESULTADOS PERCENTUAIS DE DERROTAS</t>
  </si>
  <si>
    <t>RESULTADOS PERCENTUAIS DE EMPATES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</si>
</sst>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0" fontId="0" fillId="0" borderId="0" xfId="0" applyNumberFormat="1"/>
    <xf numFmtId="164" fontId="0" fillId="0" borderId="0" xfId="0" applyNumberFormat="1" applyAlignment="1">
      <alignment horizontal="center"/>
    </xf>
    <xf numFmtId="0" fontId="16" fillId="0" borderId="0" xfId="0" applyFont="1" applyAlignment="1"/>
    <xf numFmtId="164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0" fillId="0" borderId="10" xfId="0" applyBorder="1"/>
    <xf numFmtId="0" fontId="19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/>
    <xf numFmtId="0" fontId="18" fillId="0" borderId="10" xfId="0" applyFont="1" applyBorder="1" applyAlignment="1"/>
    <xf numFmtId="10" fontId="0" fillId="0" borderId="10" xfId="0" applyNumberFormat="1" applyBorder="1"/>
    <xf numFmtId="10" fontId="18" fillId="0" borderId="10" xfId="0" applyNumberFormat="1" applyFont="1" applyBorder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5347-B0FF-47BF-976A-39C7C5472F37}">
  <dimension ref="A2:AW62"/>
  <sheetViews>
    <sheetView tabSelected="1" workbookViewId="0">
      <selection activeCell="D15" sqref="D15"/>
    </sheetView>
  </sheetViews>
  <sheetFormatPr defaultRowHeight="15"/>
  <cols>
    <col min="1" max="1" width="11.140625" bestFit="1" customWidth="1"/>
  </cols>
  <sheetData>
    <row r="2" spans="1:49">
      <c r="A2" s="5" t="s">
        <v>0</v>
      </c>
      <c r="B2" s="5"/>
      <c r="C2" s="5"/>
      <c r="D2" s="5"/>
      <c r="F2" s="6" t="s">
        <v>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U2" s="6" t="s">
        <v>2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J2" s="6" t="s">
        <v>3</v>
      </c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>
      <c r="A3" s="3" t="s">
        <v>4</v>
      </c>
      <c r="B3" s="3"/>
      <c r="C3">
        <v>405700</v>
      </c>
      <c r="D3" s="1">
        <f>C3/1000000</f>
        <v>0.40570000000000001</v>
      </c>
      <c r="F3" s="7"/>
      <c r="G3" s="7" t="s">
        <v>5</v>
      </c>
      <c r="H3" s="7">
        <v>2</v>
      </c>
      <c r="I3" s="7">
        <v>3</v>
      </c>
      <c r="J3" s="7">
        <v>4</v>
      </c>
      <c r="K3" s="7">
        <v>5</v>
      </c>
      <c r="L3" s="7">
        <v>6</v>
      </c>
      <c r="M3" s="7">
        <v>7</v>
      </c>
      <c r="N3" s="7">
        <v>8</v>
      </c>
      <c r="O3" s="7">
        <v>9</v>
      </c>
      <c r="P3" s="7">
        <v>10</v>
      </c>
      <c r="Q3" s="7" t="s">
        <v>6</v>
      </c>
      <c r="R3" s="7" t="s">
        <v>7</v>
      </c>
      <c r="S3" s="7" t="s">
        <v>8</v>
      </c>
      <c r="U3" s="10"/>
      <c r="V3" s="10" t="s">
        <v>5</v>
      </c>
      <c r="W3" s="10">
        <v>2</v>
      </c>
      <c r="X3" s="10">
        <v>3</v>
      </c>
      <c r="Y3" s="10">
        <v>4</v>
      </c>
      <c r="Z3" s="10">
        <v>5</v>
      </c>
      <c r="AA3" s="10">
        <v>6</v>
      </c>
      <c r="AB3" s="10">
        <v>7</v>
      </c>
      <c r="AC3" s="10">
        <v>8</v>
      </c>
      <c r="AD3" s="10">
        <v>9</v>
      </c>
      <c r="AE3" s="10">
        <v>10</v>
      </c>
      <c r="AF3" s="10" t="s">
        <v>6</v>
      </c>
      <c r="AG3" s="10" t="s">
        <v>7</v>
      </c>
      <c r="AH3" s="10" t="s">
        <v>8</v>
      </c>
      <c r="AJ3" s="11"/>
      <c r="AK3" s="10" t="s">
        <v>5</v>
      </c>
      <c r="AL3" s="10">
        <v>2</v>
      </c>
      <c r="AM3" s="10">
        <v>3</v>
      </c>
      <c r="AN3" s="10">
        <v>4</v>
      </c>
      <c r="AO3" s="10">
        <v>5</v>
      </c>
      <c r="AP3" s="10">
        <v>6</v>
      </c>
      <c r="AQ3" s="10">
        <v>7</v>
      </c>
      <c r="AR3" s="10">
        <v>8</v>
      </c>
      <c r="AS3" s="10">
        <v>9</v>
      </c>
      <c r="AT3" s="10">
        <v>10</v>
      </c>
      <c r="AU3" s="10" t="s">
        <v>6</v>
      </c>
      <c r="AV3" s="10" t="s">
        <v>7</v>
      </c>
      <c r="AW3" s="10" t="s">
        <v>8</v>
      </c>
    </row>
    <row r="4" spans="1:49">
      <c r="A4" s="3" t="s">
        <v>9</v>
      </c>
      <c r="B4" s="3"/>
      <c r="C4">
        <v>511747</v>
      </c>
      <c r="D4" s="1">
        <f t="shared" ref="D4:D9" si="0">C4/1000000</f>
        <v>0.51174699999999995</v>
      </c>
      <c r="F4" s="8" t="s">
        <v>10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U4" s="11" t="s">
        <v>10</v>
      </c>
      <c r="V4" s="12">
        <v>136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39</v>
      </c>
      <c r="AF4" s="12">
        <v>28</v>
      </c>
      <c r="AG4" s="12">
        <v>26</v>
      </c>
      <c r="AH4" s="12">
        <v>33</v>
      </c>
      <c r="AJ4" s="11" t="s">
        <v>10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</row>
    <row r="5" spans="1:49">
      <c r="A5" s="3" t="s">
        <v>11</v>
      </c>
      <c r="B5" s="3"/>
      <c r="C5">
        <v>82553</v>
      </c>
      <c r="D5" s="1">
        <f t="shared" si="0"/>
        <v>8.2553000000000001E-2</v>
      </c>
      <c r="F5" s="8" t="s">
        <v>12</v>
      </c>
      <c r="G5" s="9">
        <v>4</v>
      </c>
      <c r="H5" s="9">
        <v>25</v>
      </c>
      <c r="I5" s="9">
        <v>29</v>
      </c>
      <c r="J5" s="9">
        <v>22</v>
      </c>
      <c r="K5" s="9">
        <v>36</v>
      </c>
      <c r="L5" s="9">
        <v>37</v>
      </c>
      <c r="M5" s="9">
        <v>24</v>
      </c>
      <c r="N5" s="9">
        <v>16</v>
      </c>
      <c r="O5" s="9">
        <v>23</v>
      </c>
      <c r="P5" s="9">
        <v>18</v>
      </c>
      <c r="Q5" s="9">
        <v>18</v>
      </c>
      <c r="R5" s="9">
        <v>14</v>
      </c>
      <c r="S5" s="9">
        <v>11</v>
      </c>
      <c r="U5" s="11" t="s">
        <v>12</v>
      </c>
      <c r="V5" s="12">
        <v>331</v>
      </c>
      <c r="W5" s="12">
        <v>54</v>
      </c>
      <c r="X5" s="12">
        <v>30</v>
      </c>
      <c r="Y5" s="12">
        <v>49</v>
      </c>
      <c r="Z5" s="12">
        <v>57</v>
      </c>
      <c r="AA5" s="12">
        <v>40</v>
      </c>
      <c r="AB5" s="12">
        <v>46</v>
      </c>
      <c r="AC5" s="12">
        <v>47</v>
      </c>
      <c r="AD5" s="12">
        <v>43</v>
      </c>
      <c r="AE5" s="12">
        <v>133</v>
      </c>
      <c r="AF5" s="12">
        <v>126</v>
      </c>
      <c r="AG5" s="12">
        <v>142</v>
      </c>
      <c r="AH5" s="12">
        <v>120</v>
      </c>
      <c r="AJ5" s="11" t="s">
        <v>12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</row>
    <row r="6" spans="1:49">
      <c r="A6" s="3" t="s">
        <v>13</v>
      </c>
      <c r="B6" s="3"/>
      <c r="C6">
        <v>224571</v>
      </c>
      <c r="D6" s="1">
        <f t="shared" si="0"/>
        <v>0.22457099999999999</v>
      </c>
      <c r="F6" s="8" t="s">
        <v>14</v>
      </c>
      <c r="G6" s="9">
        <v>50</v>
      </c>
      <c r="H6" s="9">
        <v>194</v>
      </c>
      <c r="I6" s="9">
        <v>174</v>
      </c>
      <c r="J6" s="9">
        <v>200</v>
      </c>
      <c r="K6" s="9">
        <v>212</v>
      </c>
      <c r="L6" s="9">
        <v>215</v>
      </c>
      <c r="M6" s="9">
        <v>142</v>
      </c>
      <c r="N6" s="9">
        <v>146</v>
      </c>
      <c r="O6" s="9">
        <v>123</v>
      </c>
      <c r="P6" s="9">
        <v>101</v>
      </c>
      <c r="Q6" s="9">
        <v>125</v>
      </c>
      <c r="R6" s="9">
        <v>124</v>
      </c>
      <c r="S6" s="9">
        <v>118</v>
      </c>
      <c r="U6" s="11" t="s">
        <v>14</v>
      </c>
      <c r="V6" s="12">
        <v>738</v>
      </c>
      <c r="W6" s="12">
        <v>341</v>
      </c>
      <c r="X6" s="12">
        <v>327</v>
      </c>
      <c r="Y6" s="12">
        <v>278</v>
      </c>
      <c r="Z6" s="12">
        <v>293</v>
      </c>
      <c r="AA6" s="12">
        <v>329</v>
      </c>
      <c r="AB6" s="12">
        <v>378</v>
      </c>
      <c r="AC6" s="12">
        <v>355</v>
      </c>
      <c r="AD6" s="12">
        <v>420</v>
      </c>
      <c r="AE6" s="12">
        <v>493</v>
      </c>
      <c r="AF6" s="12">
        <v>468</v>
      </c>
      <c r="AG6" s="12">
        <v>520</v>
      </c>
      <c r="AH6" s="12">
        <v>456</v>
      </c>
      <c r="AJ6" s="11" t="s">
        <v>14</v>
      </c>
      <c r="AK6" s="12">
        <v>17</v>
      </c>
      <c r="AL6" s="12">
        <v>19</v>
      </c>
      <c r="AM6" s="12">
        <v>11</v>
      </c>
      <c r="AN6" s="12">
        <v>13</v>
      </c>
      <c r="AO6" s="12">
        <v>22</v>
      </c>
      <c r="AP6" s="12">
        <v>19</v>
      </c>
      <c r="AQ6" s="12">
        <v>44</v>
      </c>
      <c r="AR6" s="12">
        <v>11</v>
      </c>
      <c r="AS6" s="12">
        <v>10</v>
      </c>
      <c r="AT6" s="12">
        <v>9</v>
      </c>
      <c r="AU6" s="12">
        <v>13</v>
      </c>
      <c r="AV6" s="12">
        <v>9</v>
      </c>
      <c r="AW6" s="12">
        <v>10</v>
      </c>
    </row>
    <row r="7" spans="1:49">
      <c r="A7" s="3" t="s">
        <v>15</v>
      </c>
      <c r="B7" s="3"/>
      <c r="C7">
        <v>47633</v>
      </c>
      <c r="D7" s="1">
        <f t="shared" si="0"/>
        <v>4.7633000000000002E-2</v>
      </c>
      <c r="F7" s="8" t="s">
        <v>16</v>
      </c>
      <c r="G7" s="9">
        <v>136</v>
      </c>
      <c r="H7" s="9">
        <v>347</v>
      </c>
      <c r="I7" s="9">
        <v>347</v>
      </c>
      <c r="J7" s="9">
        <v>379</v>
      </c>
      <c r="K7" s="9">
        <v>372</v>
      </c>
      <c r="L7" s="9">
        <v>419</v>
      </c>
      <c r="M7" s="9">
        <v>298</v>
      </c>
      <c r="N7" s="9">
        <v>219</v>
      </c>
      <c r="O7" s="9">
        <v>220</v>
      </c>
      <c r="P7" s="9">
        <v>220</v>
      </c>
      <c r="Q7" s="9">
        <v>227</v>
      </c>
      <c r="R7" s="9">
        <v>190</v>
      </c>
      <c r="S7" s="9">
        <v>216</v>
      </c>
      <c r="U7" s="11" t="s">
        <v>16</v>
      </c>
      <c r="V7" s="12">
        <v>927</v>
      </c>
      <c r="W7" s="12">
        <v>432</v>
      </c>
      <c r="X7" s="12">
        <v>442</v>
      </c>
      <c r="Y7" s="12">
        <v>444</v>
      </c>
      <c r="Z7" s="12">
        <v>386</v>
      </c>
      <c r="AA7" s="12">
        <v>388</v>
      </c>
      <c r="AB7" s="12">
        <v>354</v>
      </c>
      <c r="AC7" s="12">
        <v>559</v>
      </c>
      <c r="AD7" s="12">
        <v>618</v>
      </c>
      <c r="AE7" s="12">
        <v>686</v>
      </c>
      <c r="AF7" s="12">
        <v>650</v>
      </c>
      <c r="AG7" s="12">
        <v>652</v>
      </c>
      <c r="AH7" s="12">
        <v>755</v>
      </c>
      <c r="AJ7" s="11" t="s">
        <v>16</v>
      </c>
      <c r="AK7" s="12">
        <v>104</v>
      </c>
      <c r="AL7" s="12">
        <v>106</v>
      </c>
      <c r="AM7" s="12">
        <v>86</v>
      </c>
      <c r="AN7" s="12">
        <v>97</v>
      </c>
      <c r="AO7" s="12">
        <v>71</v>
      </c>
      <c r="AP7" s="12">
        <v>106</v>
      </c>
      <c r="AQ7" s="12">
        <v>261</v>
      </c>
      <c r="AR7" s="12">
        <v>130</v>
      </c>
      <c r="AS7" s="12">
        <v>88</v>
      </c>
      <c r="AT7" s="12">
        <v>88</v>
      </c>
      <c r="AU7" s="12">
        <v>76</v>
      </c>
      <c r="AV7" s="12">
        <v>86</v>
      </c>
      <c r="AW7" s="12">
        <v>80</v>
      </c>
    </row>
    <row r="8" spans="1:49">
      <c r="A8" s="3" t="s">
        <v>17</v>
      </c>
      <c r="B8" s="3"/>
      <c r="C8">
        <v>185938</v>
      </c>
      <c r="D8" s="1">
        <f t="shared" si="0"/>
        <v>0.18593799999999999</v>
      </c>
      <c r="F8" s="8" t="s">
        <v>18</v>
      </c>
      <c r="G8" s="9">
        <v>297</v>
      </c>
      <c r="H8" s="9">
        <v>639</v>
      </c>
      <c r="I8" s="9">
        <v>669</v>
      </c>
      <c r="J8" s="9">
        <v>648</v>
      </c>
      <c r="K8" s="9">
        <v>725</v>
      </c>
      <c r="L8" s="9">
        <v>800</v>
      </c>
      <c r="M8" s="9">
        <v>726</v>
      </c>
      <c r="N8" s="9">
        <v>512</v>
      </c>
      <c r="O8" s="9">
        <v>456</v>
      </c>
      <c r="P8" s="9">
        <v>420</v>
      </c>
      <c r="Q8" s="9">
        <v>410</v>
      </c>
      <c r="R8" s="9">
        <v>426</v>
      </c>
      <c r="S8" s="9">
        <v>408</v>
      </c>
      <c r="U8" s="11" t="s">
        <v>18</v>
      </c>
      <c r="V8" s="12">
        <v>1164</v>
      </c>
      <c r="W8" s="12">
        <v>513</v>
      </c>
      <c r="X8" s="12">
        <v>523</v>
      </c>
      <c r="Y8" s="12">
        <v>477</v>
      </c>
      <c r="Z8" s="12">
        <v>496</v>
      </c>
      <c r="AA8" s="12">
        <v>453</v>
      </c>
      <c r="AB8" s="12">
        <v>413</v>
      </c>
      <c r="AC8" s="12">
        <v>524</v>
      </c>
      <c r="AD8" s="12">
        <v>672</v>
      </c>
      <c r="AE8" s="12">
        <v>842</v>
      </c>
      <c r="AF8" s="12">
        <v>878</v>
      </c>
      <c r="AG8" s="12">
        <v>916</v>
      </c>
      <c r="AH8" s="12">
        <v>851</v>
      </c>
      <c r="AJ8" s="11" t="s">
        <v>18</v>
      </c>
      <c r="AK8" s="12">
        <v>132</v>
      </c>
      <c r="AL8" s="12">
        <v>167</v>
      </c>
      <c r="AM8" s="12">
        <v>139</v>
      </c>
      <c r="AN8" s="12">
        <v>132</v>
      </c>
      <c r="AO8" s="12">
        <v>134</v>
      </c>
      <c r="AP8" s="12">
        <v>133</v>
      </c>
      <c r="AQ8" s="12">
        <v>182</v>
      </c>
      <c r="AR8" s="12">
        <v>293</v>
      </c>
      <c r="AS8" s="12">
        <v>170</v>
      </c>
      <c r="AT8" s="12">
        <v>132</v>
      </c>
      <c r="AU8" s="12">
        <v>133</v>
      </c>
      <c r="AV8" s="12">
        <v>147</v>
      </c>
      <c r="AW8" s="12">
        <v>114</v>
      </c>
    </row>
    <row r="9" spans="1:49">
      <c r="A9" s="3" t="s">
        <v>19</v>
      </c>
      <c r="B9" s="3"/>
      <c r="C9">
        <v>47594</v>
      </c>
      <c r="D9" s="1">
        <f t="shared" si="0"/>
        <v>4.7593999999999997E-2</v>
      </c>
      <c r="F9" s="8" t="s">
        <v>20</v>
      </c>
      <c r="G9" s="9">
        <v>588</v>
      </c>
      <c r="H9" s="9">
        <v>1046</v>
      </c>
      <c r="I9" s="9">
        <v>1100</v>
      </c>
      <c r="J9" s="9">
        <v>1119</v>
      </c>
      <c r="K9" s="9">
        <v>1150</v>
      </c>
      <c r="L9" s="9">
        <v>1167</v>
      </c>
      <c r="M9" s="9">
        <v>1200</v>
      </c>
      <c r="N9" s="9">
        <v>1075</v>
      </c>
      <c r="O9" s="9">
        <v>824</v>
      </c>
      <c r="P9" s="9">
        <v>761</v>
      </c>
      <c r="Q9" s="9">
        <v>742</v>
      </c>
      <c r="R9" s="9">
        <v>724</v>
      </c>
      <c r="S9" s="9">
        <v>760</v>
      </c>
      <c r="U9" s="11" t="s">
        <v>20</v>
      </c>
      <c r="V9" s="12">
        <v>1308</v>
      </c>
      <c r="W9" s="12">
        <v>629</v>
      </c>
      <c r="X9" s="12">
        <v>611</v>
      </c>
      <c r="Y9" s="12">
        <v>581</v>
      </c>
      <c r="Z9" s="12">
        <v>587</v>
      </c>
      <c r="AA9" s="12">
        <v>522</v>
      </c>
      <c r="AB9" s="12">
        <v>498</v>
      </c>
      <c r="AC9" s="12">
        <v>541</v>
      </c>
      <c r="AD9" s="12">
        <v>630</v>
      </c>
      <c r="AE9" s="12">
        <v>994</v>
      </c>
      <c r="AF9" s="12">
        <v>987</v>
      </c>
      <c r="AG9" s="12">
        <v>1067</v>
      </c>
      <c r="AH9" s="12">
        <v>932</v>
      </c>
      <c r="AJ9" s="11" t="s">
        <v>20</v>
      </c>
      <c r="AK9" s="12">
        <v>214</v>
      </c>
      <c r="AL9" s="12">
        <v>214</v>
      </c>
      <c r="AM9" s="12">
        <v>206</v>
      </c>
      <c r="AN9" s="12">
        <v>174</v>
      </c>
      <c r="AO9" s="12">
        <v>198</v>
      </c>
      <c r="AP9" s="12">
        <v>205</v>
      </c>
      <c r="AQ9" s="12">
        <v>195</v>
      </c>
      <c r="AR9" s="12">
        <v>277</v>
      </c>
      <c r="AS9" s="12">
        <v>412</v>
      </c>
      <c r="AT9" s="12">
        <v>223</v>
      </c>
      <c r="AU9" s="12">
        <v>238</v>
      </c>
      <c r="AV9" s="12">
        <v>274</v>
      </c>
      <c r="AW9" s="12">
        <v>217</v>
      </c>
    </row>
    <row r="10" spans="1:49">
      <c r="A10" s="3" t="s">
        <v>21</v>
      </c>
      <c r="B10" s="3"/>
      <c r="C10" s="3"/>
      <c r="D10" s="2">
        <v>0</v>
      </c>
      <c r="F10" s="8" t="s">
        <v>22</v>
      </c>
      <c r="G10" s="9">
        <v>1025</v>
      </c>
      <c r="H10" s="9">
        <v>1704</v>
      </c>
      <c r="I10" s="9">
        <v>1696</v>
      </c>
      <c r="J10" s="9">
        <v>1786</v>
      </c>
      <c r="K10" s="9">
        <v>1729</v>
      </c>
      <c r="L10" s="9">
        <v>1859</v>
      </c>
      <c r="M10" s="9">
        <v>1809</v>
      </c>
      <c r="N10" s="9">
        <v>1731</v>
      </c>
      <c r="O10" s="9">
        <v>1641</v>
      </c>
      <c r="P10" s="9">
        <v>1276</v>
      </c>
      <c r="Q10" s="9">
        <v>1245</v>
      </c>
      <c r="R10" s="9">
        <v>1226</v>
      </c>
      <c r="S10" s="9">
        <v>1197</v>
      </c>
      <c r="U10" s="11" t="s">
        <v>22</v>
      </c>
      <c r="V10" s="12">
        <v>1463</v>
      </c>
      <c r="W10" s="12">
        <v>612</v>
      </c>
      <c r="X10" s="12">
        <v>656</v>
      </c>
      <c r="Y10" s="12">
        <v>579</v>
      </c>
      <c r="Z10" s="12">
        <v>577</v>
      </c>
      <c r="AA10" s="12">
        <v>510</v>
      </c>
      <c r="AB10" s="12">
        <v>506</v>
      </c>
      <c r="AC10" s="12">
        <v>651</v>
      </c>
      <c r="AD10" s="12">
        <v>704</v>
      </c>
      <c r="AE10" s="12">
        <v>938</v>
      </c>
      <c r="AF10" s="12">
        <v>921</v>
      </c>
      <c r="AG10" s="12">
        <v>919</v>
      </c>
      <c r="AH10" s="12">
        <v>869</v>
      </c>
      <c r="AJ10" s="11" t="s">
        <v>22</v>
      </c>
      <c r="AK10" s="12">
        <v>295</v>
      </c>
      <c r="AL10" s="12">
        <v>225</v>
      </c>
      <c r="AM10" s="12">
        <v>248</v>
      </c>
      <c r="AN10" s="12">
        <v>243</v>
      </c>
      <c r="AO10" s="12">
        <v>257</v>
      </c>
      <c r="AP10" s="12">
        <v>226</v>
      </c>
      <c r="AQ10" s="12">
        <v>282</v>
      </c>
      <c r="AR10" s="12">
        <v>284</v>
      </c>
      <c r="AS10" s="12">
        <v>314</v>
      </c>
      <c r="AT10" s="12">
        <v>508</v>
      </c>
      <c r="AU10" s="12">
        <v>509</v>
      </c>
      <c r="AV10" s="12">
        <v>502</v>
      </c>
      <c r="AW10" s="12">
        <v>495</v>
      </c>
    </row>
    <row r="11" spans="1:49">
      <c r="A11" s="3" t="s">
        <v>23</v>
      </c>
      <c r="B11" s="3"/>
      <c r="C11" s="4">
        <v>-128766.5</v>
      </c>
      <c r="D11" s="4"/>
      <c r="F11" s="8" t="s">
        <v>24</v>
      </c>
      <c r="G11" s="9">
        <v>1444</v>
      </c>
      <c r="H11" s="9">
        <v>2207</v>
      </c>
      <c r="I11" s="9">
        <v>2299</v>
      </c>
      <c r="J11" s="9">
        <v>2379</v>
      </c>
      <c r="K11" s="9">
        <v>2300</v>
      </c>
      <c r="L11" s="9">
        <v>2353</v>
      </c>
      <c r="M11" s="9">
        <v>2311</v>
      </c>
      <c r="N11" s="9">
        <v>2193</v>
      </c>
      <c r="O11" s="9">
        <v>2028</v>
      </c>
      <c r="P11" s="9">
        <v>1888</v>
      </c>
      <c r="Q11" s="9">
        <v>1832</v>
      </c>
      <c r="R11" s="9">
        <v>1814</v>
      </c>
      <c r="S11" s="9">
        <v>1917</v>
      </c>
      <c r="U11" s="11" t="s">
        <v>24</v>
      </c>
      <c r="V11" s="12">
        <v>1936</v>
      </c>
      <c r="W11" s="12">
        <v>985</v>
      </c>
      <c r="X11" s="12">
        <v>950</v>
      </c>
      <c r="Y11" s="12">
        <v>899</v>
      </c>
      <c r="Z11" s="12">
        <v>919</v>
      </c>
      <c r="AA11" s="12">
        <v>859</v>
      </c>
      <c r="AB11" s="12">
        <v>846</v>
      </c>
      <c r="AC11" s="12">
        <v>970</v>
      </c>
      <c r="AD11" s="12">
        <v>1079</v>
      </c>
      <c r="AE11" s="12">
        <v>1387</v>
      </c>
      <c r="AF11" s="12">
        <v>1338</v>
      </c>
      <c r="AG11" s="12">
        <v>1398</v>
      </c>
      <c r="AH11" s="12">
        <v>1402</v>
      </c>
      <c r="AJ11" s="11" t="s">
        <v>24</v>
      </c>
      <c r="AK11" s="12">
        <v>184</v>
      </c>
      <c r="AL11" s="12">
        <v>201</v>
      </c>
      <c r="AM11" s="12">
        <v>177</v>
      </c>
      <c r="AN11" s="12">
        <v>164</v>
      </c>
      <c r="AO11" s="12">
        <v>173</v>
      </c>
      <c r="AP11" s="12">
        <v>167</v>
      </c>
      <c r="AQ11" s="12">
        <v>252</v>
      </c>
      <c r="AR11" s="12">
        <v>208</v>
      </c>
      <c r="AS11" s="12">
        <v>237</v>
      </c>
      <c r="AT11" s="12">
        <v>247</v>
      </c>
      <c r="AU11" s="12">
        <v>232</v>
      </c>
      <c r="AV11" s="12">
        <v>237</v>
      </c>
      <c r="AW11" s="12">
        <v>221</v>
      </c>
    </row>
    <row r="12" spans="1:49">
      <c r="F12" s="8" t="s">
        <v>25</v>
      </c>
      <c r="G12" s="9">
        <v>1306</v>
      </c>
      <c r="H12" s="9">
        <v>2207</v>
      </c>
      <c r="I12" s="9">
        <v>2169</v>
      </c>
      <c r="J12" s="9">
        <v>2250</v>
      </c>
      <c r="K12" s="9">
        <v>2285</v>
      </c>
      <c r="L12" s="9">
        <v>2366</v>
      </c>
      <c r="M12" s="9">
        <v>2222</v>
      </c>
      <c r="N12" s="9">
        <v>2044</v>
      </c>
      <c r="O12" s="9">
        <v>1928</v>
      </c>
      <c r="P12" s="9">
        <v>1645</v>
      </c>
      <c r="Q12" s="9">
        <v>1624</v>
      </c>
      <c r="R12" s="9">
        <v>1577</v>
      </c>
      <c r="S12" s="9">
        <v>1592</v>
      </c>
      <c r="U12" s="11" t="s">
        <v>25</v>
      </c>
      <c r="V12" s="12">
        <v>5291</v>
      </c>
      <c r="W12" s="12">
        <v>4130</v>
      </c>
      <c r="X12" s="12">
        <v>4095</v>
      </c>
      <c r="Y12" s="12">
        <v>4082</v>
      </c>
      <c r="Z12" s="12">
        <v>4027</v>
      </c>
      <c r="AA12" s="12">
        <v>3917</v>
      </c>
      <c r="AB12" s="12">
        <v>3980</v>
      </c>
      <c r="AC12" s="12">
        <v>4143</v>
      </c>
      <c r="AD12" s="12">
        <v>4408</v>
      </c>
      <c r="AE12" s="12">
        <v>4773</v>
      </c>
      <c r="AF12" s="12">
        <v>4582</v>
      </c>
      <c r="AG12" s="12">
        <v>4478</v>
      </c>
      <c r="AH12" s="12">
        <v>4744</v>
      </c>
      <c r="AJ12" s="11" t="s">
        <v>25</v>
      </c>
      <c r="AK12" s="12">
        <v>324</v>
      </c>
      <c r="AL12" s="12">
        <v>320</v>
      </c>
      <c r="AM12" s="12">
        <v>312</v>
      </c>
      <c r="AN12" s="12">
        <v>269</v>
      </c>
      <c r="AO12" s="12">
        <v>284</v>
      </c>
      <c r="AP12" s="12">
        <v>291</v>
      </c>
      <c r="AQ12" s="12">
        <v>378</v>
      </c>
      <c r="AR12" s="12">
        <v>403</v>
      </c>
      <c r="AS12" s="12">
        <v>439</v>
      </c>
      <c r="AT12" s="12">
        <v>402</v>
      </c>
      <c r="AU12" s="12">
        <v>393</v>
      </c>
      <c r="AV12" s="12">
        <v>419</v>
      </c>
      <c r="AW12" s="12">
        <v>425</v>
      </c>
    </row>
    <row r="13" spans="1:49">
      <c r="F13" s="8" t="s">
        <v>26</v>
      </c>
      <c r="G13" s="9">
        <v>1187</v>
      </c>
      <c r="H13" s="9">
        <v>2139</v>
      </c>
      <c r="I13" s="9">
        <v>2159</v>
      </c>
      <c r="J13" s="9">
        <v>2234</v>
      </c>
      <c r="K13" s="9">
        <v>2234</v>
      </c>
      <c r="L13" s="9">
        <v>2314</v>
      </c>
      <c r="M13" s="9">
        <v>2274</v>
      </c>
      <c r="N13" s="9">
        <v>2095</v>
      </c>
      <c r="O13" s="9">
        <v>1925</v>
      </c>
      <c r="P13" s="9">
        <v>1554</v>
      </c>
      <c r="Q13" s="9">
        <v>1582</v>
      </c>
      <c r="R13" s="9">
        <v>1552</v>
      </c>
      <c r="S13" s="9">
        <v>1631</v>
      </c>
      <c r="U13" s="11" t="s">
        <v>26</v>
      </c>
      <c r="V13" s="12">
        <v>5339</v>
      </c>
      <c r="W13" s="12">
        <v>4659</v>
      </c>
      <c r="X13" s="12">
        <v>4655</v>
      </c>
      <c r="Y13" s="12">
        <v>4737</v>
      </c>
      <c r="Z13" s="12">
        <v>4702</v>
      </c>
      <c r="AA13" s="12">
        <v>4586</v>
      </c>
      <c r="AB13" s="12">
        <v>4580</v>
      </c>
      <c r="AC13" s="12">
        <v>4711</v>
      </c>
      <c r="AD13" s="12">
        <v>4848</v>
      </c>
      <c r="AE13" s="12">
        <v>5024</v>
      </c>
      <c r="AF13" s="12">
        <v>5258</v>
      </c>
      <c r="AG13" s="12">
        <v>5189</v>
      </c>
      <c r="AH13" s="12">
        <v>5212</v>
      </c>
      <c r="AJ13" s="11" t="s">
        <v>26</v>
      </c>
      <c r="AK13" s="12">
        <v>285</v>
      </c>
      <c r="AL13" s="12">
        <v>309</v>
      </c>
      <c r="AM13" s="12">
        <v>314</v>
      </c>
      <c r="AN13" s="12">
        <v>259</v>
      </c>
      <c r="AO13" s="12">
        <v>288</v>
      </c>
      <c r="AP13" s="12">
        <v>296</v>
      </c>
      <c r="AQ13" s="12">
        <v>398</v>
      </c>
      <c r="AR13" s="12">
        <v>417</v>
      </c>
      <c r="AS13" s="12">
        <v>426</v>
      </c>
      <c r="AT13" s="12">
        <v>368</v>
      </c>
      <c r="AU13" s="12">
        <v>446</v>
      </c>
      <c r="AV13" s="12">
        <v>414</v>
      </c>
      <c r="AW13" s="12">
        <v>440</v>
      </c>
    </row>
    <row r="14" spans="1:49">
      <c r="F14" s="8" t="s">
        <v>27</v>
      </c>
      <c r="G14" s="9">
        <v>1270</v>
      </c>
      <c r="H14" s="9">
        <v>2260</v>
      </c>
      <c r="I14" s="9">
        <v>2379</v>
      </c>
      <c r="J14" s="9">
        <v>2281</v>
      </c>
      <c r="K14" s="9">
        <v>2313</v>
      </c>
      <c r="L14" s="9">
        <v>2367</v>
      </c>
      <c r="M14" s="9">
        <v>2312</v>
      </c>
      <c r="N14" s="9">
        <v>2166</v>
      </c>
      <c r="O14" s="9">
        <v>1906</v>
      </c>
      <c r="P14" s="9">
        <v>1615</v>
      </c>
      <c r="Q14" s="9">
        <v>1597</v>
      </c>
      <c r="R14" s="9">
        <v>1698</v>
      </c>
      <c r="S14" s="9">
        <v>1576</v>
      </c>
      <c r="U14" s="11" t="s">
        <v>27</v>
      </c>
      <c r="V14" s="12">
        <v>5922</v>
      </c>
      <c r="W14" s="12">
        <v>5509</v>
      </c>
      <c r="X14" s="12">
        <v>5436</v>
      </c>
      <c r="Y14" s="12">
        <v>5277</v>
      </c>
      <c r="Z14" s="12">
        <v>5527</v>
      </c>
      <c r="AA14" s="12">
        <v>5331</v>
      </c>
      <c r="AB14" s="12">
        <v>5336</v>
      </c>
      <c r="AC14" s="12">
        <v>5385</v>
      </c>
      <c r="AD14" s="12">
        <v>5761</v>
      </c>
      <c r="AE14" s="12">
        <v>5830</v>
      </c>
      <c r="AF14" s="12">
        <v>5918</v>
      </c>
      <c r="AG14" s="12">
        <v>5755</v>
      </c>
      <c r="AH14" s="12">
        <v>5820</v>
      </c>
      <c r="AJ14" s="11" t="s">
        <v>27</v>
      </c>
      <c r="AK14" s="12">
        <v>323</v>
      </c>
      <c r="AL14" s="12">
        <v>342</v>
      </c>
      <c r="AM14" s="12">
        <v>291</v>
      </c>
      <c r="AN14" s="12">
        <v>270</v>
      </c>
      <c r="AO14" s="12">
        <v>292</v>
      </c>
      <c r="AP14" s="12">
        <v>287</v>
      </c>
      <c r="AQ14" s="12">
        <v>410</v>
      </c>
      <c r="AR14" s="12">
        <v>404</v>
      </c>
      <c r="AS14" s="12">
        <v>439</v>
      </c>
      <c r="AT14" s="12">
        <v>440</v>
      </c>
      <c r="AU14" s="12">
        <v>392</v>
      </c>
      <c r="AV14" s="12">
        <v>441</v>
      </c>
      <c r="AW14" s="12">
        <v>419</v>
      </c>
    </row>
    <row r="15" spans="1:49">
      <c r="F15" s="8" t="s">
        <v>28</v>
      </c>
      <c r="G15" s="9">
        <v>1256</v>
      </c>
      <c r="H15" s="9">
        <v>1988</v>
      </c>
      <c r="I15" s="9">
        <v>2112</v>
      </c>
      <c r="J15" s="9">
        <v>2101</v>
      </c>
      <c r="K15" s="9">
        <v>2082</v>
      </c>
      <c r="L15" s="9">
        <v>2231</v>
      </c>
      <c r="M15" s="9">
        <v>2280</v>
      </c>
      <c r="N15" s="9">
        <v>2026</v>
      </c>
      <c r="O15" s="9">
        <v>1838</v>
      </c>
      <c r="P15" s="9">
        <v>1489</v>
      </c>
      <c r="Q15" s="9">
        <v>1498</v>
      </c>
      <c r="R15" s="9">
        <v>1497</v>
      </c>
      <c r="S15" s="9">
        <v>1622</v>
      </c>
      <c r="U15" s="11" t="s">
        <v>28</v>
      </c>
      <c r="V15" s="12">
        <v>5933</v>
      </c>
      <c r="W15" s="12">
        <v>5810</v>
      </c>
      <c r="X15" s="12">
        <v>5882</v>
      </c>
      <c r="Y15" s="12">
        <v>5907</v>
      </c>
      <c r="Z15" s="12">
        <v>5613</v>
      </c>
      <c r="AA15" s="12">
        <v>5766</v>
      </c>
      <c r="AB15" s="12">
        <v>5639</v>
      </c>
      <c r="AC15" s="12">
        <v>5874</v>
      </c>
      <c r="AD15" s="12">
        <v>6207</v>
      </c>
      <c r="AE15" s="12">
        <v>6124</v>
      </c>
      <c r="AF15" s="12">
        <v>6076</v>
      </c>
      <c r="AG15" s="12">
        <v>6147</v>
      </c>
      <c r="AH15" s="12">
        <v>6091</v>
      </c>
      <c r="AJ15" s="11" t="s">
        <v>28</v>
      </c>
      <c r="AK15" s="12">
        <v>330</v>
      </c>
      <c r="AL15" s="12">
        <v>298</v>
      </c>
      <c r="AM15" s="12">
        <v>319</v>
      </c>
      <c r="AN15" s="12">
        <v>323</v>
      </c>
      <c r="AO15" s="12">
        <v>259</v>
      </c>
      <c r="AP15" s="12">
        <v>299</v>
      </c>
      <c r="AQ15" s="12">
        <v>422</v>
      </c>
      <c r="AR15" s="12">
        <v>433</v>
      </c>
      <c r="AS15" s="12">
        <v>458</v>
      </c>
      <c r="AT15" s="12">
        <v>453</v>
      </c>
      <c r="AU15" s="12">
        <v>436</v>
      </c>
      <c r="AV15" s="12">
        <v>413</v>
      </c>
      <c r="AW15" s="12">
        <v>441</v>
      </c>
    </row>
    <row r="16" spans="1:49">
      <c r="F16" s="8" t="s">
        <v>29</v>
      </c>
      <c r="G16" s="9">
        <v>595</v>
      </c>
      <c r="H16" s="9">
        <v>1800</v>
      </c>
      <c r="I16" s="9">
        <v>1852</v>
      </c>
      <c r="J16" s="9">
        <v>1955</v>
      </c>
      <c r="K16" s="9">
        <v>2150</v>
      </c>
      <c r="L16" s="9">
        <v>2061</v>
      </c>
      <c r="M16" s="9">
        <v>1316</v>
      </c>
      <c r="N16" s="9">
        <v>1181</v>
      </c>
      <c r="O16" s="9">
        <v>1167</v>
      </c>
      <c r="P16" s="9">
        <v>1065</v>
      </c>
      <c r="Q16" s="9">
        <v>1036</v>
      </c>
      <c r="R16" s="9">
        <v>1091</v>
      </c>
      <c r="S16" s="9">
        <v>1118</v>
      </c>
      <c r="U16" s="11" t="s">
        <v>29</v>
      </c>
      <c r="V16" s="12">
        <v>4502</v>
      </c>
      <c r="W16" s="12">
        <v>3263</v>
      </c>
      <c r="X16" s="12">
        <v>3067</v>
      </c>
      <c r="Y16" s="12">
        <v>2932</v>
      </c>
      <c r="Z16" s="12">
        <v>2826</v>
      </c>
      <c r="AA16" s="12">
        <v>2859</v>
      </c>
      <c r="AB16" s="12">
        <v>3787</v>
      </c>
      <c r="AC16" s="12">
        <v>3727</v>
      </c>
      <c r="AD16" s="12">
        <v>3938</v>
      </c>
      <c r="AE16" s="12">
        <v>3906</v>
      </c>
      <c r="AF16" s="12">
        <v>3908</v>
      </c>
      <c r="AG16" s="12">
        <v>4031</v>
      </c>
      <c r="AH16" s="12">
        <v>4033</v>
      </c>
      <c r="AJ16" s="11" t="s">
        <v>29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</row>
    <row r="17" spans="4:49">
      <c r="F17" s="8" t="s">
        <v>30</v>
      </c>
      <c r="G17" s="9">
        <v>553</v>
      </c>
      <c r="H17" s="9">
        <v>1590</v>
      </c>
      <c r="I17" s="9">
        <v>1760</v>
      </c>
      <c r="J17" s="9">
        <v>1847</v>
      </c>
      <c r="K17" s="9">
        <v>1947</v>
      </c>
      <c r="L17" s="9">
        <v>1945</v>
      </c>
      <c r="M17" s="9">
        <v>1135</v>
      </c>
      <c r="N17" s="9">
        <v>1097</v>
      </c>
      <c r="O17" s="9">
        <v>1066</v>
      </c>
      <c r="P17" s="9">
        <v>930</v>
      </c>
      <c r="Q17" s="9">
        <v>980</v>
      </c>
      <c r="R17" s="9">
        <v>907</v>
      </c>
      <c r="S17" s="9">
        <v>959</v>
      </c>
      <c r="U17" s="11" t="s">
        <v>30</v>
      </c>
      <c r="V17" s="12">
        <v>3444</v>
      </c>
      <c r="W17" s="12">
        <v>2322</v>
      </c>
      <c r="X17" s="12">
        <v>2220</v>
      </c>
      <c r="Y17" s="12">
        <v>2214</v>
      </c>
      <c r="Z17" s="12">
        <v>2119</v>
      </c>
      <c r="AA17" s="12">
        <v>1931</v>
      </c>
      <c r="AB17" s="12">
        <v>1679</v>
      </c>
      <c r="AC17" s="12">
        <v>2839</v>
      </c>
      <c r="AD17" s="12">
        <v>2998</v>
      </c>
      <c r="AE17" s="12">
        <v>3075</v>
      </c>
      <c r="AF17" s="12">
        <v>3040</v>
      </c>
      <c r="AG17" s="12">
        <v>3081</v>
      </c>
      <c r="AH17" s="12">
        <v>3124</v>
      </c>
      <c r="AJ17" s="11" t="s">
        <v>30</v>
      </c>
      <c r="AK17" s="12">
        <v>598</v>
      </c>
      <c r="AL17" s="12">
        <v>598</v>
      </c>
      <c r="AM17" s="12">
        <v>620</v>
      </c>
      <c r="AN17" s="12">
        <v>611</v>
      </c>
      <c r="AO17" s="12">
        <v>558</v>
      </c>
      <c r="AP17" s="12">
        <v>815</v>
      </c>
      <c r="AQ17" s="12">
        <v>1674</v>
      </c>
      <c r="AR17" s="12">
        <v>572</v>
      </c>
      <c r="AS17" s="12">
        <v>530</v>
      </c>
      <c r="AT17" s="12">
        <v>476</v>
      </c>
      <c r="AU17" s="12">
        <v>528</v>
      </c>
      <c r="AV17" s="12">
        <v>468</v>
      </c>
      <c r="AW17" s="12">
        <v>502</v>
      </c>
    </row>
    <row r="18" spans="4:49">
      <c r="F18" s="8" t="s">
        <v>31</v>
      </c>
      <c r="G18" s="9">
        <v>1004</v>
      </c>
      <c r="H18" s="9">
        <v>2015</v>
      </c>
      <c r="I18" s="9">
        <v>2016</v>
      </c>
      <c r="J18" s="9">
        <v>2184</v>
      </c>
      <c r="K18" s="9">
        <v>2268</v>
      </c>
      <c r="L18" s="9">
        <v>2383</v>
      </c>
      <c r="M18" s="9">
        <v>2587</v>
      </c>
      <c r="N18" s="9">
        <v>1443</v>
      </c>
      <c r="O18" s="9">
        <v>1413</v>
      </c>
      <c r="P18" s="9">
        <v>1346</v>
      </c>
      <c r="Q18" s="9">
        <v>1325</v>
      </c>
      <c r="R18" s="9">
        <v>1328</v>
      </c>
      <c r="S18" s="9">
        <v>1328</v>
      </c>
      <c r="U18" s="11" t="s">
        <v>31</v>
      </c>
      <c r="V18" s="12">
        <v>2561</v>
      </c>
      <c r="W18" s="12">
        <v>1505</v>
      </c>
      <c r="X18" s="12">
        <v>1399</v>
      </c>
      <c r="Y18" s="12">
        <v>1474</v>
      </c>
      <c r="Z18" s="12">
        <v>1367</v>
      </c>
      <c r="AA18" s="12">
        <v>1284</v>
      </c>
      <c r="AB18" s="12">
        <v>934</v>
      </c>
      <c r="AC18" s="12">
        <v>1103</v>
      </c>
      <c r="AD18" s="12">
        <v>2157</v>
      </c>
      <c r="AE18" s="12">
        <v>2288</v>
      </c>
      <c r="AF18" s="12">
        <v>2328</v>
      </c>
      <c r="AG18" s="12">
        <v>2315</v>
      </c>
      <c r="AH18" s="12">
        <v>2349</v>
      </c>
      <c r="AJ18" s="11" t="s">
        <v>31</v>
      </c>
      <c r="AK18" s="12">
        <v>539</v>
      </c>
      <c r="AL18" s="12">
        <v>541</v>
      </c>
      <c r="AM18" s="12">
        <v>532</v>
      </c>
      <c r="AN18" s="12">
        <v>506</v>
      </c>
      <c r="AO18" s="12">
        <v>510</v>
      </c>
      <c r="AP18" s="12">
        <v>422</v>
      </c>
      <c r="AQ18" s="12">
        <v>548</v>
      </c>
      <c r="AR18" s="12">
        <v>1388</v>
      </c>
      <c r="AS18" s="12">
        <v>463</v>
      </c>
      <c r="AT18" s="12">
        <v>424</v>
      </c>
      <c r="AU18" s="12">
        <v>426</v>
      </c>
      <c r="AV18" s="12">
        <v>432</v>
      </c>
      <c r="AW18" s="12">
        <v>451</v>
      </c>
    </row>
    <row r="19" spans="4:49">
      <c r="F19" s="8" t="s">
        <v>32</v>
      </c>
      <c r="G19" s="9">
        <v>1360</v>
      </c>
      <c r="H19" s="9">
        <v>2361</v>
      </c>
      <c r="I19" s="9">
        <v>2319</v>
      </c>
      <c r="J19" s="9">
        <v>2396</v>
      </c>
      <c r="K19" s="9">
        <v>2394</v>
      </c>
      <c r="L19" s="9">
        <v>2607</v>
      </c>
      <c r="M19" s="9">
        <v>2851</v>
      </c>
      <c r="N19" s="9">
        <v>2699</v>
      </c>
      <c r="O19" s="9">
        <v>1707</v>
      </c>
      <c r="P19" s="9">
        <v>1634</v>
      </c>
      <c r="Q19" s="9">
        <v>1622</v>
      </c>
      <c r="R19" s="9">
        <v>1549</v>
      </c>
      <c r="S19" s="9">
        <v>1627</v>
      </c>
      <c r="U19" s="11" t="s">
        <v>32</v>
      </c>
      <c r="V19" s="12">
        <v>1818</v>
      </c>
      <c r="W19" s="12">
        <v>914</v>
      </c>
      <c r="X19" s="12">
        <v>846</v>
      </c>
      <c r="Y19" s="12">
        <v>808</v>
      </c>
      <c r="Z19" s="12">
        <v>824</v>
      </c>
      <c r="AA19" s="12">
        <v>734</v>
      </c>
      <c r="AB19" s="12">
        <v>546</v>
      </c>
      <c r="AC19" s="12">
        <v>518</v>
      </c>
      <c r="AD19" s="12">
        <v>611</v>
      </c>
      <c r="AE19" s="12">
        <v>1681</v>
      </c>
      <c r="AF19" s="12">
        <v>1626</v>
      </c>
      <c r="AG19" s="12">
        <v>1739</v>
      </c>
      <c r="AH19" s="12">
        <v>1623</v>
      </c>
      <c r="AJ19" s="11" t="s">
        <v>32</v>
      </c>
      <c r="AK19" s="12">
        <v>474</v>
      </c>
      <c r="AL19" s="12">
        <v>470</v>
      </c>
      <c r="AM19" s="12">
        <v>438</v>
      </c>
      <c r="AN19" s="12">
        <v>427</v>
      </c>
      <c r="AO19" s="12">
        <v>427</v>
      </c>
      <c r="AP19" s="12">
        <v>397</v>
      </c>
      <c r="AQ19" s="12">
        <v>277</v>
      </c>
      <c r="AR19" s="12">
        <v>418</v>
      </c>
      <c r="AS19" s="12">
        <v>1254</v>
      </c>
      <c r="AT19" s="12">
        <v>387</v>
      </c>
      <c r="AU19" s="12">
        <v>424</v>
      </c>
      <c r="AV19" s="12">
        <v>380</v>
      </c>
      <c r="AW19" s="12">
        <v>395</v>
      </c>
    </row>
    <row r="20" spans="4:49">
      <c r="F20" s="8" t="s">
        <v>33</v>
      </c>
      <c r="G20" s="9">
        <v>3704</v>
      </c>
      <c r="H20" s="9">
        <v>5572</v>
      </c>
      <c r="I20" s="9">
        <v>5591</v>
      </c>
      <c r="J20" s="9">
        <v>5587</v>
      </c>
      <c r="K20" s="9">
        <v>5540</v>
      </c>
      <c r="L20" s="9">
        <v>5809</v>
      </c>
      <c r="M20" s="9">
        <v>6179</v>
      </c>
      <c r="N20" s="9">
        <v>6301</v>
      </c>
      <c r="O20" s="9">
        <v>5898</v>
      </c>
      <c r="P20" s="9">
        <v>4004</v>
      </c>
      <c r="Q20" s="9">
        <v>3935</v>
      </c>
      <c r="R20" s="9">
        <v>3991</v>
      </c>
      <c r="S20" s="9">
        <v>4055</v>
      </c>
      <c r="U20" s="11" t="s">
        <v>33</v>
      </c>
      <c r="V20" s="12">
        <v>2602</v>
      </c>
      <c r="W20" s="12">
        <v>855</v>
      </c>
      <c r="X20" s="12">
        <v>840</v>
      </c>
      <c r="Y20" s="12">
        <v>772</v>
      </c>
      <c r="Z20" s="12">
        <v>834</v>
      </c>
      <c r="AA20" s="12">
        <v>673</v>
      </c>
      <c r="AB20" s="12">
        <v>572</v>
      </c>
      <c r="AC20" s="12">
        <v>508</v>
      </c>
      <c r="AD20" s="12">
        <v>448</v>
      </c>
      <c r="AE20" s="12">
        <v>802</v>
      </c>
      <c r="AF20" s="12">
        <v>830</v>
      </c>
      <c r="AG20" s="12">
        <v>768</v>
      </c>
      <c r="AH20" s="12">
        <v>795</v>
      </c>
      <c r="AJ20" s="11" t="s">
        <v>33</v>
      </c>
      <c r="AK20" s="12">
        <v>984</v>
      </c>
      <c r="AL20" s="12">
        <v>909</v>
      </c>
      <c r="AM20" s="12">
        <v>849</v>
      </c>
      <c r="AN20" s="12">
        <v>850</v>
      </c>
      <c r="AO20" s="12">
        <v>782</v>
      </c>
      <c r="AP20" s="12">
        <v>774</v>
      </c>
      <c r="AQ20" s="12">
        <v>596</v>
      </c>
      <c r="AR20" s="12">
        <v>504</v>
      </c>
      <c r="AS20" s="12">
        <v>872</v>
      </c>
      <c r="AT20" s="12">
        <v>2446</v>
      </c>
      <c r="AU20" s="12">
        <v>2450</v>
      </c>
      <c r="AV20" s="12">
        <v>2389</v>
      </c>
      <c r="AW20" s="12">
        <v>2393</v>
      </c>
    </row>
    <row r="21" spans="4:49">
      <c r="F21" s="8" t="s">
        <v>34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U21" s="11" t="s">
        <v>34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J21" s="11" t="s">
        <v>34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</row>
    <row r="22" spans="4:49">
      <c r="F22" s="8" t="s">
        <v>35</v>
      </c>
      <c r="G22" s="9">
        <v>60</v>
      </c>
      <c r="H22" s="9">
        <v>107</v>
      </c>
      <c r="I22" s="9">
        <v>107</v>
      </c>
      <c r="J22" s="9">
        <v>142</v>
      </c>
      <c r="K22" s="9">
        <v>131</v>
      </c>
      <c r="L22" s="9">
        <v>129</v>
      </c>
      <c r="M22" s="9">
        <v>143</v>
      </c>
      <c r="N22" s="9">
        <v>118</v>
      </c>
      <c r="O22" s="9">
        <v>113</v>
      </c>
      <c r="P22" s="9">
        <v>93</v>
      </c>
      <c r="Q22" s="9">
        <v>88</v>
      </c>
      <c r="R22" s="9">
        <v>101</v>
      </c>
      <c r="S22" s="9">
        <v>86</v>
      </c>
      <c r="U22" s="11" t="s">
        <v>35</v>
      </c>
      <c r="V22" s="12">
        <v>261</v>
      </c>
      <c r="W22" s="12">
        <v>240</v>
      </c>
      <c r="X22" s="12">
        <v>202</v>
      </c>
      <c r="Y22" s="12">
        <v>225</v>
      </c>
      <c r="Z22" s="12">
        <v>232</v>
      </c>
      <c r="AA22" s="12">
        <v>227</v>
      </c>
      <c r="AB22" s="12">
        <v>225</v>
      </c>
      <c r="AC22" s="12">
        <v>234</v>
      </c>
      <c r="AD22" s="12">
        <v>225</v>
      </c>
      <c r="AE22" s="12">
        <v>279</v>
      </c>
      <c r="AF22" s="12">
        <v>254</v>
      </c>
      <c r="AG22" s="12">
        <v>287</v>
      </c>
      <c r="AH22" s="12">
        <v>283</v>
      </c>
      <c r="AJ22" s="11" t="s">
        <v>35</v>
      </c>
      <c r="AK22" s="12">
        <v>15</v>
      </c>
      <c r="AL22" s="12">
        <v>16</v>
      </c>
      <c r="AM22" s="12">
        <v>21</v>
      </c>
      <c r="AN22" s="12">
        <v>19</v>
      </c>
      <c r="AO22" s="12">
        <v>12</v>
      </c>
      <c r="AP22" s="12">
        <v>12</v>
      </c>
      <c r="AQ22" s="12">
        <v>22</v>
      </c>
      <c r="AR22" s="12">
        <v>29</v>
      </c>
      <c r="AS22" s="12">
        <v>23</v>
      </c>
      <c r="AT22" s="12">
        <v>20</v>
      </c>
      <c r="AU22" s="12">
        <v>15</v>
      </c>
      <c r="AV22" s="12">
        <v>24</v>
      </c>
      <c r="AW22" s="12">
        <v>24</v>
      </c>
    </row>
    <row r="23" spans="4:49">
      <c r="F23" s="8" t="s">
        <v>36</v>
      </c>
      <c r="G23" s="9">
        <v>137</v>
      </c>
      <c r="H23" s="9">
        <v>231</v>
      </c>
      <c r="I23" s="9">
        <v>260</v>
      </c>
      <c r="J23" s="9">
        <v>260</v>
      </c>
      <c r="K23" s="9">
        <v>263</v>
      </c>
      <c r="L23" s="9">
        <v>290</v>
      </c>
      <c r="M23" s="9">
        <v>284</v>
      </c>
      <c r="N23" s="9">
        <v>246</v>
      </c>
      <c r="O23" s="9">
        <v>237</v>
      </c>
      <c r="P23" s="9">
        <v>192</v>
      </c>
      <c r="Q23" s="9">
        <v>194</v>
      </c>
      <c r="R23" s="9">
        <v>166</v>
      </c>
      <c r="S23" s="9">
        <v>170</v>
      </c>
      <c r="U23" s="11" t="s">
        <v>36</v>
      </c>
      <c r="V23" s="12">
        <v>645</v>
      </c>
      <c r="W23" s="12">
        <v>502</v>
      </c>
      <c r="X23" s="12">
        <v>512</v>
      </c>
      <c r="Y23" s="12">
        <v>569</v>
      </c>
      <c r="Z23" s="12">
        <v>604</v>
      </c>
      <c r="AA23" s="12">
        <v>542</v>
      </c>
      <c r="AB23" s="12">
        <v>556</v>
      </c>
      <c r="AC23" s="12">
        <v>547</v>
      </c>
      <c r="AD23" s="12">
        <v>590</v>
      </c>
      <c r="AE23" s="12">
        <v>615</v>
      </c>
      <c r="AF23" s="12">
        <v>606</v>
      </c>
      <c r="AG23" s="12">
        <v>602</v>
      </c>
      <c r="AH23" s="12">
        <v>625</v>
      </c>
      <c r="AJ23" s="11" t="s">
        <v>36</v>
      </c>
      <c r="AK23" s="12">
        <v>32</v>
      </c>
      <c r="AL23" s="12">
        <v>40</v>
      </c>
      <c r="AM23" s="12">
        <v>30</v>
      </c>
      <c r="AN23" s="12">
        <v>34</v>
      </c>
      <c r="AO23" s="12">
        <v>38</v>
      </c>
      <c r="AP23" s="12">
        <v>41</v>
      </c>
      <c r="AQ23" s="12">
        <v>45</v>
      </c>
      <c r="AR23" s="12">
        <v>40</v>
      </c>
      <c r="AS23" s="12">
        <v>38</v>
      </c>
      <c r="AT23" s="12">
        <v>47</v>
      </c>
      <c r="AU23" s="12">
        <v>38</v>
      </c>
      <c r="AV23" s="12">
        <v>47</v>
      </c>
      <c r="AW23" s="12">
        <v>44</v>
      </c>
    </row>
    <row r="24" spans="4:49">
      <c r="F24" s="8" t="s">
        <v>37</v>
      </c>
      <c r="G24" s="9">
        <v>144</v>
      </c>
      <c r="H24" s="9">
        <v>244</v>
      </c>
      <c r="I24" s="9">
        <v>259</v>
      </c>
      <c r="J24" s="9">
        <v>261</v>
      </c>
      <c r="K24" s="9">
        <v>268</v>
      </c>
      <c r="L24" s="9">
        <v>300</v>
      </c>
      <c r="M24" s="9">
        <v>294</v>
      </c>
      <c r="N24" s="9">
        <v>260</v>
      </c>
      <c r="O24" s="9">
        <v>219</v>
      </c>
      <c r="P24" s="9">
        <v>204</v>
      </c>
      <c r="Q24" s="9">
        <v>193</v>
      </c>
      <c r="R24" s="9">
        <v>174</v>
      </c>
      <c r="S24" s="9">
        <v>222</v>
      </c>
      <c r="U24" s="11" t="s">
        <v>37</v>
      </c>
      <c r="V24" s="12">
        <v>740</v>
      </c>
      <c r="W24" s="12">
        <v>660</v>
      </c>
      <c r="X24" s="12">
        <v>630</v>
      </c>
      <c r="Y24" s="12">
        <v>601</v>
      </c>
      <c r="Z24" s="12">
        <v>632</v>
      </c>
      <c r="AA24" s="12">
        <v>640</v>
      </c>
      <c r="AB24" s="12">
        <v>615</v>
      </c>
      <c r="AC24" s="12">
        <v>628</v>
      </c>
      <c r="AD24" s="12">
        <v>633</v>
      </c>
      <c r="AE24" s="12">
        <v>701</v>
      </c>
      <c r="AF24" s="12">
        <v>710</v>
      </c>
      <c r="AG24" s="12">
        <v>720</v>
      </c>
      <c r="AH24" s="12">
        <v>696</v>
      </c>
      <c r="AJ24" s="11" t="s">
        <v>37</v>
      </c>
      <c r="AK24" s="12">
        <v>37</v>
      </c>
      <c r="AL24" s="12">
        <v>46</v>
      </c>
      <c r="AM24" s="12">
        <v>38</v>
      </c>
      <c r="AN24" s="12">
        <v>34</v>
      </c>
      <c r="AO24" s="12">
        <v>42</v>
      </c>
      <c r="AP24" s="12">
        <v>37</v>
      </c>
      <c r="AQ24" s="12">
        <v>49</v>
      </c>
      <c r="AR24" s="12">
        <v>52</v>
      </c>
      <c r="AS24" s="12">
        <v>48</v>
      </c>
      <c r="AT24" s="12">
        <v>49</v>
      </c>
      <c r="AU24" s="12">
        <v>53</v>
      </c>
      <c r="AV24" s="12">
        <v>40</v>
      </c>
      <c r="AW24" s="12">
        <v>42</v>
      </c>
    </row>
    <row r="25" spans="4:49">
      <c r="F25" s="8" t="s">
        <v>38</v>
      </c>
      <c r="G25" s="9">
        <v>155</v>
      </c>
      <c r="H25" s="9">
        <v>265</v>
      </c>
      <c r="I25" s="9">
        <v>278</v>
      </c>
      <c r="J25" s="9">
        <v>275</v>
      </c>
      <c r="K25" s="9">
        <v>276</v>
      </c>
      <c r="L25" s="9">
        <v>296</v>
      </c>
      <c r="M25" s="9">
        <v>274</v>
      </c>
      <c r="N25" s="9">
        <v>241</v>
      </c>
      <c r="O25" s="9">
        <v>214</v>
      </c>
      <c r="P25" s="9">
        <v>172</v>
      </c>
      <c r="Q25" s="9">
        <v>203</v>
      </c>
      <c r="R25" s="9">
        <v>186</v>
      </c>
      <c r="S25" s="9">
        <v>189</v>
      </c>
      <c r="U25" s="11" t="s">
        <v>38</v>
      </c>
      <c r="V25" s="12">
        <v>789</v>
      </c>
      <c r="W25" s="12">
        <v>725</v>
      </c>
      <c r="X25" s="12">
        <v>783</v>
      </c>
      <c r="Y25" s="12">
        <v>693</v>
      </c>
      <c r="Z25" s="12">
        <v>689</v>
      </c>
      <c r="AA25" s="12">
        <v>742</v>
      </c>
      <c r="AB25" s="12">
        <v>684</v>
      </c>
      <c r="AC25" s="12">
        <v>764</v>
      </c>
      <c r="AD25" s="12">
        <v>807</v>
      </c>
      <c r="AE25" s="12">
        <v>779</v>
      </c>
      <c r="AF25" s="12">
        <v>785</v>
      </c>
      <c r="AG25" s="12">
        <v>780</v>
      </c>
      <c r="AH25" s="12">
        <v>769</v>
      </c>
      <c r="AJ25" s="11" t="s">
        <v>38</v>
      </c>
      <c r="AK25" s="12">
        <v>45</v>
      </c>
      <c r="AL25" s="12">
        <v>36</v>
      </c>
      <c r="AM25" s="12">
        <v>30</v>
      </c>
      <c r="AN25" s="12">
        <v>32</v>
      </c>
      <c r="AO25" s="12">
        <v>37</v>
      </c>
      <c r="AP25" s="12">
        <v>38</v>
      </c>
      <c r="AQ25" s="12">
        <v>49</v>
      </c>
      <c r="AR25" s="12">
        <v>51</v>
      </c>
      <c r="AS25" s="12">
        <v>61</v>
      </c>
      <c r="AT25" s="12">
        <v>55</v>
      </c>
      <c r="AU25" s="12">
        <v>56</v>
      </c>
      <c r="AV25" s="12">
        <v>56</v>
      </c>
      <c r="AW25" s="12">
        <v>55</v>
      </c>
    </row>
    <row r="26" spans="4:49">
      <c r="F26" s="8" t="s">
        <v>39</v>
      </c>
      <c r="G26" s="9">
        <v>101</v>
      </c>
      <c r="H26" s="9">
        <v>340</v>
      </c>
      <c r="I26" s="9">
        <v>370</v>
      </c>
      <c r="J26" s="9">
        <v>367</v>
      </c>
      <c r="K26" s="9">
        <v>373</v>
      </c>
      <c r="L26" s="9">
        <v>403</v>
      </c>
      <c r="M26" s="9">
        <v>228</v>
      </c>
      <c r="N26" s="9">
        <v>222</v>
      </c>
      <c r="O26" s="9">
        <v>231</v>
      </c>
      <c r="P26" s="9">
        <v>217</v>
      </c>
      <c r="Q26" s="9">
        <v>210</v>
      </c>
      <c r="R26" s="9">
        <v>198</v>
      </c>
      <c r="S26" s="9">
        <v>200</v>
      </c>
      <c r="U26" s="11" t="s">
        <v>39</v>
      </c>
      <c r="V26" s="12">
        <v>777</v>
      </c>
      <c r="W26" s="12">
        <v>602</v>
      </c>
      <c r="X26" s="12">
        <v>578</v>
      </c>
      <c r="Y26" s="12">
        <v>559</v>
      </c>
      <c r="Z26" s="12">
        <v>472</v>
      </c>
      <c r="AA26" s="12">
        <v>509</v>
      </c>
      <c r="AB26" s="12">
        <v>692</v>
      </c>
      <c r="AC26" s="12">
        <v>696</v>
      </c>
      <c r="AD26" s="12">
        <v>657</v>
      </c>
      <c r="AE26" s="12">
        <v>679</v>
      </c>
      <c r="AF26" s="12">
        <v>739</v>
      </c>
      <c r="AG26" s="12">
        <v>695</v>
      </c>
      <c r="AH26" s="12">
        <v>736</v>
      </c>
      <c r="AJ26" s="11" t="s">
        <v>39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</row>
    <row r="27" spans="4:49">
      <c r="F27" s="8" t="s">
        <v>40</v>
      </c>
      <c r="G27" s="9">
        <v>100</v>
      </c>
      <c r="H27" s="9">
        <v>298</v>
      </c>
      <c r="I27" s="9">
        <v>345</v>
      </c>
      <c r="J27" s="9">
        <v>367</v>
      </c>
      <c r="K27" s="9">
        <v>389</v>
      </c>
      <c r="L27" s="9">
        <v>398</v>
      </c>
      <c r="M27" s="9">
        <v>236</v>
      </c>
      <c r="N27" s="9">
        <v>228</v>
      </c>
      <c r="O27" s="9">
        <v>221</v>
      </c>
      <c r="P27" s="9">
        <v>227</v>
      </c>
      <c r="Q27" s="9">
        <v>210</v>
      </c>
      <c r="R27" s="9">
        <v>212</v>
      </c>
      <c r="S27" s="9">
        <v>192</v>
      </c>
      <c r="U27" s="11" t="s">
        <v>40</v>
      </c>
      <c r="V27" s="12">
        <v>684</v>
      </c>
      <c r="W27" s="12">
        <v>468</v>
      </c>
      <c r="X27" s="12">
        <v>466</v>
      </c>
      <c r="Y27" s="12">
        <v>418</v>
      </c>
      <c r="Z27" s="12">
        <v>420</v>
      </c>
      <c r="AA27" s="12">
        <v>360</v>
      </c>
      <c r="AB27" s="12">
        <v>336</v>
      </c>
      <c r="AC27" s="12">
        <v>590</v>
      </c>
      <c r="AD27" s="12">
        <v>614</v>
      </c>
      <c r="AE27" s="12">
        <v>620</v>
      </c>
      <c r="AF27" s="12">
        <v>636</v>
      </c>
      <c r="AG27" s="12">
        <v>666</v>
      </c>
      <c r="AH27" s="12">
        <v>610</v>
      </c>
      <c r="AJ27" s="11" t="s">
        <v>40</v>
      </c>
      <c r="AK27" s="12">
        <v>91</v>
      </c>
      <c r="AL27" s="12">
        <v>147</v>
      </c>
      <c r="AM27" s="12">
        <v>121</v>
      </c>
      <c r="AN27" s="12">
        <v>111</v>
      </c>
      <c r="AO27" s="12">
        <v>112</v>
      </c>
      <c r="AP27" s="12">
        <v>158</v>
      </c>
      <c r="AQ27" s="12">
        <v>349</v>
      </c>
      <c r="AR27" s="12">
        <v>127</v>
      </c>
      <c r="AS27" s="12">
        <v>95</v>
      </c>
      <c r="AT27" s="12">
        <v>93</v>
      </c>
      <c r="AU27" s="12">
        <v>95</v>
      </c>
      <c r="AV27" s="12">
        <v>84</v>
      </c>
      <c r="AW27" s="12">
        <v>87</v>
      </c>
    </row>
    <row r="28" spans="4:49">
      <c r="F28" s="8" t="s">
        <v>41</v>
      </c>
      <c r="G28" s="9">
        <v>209</v>
      </c>
      <c r="H28" s="9">
        <v>428</v>
      </c>
      <c r="I28" s="9">
        <v>458</v>
      </c>
      <c r="J28" s="9">
        <v>454</v>
      </c>
      <c r="K28" s="9">
        <v>515</v>
      </c>
      <c r="L28" s="9">
        <v>551</v>
      </c>
      <c r="M28" s="9">
        <v>564</v>
      </c>
      <c r="N28" s="9">
        <v>352</v>
      </c>
      <c r="O28" s="9">
        <v>322</v>
      </c>
      <c r="P28" s="9">
        <v>290</v>
      </c>
      <c r="Q28" s="9">
        <v>267</v>
      </c>
      <c r="R28" s="9">
        <v>297</v>
      </c>
      <c r="S28" s="9">
        <v>304</v>
      </c>
      <c r="U28" s="11" t="s">
        <v>41</v>
      </c>
      <c r="V28" s="12">
        <v>573</v>
      </c>
      <c r="W28" s="12">
        <v>333</v>
      </c>
      <c r="X28" s="12">
        <v>360</v>
      </c>
      <c r="Y28" s="12">
        <v>310</v>
      </c>
      <c r="Z28" s="12">
        <v>315</v>
      </c>
      <c r="AA28" s="12">
        <v>263</v>
      </c>
      <c r="AB28" s="12">
        <v>201</v>
      </c>
      <c r="AC28" s="12">
        <v>253</v>
      </c>
      <c r="AD28" s="12">
        <v>484</v>
      </c>
      <c r="AE28" s="12">
        <v>546</v>
      </c>
      <c r="AF28" s="12">
        <v>531</v>
      </c>
      <c r="AG28" s="12">
        <v>523</v>
      </c>
      <c r="AH28" s="12">
        <v>484</v>
      </c>
      <c r="AJ28" s="11" t="s">
        <v>41</v>
      </c>
      <c r="AK28" s="12">
        <v>112</v>
      </c>
      <c r="AL28" s="12">
        <v>122</v>
      </c>
      <c r="AM28" s="12">
        <v>127</v>
      </c>
      <c r="AN28" s="12">
        <v>114</v>
      </c>
      <c r="AO28" s="12">
        <v>102</v>
      </c>
      <c r="AP28" s="12">
        <v>96</v>
      </c>
      <c r="AQ28" s="12">
        <v>112</v>
      </c>
      <c r="AR28" s="12">
        <v>327</v>
      </c>
      <c r="AS28" s="12">
        <v>120</v>
      </c>
      <c r="AT28" s="12">
        <v>107</v>
      </c>
      <c r="AU28" s="12">
        <v>118</v>
      </c>
      <c r="AV28" s="12">
        <v>108</v>
      </c>
      <c r="AW28" s="12">
        <v>95</v>
      </c>
    </row>
    <row r="29" spans="4:49">
      <c r="F29" s="8" t="s">
        <v>42</v>
      </c>
      <c r="G29" s="9">
        <v>304</v>
      </c>
      <c r="H29" s="9">
        <v>549</v>
      </c>
      <c r="I29" s="9">
        <v>568</v>
      </c>
      <c r="J29" s="9">
        <v>547</v>
      </c>
      <c r="K29" s="9">
        <v>623</v>
      </c>
      <c r="L29" s="9">
        <v>631</v>
      </c>
      <c r="M29" s="9">
        <v>721</v>
      </c>
      <c r="N29" s="9">
        <v>653</v>
      </c>
      <c r="O29" s="9">
        <v>449</v>
      </c>
      <c r="P29" s="9">
        <v>372</v>
      </c>
      <c r="Q29" s="9">
        <v>430</v>
      </c>
      <c r="R29" s="9">
        <v>360</v>
      </c>
      <c r="S29" s="9">
        <v>410</v>
      </c>
      <c r="U29" s="11" t="s">
        <v>42</v>
      </c>
      <c r="V29" s="12">
        <v>435</v>
      </c>
      <c r="W29" s="12">
        <v>198</v>
      </c>
      <c r="X29" s="12">
        <v>221</v>
      </c>
      <c r="Y29" s="12">
        <v>218</v>
      </c>
      <c r="Z29" s="12">
        <v>213</v>
      </c>
      <c r="AA29" s="12">
        <v>170</v>
      </c>
      <c r="AB29" s="12">
        <v>147</v>
      </c>
      <c r="AC29" s="12">
        <v>119</v>
      </c>
      <c r="AD29" s="12">
        <v>175</v>
      </c>
      <c r="AE29" s="12">
        <v>430</v>
      </c>
      <c r="AF29" s="12">
        <v>435</v>
      </c>
      <c r="AG29" s="12">
        <v>439</v>
      </c>
      <c r="AH29" s="12">
        <v>410</v>
      </c>
      <c r="AJ29" s="11" t="s">
        <v>42</v>
      </c>
      <c r="AK29" s="12">
        <v>113</v>
      </c>
      <c r="AL29" s="12">
        <v>133</v>
      </c>
      <c r="AM29" s="12">
        <v>129</v>
      </c>
      <c r="AN29" s="12">
        <v>114</v>
      </c>
      <c r="AO29" s="12">
        <v>110</v>
      </c>
      <c r="AP29" s="12">
        <v>85</v>
      </c>
      <c r="AQ29" s="12">
        <v>63</v>
      </c>
      <c r="AR29" s="12">
        <v>108</v>
      </c>
      <c r="AS29" s="12">
        <v>355</v>
      </c>
      <c r="AT29" s="12">
        <v>110</v>
      </c>
      <c r="AU29" s="12">
        <v>95</v>
      </c>
      <c r="AV29" s="12">
        <v>112</v>
      </c>
      <c r="AW29" s="12">
        <v>106</v>
      </c>
    </row>
    <row r="30" spans="4:49">
      <c r="F30" s="8" t="s">
        <v>43</v>
      </c>
      <c r="G30" s="9">
        <v>450</v>
      </c>
      <c r="H30" s="9">
        <v>735</v>
      </c>
      <c r="I30" s="9">
        <v>692</v>
      </c>
      <c r="J30" s="9">
        <v>686</v>
      </c>
      <c r="K30" s="9">
        <v>715</v>
      </c>
      <c r="L30" s="9">
        <v>718</v>
      </c>
      <c r="M30" s="9">
        <v>748</v>
      </c>
      <c r="N30" s="9">
        <v>799</v>
      </c>
      <c r="O30" s="9">
        <v>750</v>
      </c>
      <c r="P30" s="9">
        <v>527</v>
      </c>
      <c r="Q30" s="9">
        <v>507</v>
      </c>
      <c r="R30" s="9">
        <v>505</v>
      </c>
      <c r="S30" s="9">
        <v>542</v>
      </c>
      <c r="U30" s="11" t="s">
        <v>43</v>
      </c>
      <c r="V30" s="12">
        <v>327</v>
      </c>
      <c r="W30" s="12">
        <v>99</v>
      </c>
      <c r="X30" s="12">
        <v>123</v>
      </c>
      <c r="Y30" s="12">
        <v>94</v>
      </c>
      <c r="Z30" s="12">
        <v>116</v>
      </c>
      <c r="AA30" s="12">
        <v>92</v>
      </c>
      <c r="AB30" s="12">
        <v>59</v>
      </c>
      <c r="AC30" s="12">
        <v>59</v>
      </c>
      <c r="AD30" s="12">
        <v>44</v>
      </c>
      <c r="AE30" s="12">
        <v>103</v>
      </c>
      <c r="AF30" s="12">
        <v>89</v>
      </c>
      <c r="AG30" s="12">
        <v>100</v>
      </c>
      <c r="AH30" s="12">
        <v>100</v>
      </c>
      <c r="AJ30" s="11" t="s">
        <v>43</v>
      </c>
      <c r="AK30" s="12">
        <v>113</v>
      </c>
      <c r="AL30" s="12">
        <v>97</v>
      </c>
      <c r="AM30" s="12">
        <v>104</v>
      </c>
      <c r="AN30" s="12">
        <v>104</v>
      </c>
      <c r="AO30" s="12">
        <v>102</v>
      </c>
      <c r="AP30" s="12">
        <v>93</v>
      </c>
      <c r="AQ30" s="12">
        <v>63</v>
      </c>
      <c r="AR30" s="12">
        <v>60</v>
      </c>
      <c r="AS30" s="12">
        <v>101</v>
      </c>
      <c r="AT30" s="12">
        <v>304</v>
      </c>
      <c r="AU30" s="12">
        <v>323</v>
      </c>
      <c r="AV30" s="12">
        <v>293</v>
      </c>
      <c r="AW30" s="12">
        <v>325</v>
      </c>
    </row>
    <row r="31" spans="4:49">
      <c r="F31" s="8" t="s">
        <v>44</v>
      </c>
      <c r="G31" s="9">
        <v>2444</v>
      </c>
      <c r="H31" s="9">
        <v>3822</v>
      </c>
      <c r="I31" s="9">
        <v>3709</v>
      </c>
      <c r="J31" s="9">
        <v>3719</v>
      </c>
      <c r="K31" s="9">
        <v>3634</v>
      </c>
      <c r="L31" s="9">
        <v>3662</v>
      </c>
      <c r="M31" s="9">
        <v>3690</v>
      </c>
      <c r="N31" s="9">
        <v>3683</v>
      </c>
      <c r="O31" s="9">
        <v>3642</v>
      </c>
      <c r="P31" s="9">
        <v>3379</v>
      </c>
      <c r="Q31" s="9">
        <v>3294</v>
      </c>
      <c r="R31" s="9">
        <v>3384</v>
      </c>
      <c r="S31" s="9">
        <v>3377</v>
      </c>
      <c r="U31" s="11" t="s">
        <v>44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J31" s="11" t="s">
        <v>44</v>
      </c>
      <c r="AK31" s="12">
        <v>1101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255</v>
      </c>
      <c r="AU31" s="12">
        <v>273</v>
      </c>
      <c r="AV31" s="12">
        <v>277</v>
      </c>
      <c r="AW31" s="12">
        <v>288</v>
      </c>
    </row>
    <row r="32" spans="4:49">
      <c r="D32" s="1"/>
    </row>
    <row r="33" spans="6:49">
      <c r="F33" s="6" t="s">
        <v>45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U33" s="6" t="s">
        <v>46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J33" s="6" t="s">
        <v>47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 spans="6:49">
      <c r="F34" s="7"/>
      <c r="G34" s="7" t="s">
        <v>5</v>
      </c>
      <c r="H34" s="7">
        <v>2</v>
      </c>
      <c r="I34" s="7">
        <v>3</v>
      </c>
      <c r="J34" s="7">
        <v>4</v>
      </c>
      <c r="K34" s="7">
        <v>5</v>
      </c>
      <c r="L34" s="7">
        <v>6</v>
      </c>
      <c r="M34" s="7">
        <v>7</v>
      </c>
      <c r="N34" s="7">
        <v>8</v>
      </c>
      <c r="O34" s="7">
        <v>9</v>
      </c>
      <c r="P34" s="7">
        <v>10</v>
      </c>
      <c r="Q34" s="7" t="s">
        <v>6</v>
      </c>
      <c r="R34" s="7" t="s">
        <v>7</v>
      </c>
      <c r="S34" s="7" t="s">
        <v>8</v>
      </c>
      <c r="U34" s="10"/>
      <c r="V34" s="10" t="s">
        <v>5</v>
      </c>
      <c r="W34" s="10">
        <v>2</v>
      </c>
      <c r="X34" s="10">
        <v>3</v>
      </c>
      <c r="Y34" s="10">
        <v>4</v>
      </c>
      <c r="Z34" s="10">
        <v>5</v>
      </c>
      <c r="AA34" s="10">
        <v>6</v>
      </c>
      <c r="AB34" s="10">
        <v>7</v>
      </c>
      <c r="AC34" s="10">
        <v>8</v>
      </c>
      <c r="AD34" s="10">
        <v>9</v>
      </c>
      <c r="AE34" s="10">
        <v>10</v>
      </c>
      <c r="AF34" s="10" t="s">
        <v>6</v>
      </c>
      <c r="AG34" s="10" t="s">
        <v>7</v>
      </c>
      <c r="AH34" s="10" t="s">
        <v>8</v>
      </c>
      <c r="AJ34" s="11"/>
      <c r="AK34" s="10" t="s">
        <v>5</v>
      </c>
      <c r="AL34" s="10">
        <v>2</v>
      </c>
      <c r="AM34" s="10">
        <v>3</v>
      </c>
      <c r="AN34" s="10">
        <v>4</v>
      </c>
      <c r="AO34" s="10">
        <v>5</v>
      </c>
      <c r="AP34" s="10">
        <v>6</v>
      </c>
      <c r="AQ34" s="10">
        <v>7</v>
      </c>
      <c r="AR34" s="10">
        <v>8</v>
      </c>
      <c r="AS34" s="10">
        <v>9</v>
      </c>
      <c r="AT34" s="10">
        <v>10</v>
      </c>
      <c r="AU34" s="10" t="s">
        <v>6</v>
      </c>
      <c r="AV34" s="10" t="s">
        <v>7</v>
      </c>
      <c r="AW34" s="10" t="s">
        <v>8</v>
      </c>
    </row>
    <row r="35" spans="6:49">
      <c r="F35" s="8" t="s">
        <v>10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U35" s="11" t="s">
        <v>10</v>
      </c>
      <c r="V35" s="14">
        <f>V4/SUM(G4,V4,AK4)</f>
        <v>1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f t="shared" ref="AE35:AH35" si="1">AE4/SUM(P4,AE4,AT4)</f>
        <v>1</v>
      </c>
      <c r="AF35" s="14">
        <f t="shared" si="1"/>
        <v>1</v>
      </c>
      <c r="AG35" s="14">
        <f t="shared" si="1"/>
        <v>1</v>
      </c>
      <c r="AH35" s="14">
        <f t="shared" si="1"/>
        <v>1</v>
      </c>
      <c r="AJ35" s="11" t="s">
        <v>10</v>
      </c>
      <c r="AK35" s="14">
        <f>AK4/SUM(G4,V4,AK4)</f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f t="shared" ref="AT35:AW35" si="2">AT4/SUM(P4,AE4,AT4)</f>
        <v>0</v>
      </c>
      <c r="AU35" s="14">
        <f t="shared" si="2"/>
        <v>0</v>
      </c>
      <c r="AV35" s="14">
        <f t="shared" si="2"/>
        <v>0</v>
      </c>
      <c r="AW35" s="14">
        <f t="shared" si="2"/>
        <v>0</v>
      </c>
    </row>
    <row r="36" spans="6:49">
      <c r="F36" s="8" t="s">
        <v>12</v>
      </c>
      <c r="G36" s="13">
        <f>G5/SUM(G5,V5,AK5)</f>
        <v>1.1940298507462687E-2</v>
      </c>
      <c r="H36" s="13">
        <f t="shared" ref="H36:S36" si="3">H5/SUM(H5,W5,AL5)</f>
        <v>0.31645569620253167</v>
      </c>
      <c r="I36" s="13">
        <f t="shared" si="3"/>
        <v>0.49152542372881358</v>
      </c>
      <c r="J36" s="13">
        <f t="shared" si="3"/>
        <v>0.30985915492957744</v>
      </c>
      <c r="K36" s="13">
        <f t="shared" si="3"/>
        <v>0.38709677419354838</v>
      </c>
      <c r="L36" s="13">
        <f t="shared" si="3"/>
        <v>0.48051948051948051</v>
      </c>
      <c r="M36" s="13">
        <f t="shared" si="3"/>
        <v>0.34285714285714286</v>
      </c>
      <c r="N36" s="13">
        <f t="shared" si="3"/>
        <v>0.25396825396825395</v>
      </c>
      <c r="O36" s="13">
        <f t="shared" si="3"/>
        <v>0.34848484848484851</v>
      </c>
      <c r="P36" s="13">
        <f t="shared" si="3"/>
        <v>0.11920529801324503</v>
      </c>
      <c r="Q36" s="13">
        <f t="shared" si="3"/>
        <v>0.125</v>
      </c>
      <c r="R36" s="13">
        <f t="shared" si="3"/>
        <v>8.9743589743589744E-2</v>
      </c>
      <c r="S36" s="13">
        <f t="shared" si="3"/>
        <v>8.3969465648854963E-2</v>
      </c>
      <c r="U36" s="11" t="s">
        <v>12</v>
      </c>
      <c r="V36" s="14">
        <f t="shared" ref="V36:V62" si="4">V5/SUM(G5,V5,AK5)</f>
        <v>0.9880597014925373</v>
      </c>
      <c r="W36" s="14">
        <f t="shared" ref="W36:W62" si="5">W5/SUM(H5,W5,AL5)</f>
        <v>0.68354430379746833</v>
      </c>
      <c r="X36" s="14">
        <f t="shared" ref="X36:X62" si="6">X5/SUM(I5,X5,AM5)</f>
        <v>0.50847457627118642</v>
      </c>
      <c r="Y36" s="14">
        <f t="shared" ref="Y36:Y62" si="7">Y5/SUM(J5,Y5,AN5)</f>
        <v>0.6901408450704225</v>
      </c>
      <c r="Z36" s="14">
        <f t="shared" ref="Z36:Z62" si="8">Z5/SUM(K5,Z5,AO5)</f>
        <v>0.61290322580645162</v>
      </c>
      <c r="AA36" s="14">
        <f t="shared" ref="AA36:AA62" si="9">AA5/SUM(L5,AA5,AP5)</f>
        <v>0.51948051948051943</v>
      </c>
      <c r="AB36" s="14">
        <f t="shared" ref="AB36:AB62" si="10">AB5/SUM(M5,AB5,AQ5)</f>
        <v>0.65714285714285714</v>
      </c>
      <c r="AC36" s="14">
        <f t="shared" ref="AC36:AC62" si="11">AC5/SUM(N5,AC5,AR5)</f>
        <v>0.74603174603174605</v>
      </c>
      <c r="AD36" s="14">
        <f t="shared" ref="AD36:AD62" si="12">AD5/SUM(O5,AD5,AS5)</f>
        <v>0.65151515151515149</v>
      </c>
      <c r="AE36" s="14">
        <f t="shared" ref="AE36:AE62" si="13">AE5/SUM(P5,AE5,AT5)</f>
        <v>0.88079470198675491</v>
      </c>
      <c r="AF36" s="14">
        <f t="shared" ref="AF36:AF62" si="14">AF5/SUM(Q5,AF5,AU5)</f>
        <v>0.875</v>
      </c>
      <c r="AG36" s="14">
        <f t="shared" ref="AG36:AG62" si="15">AG5/SUM(R5,AG5,AV5)</f>
        <v>0.91025641025641024</v>
      </c>
      <c r="AH36" s="14">
        <f t="shared" ref="AH36:AH62" si="16">AH5/SUM(S5,AH5,AW5)</f>
        <v>0.91603053435114501</v>
      </c>
      <c r="AJ36" s="11" t="s">
        <v>12</v>
      </c>
      <c r="AK36" s="14">
        <f t="shared" ref="AK36:AK62" si="17">AK5/SUM(G5,V5,AK5)</f>
        <v>0</v>
      </c>
      <c r="AL36" s="14">
        <f t="shared" ref="AL36:AL62" si="18">AL5/SUM(H5,W5,AL5)</f>
        <v>0</v>
      </c>
      <c r="AM36" s="14">
        <f t="shared" ref="AM36:AM62" si="19">AM5/SUM(I5,X5,AM5)</f>
        <v>0</v>
      </c>
      <c r="AN36" s="14">
        <f t="shared" ref="AN36:AN62" si="20">AN5/SUM(J5,Y5,AN5)</f>
        <v>0</v>
      </c>
      <c r="AO36" s="14">
        <f t="shared" ref="AO36:AO62" si="21">AO5/SUM(K5,Z5,AO5)</f>
        <v>0</v>
      </c>
      <c r="AP36" s="14">
        <f t="shared" ref="AP36:AP62" si="22">AP5/SUM(L5,AA5,AP5)</f>
        <v>0</v>
      </c>
      <c r="AQ36" s="14">
        <f t="shared" ref="AQ36:AQ62" si="23">AQ5/SUM(M5,AB5,AQ5)</f>
        <v>0</v>
      </c>
      <c r="AR36" s="14">
        <f t="shared" ref="AR36:AR62" si="24">AR5/SUM(N5,AC5,AR5)</f>
        <v>0</v>
      </c>
      <c r="AS36" s="14">
        <f t="shared" ref="AS36:AS62" si="25">AS5/SUM(O5,AD5,AS5)</f>
        <v>0</v>
      </c>
      <c r="AT36" s="14">
        <f t="shared" ref="AT36:AT62" si="26">AT5/SUM(P5,AE5,AT5)</f>
        <v>0</v>
      </c>
      <c r="AU36" s="14">
        <f t="shared" ref="AU36:AU62" si="27">AU5/SUM(Q5,AF5,AU5)</f>
        <v>0</v>
      </c>
      <c r="AV36" s="14">
        <f t="shared" ref="AV36:AV62" si="28">AV5/SUM(R5,AG5,AV5)</f>
        <v>0</v>
      </c>
      <c r="AW36" s="14">
        <f t="shared" ref="AW36:AW62" si="29">AW5/SUM(S5,AH5,AW5)</f>
        <v>0</v>
      </c>
    </row>
    <row r="37" spans="6:49">
      <c r="F37" s="8" t="s">
        <v>14</v>
      </c>
      <c r="G37" s="13">
        <f t="shared" ref="G37:G62" si="30">G6/SUM(G6,V6,AK6)</f>
        <v>6.2111801242236024E-2</v>
      </c>
      <c r="H37" s="13">
        <f t="shared" ref="H37:H62" si="31">H6/SUM(H6,W6,AL6)</f>
        <v>0.35018050541516244</v>
      </c>
      <c r="I37" s="13">
        <f t="shared" ref="I37:I62" si="32">I6/SUM(I6,X6,AM6)</f>
        <v>0.33984375</v>
      </c>
      <c r="J37" s="13">
        <f t="shared" ref="J37:J62" si="33">J6/SUM(J6,Y6,AN6)</f>
        <v>0.40733197556008149</v>
      </c>
      <c r="K37" s="13">
        <f t="shared" ref="K37:K62" si="34">K6/SUM(K6,Z6,AO6)</f>
        <v>0.40227703984819735</v>
      </c>
      <c r="L37" s="13">
        <f t="shared" ref="L37:L62" si="35">L6/SUM(L6,AA6,AP6)</f>
        <v>0.38188277087033745</v>
      </c>
      <c r="M37" s="13">
        <f t="shared" ref="M37:M62" si="36">M6/SUM(M6,AB6,AQ6)</f>
        <v>0.25177304964539005</v>
      </c>
      <c r="N37" s="13">
        <f t="shared" ref="N37:N62" si="37">N6/SUM(N6,AC6,AR6)</f>
        <v>0.28515625</v>
      </c>
      <c r="O37" s="13">
        <f t="shared" ref="O37:O62" si="38">O6/SUM(O6,AD6,AS6)</f>
        <v>0.22242314647377939</v>
      </c>
      <c r="P37" s="13">
        <f t="shared" ref="P37:P62" si="39">P6/SUM(P6,AE6,AT6)</f>
        <v>0.16749585406301823</v>
      </c>
      <c r="Q37" s="13">
        <f t="shared" ref="Q37:Q62" si="40">Q6/SUM(Q6,AF6,AU6)</f>
        <v>0.20627062706270627</v>
      </c>
      <c r="R37" s="13">
        <f t="shared" ref="R37:R62" si="41">R6/SUM(R6,AG6,AV6)</f>
        <v>0.18989280245022971</v>
      </c>
      <c r="S37" s="13">
        <f t="shared" ref="S37:S62" si="42">S6/SUM(S6,AH6,AW6)</f>
        <v>0.20205479452054795</v>
      </c>
      <c r="U37" s="11" t="s">
        <v>14</v>
      </c>
      <c r="V37" s="14">
        <f t="shared" si="4"/>
        <v>0.91677018633540375</v>
      </c>
      <c r="W37" s="14">
        <f t="shared" si="5"/>
        <v>0.6155234657039711</v>
      </c>
      <c r="X37" s="14">
        <f t="shared" si="6"/>
        <v>0.638671875</v>
      </c>
      <c r="Y37" s="14">
        <f t="shared" si="7"/>
        <v>0.56619144602851323</v>
      </c>
      <c r="Z37" s="14">
        <f t="shared" si="8"/>
        <v>0.55597722960151807</v>
      </c>
      <c r="AA37" s="14">
        <f t="shared" si="9"/>
        <v>0.58436944937833035</v>
      </c>
      <c r="AB37" s="14">
        <f t="shared" si="10"/>
        <v>0.67021276595744683</v>
      </c>
      <c r="AC37" s="14">
        <f t="shared" si="11"/>
        <v>0.693359375</v>
      </c>
      <c r="AD37" s="14">
        <f t="shared" si="12"/>
        <v>0.759493670886076</v>
      </c>
      <c r="AE37" s="14">
        <f t="shared" si="13"/>
        <v>0.81757877280265345</v>
      </c>
      <c r="AF37" s="14">
        <f t="shared" si="14"/>
        <v>0.7722772277227723</v>
      </c>
      <c r="AG37" s="14">
        <f t="shared" si="15"/>
        <v>0.79632465543644715</v>
      </c>
      <c r="AH37" s="14">
        <f t="shared" si="16"/>
        <v>0.78082191780821919</v>
      </c>
      <c r="AJ37" s="11" t="s">
        <v>14</v>
      </c>
      <c r="AK37" s="14">
        <f t="shared" si="17"/>
        <v>2.1118012422360249E-2</v>
      </c>
      <c r="AL37" s="14">
        <f t="shared" si="18"/>
        <v>3.4296028880866428E-2</v>
      </c>
      <c r="AM37" s="14">
        <f t="shared" si="19"/>
        <v>2.1484375E-2</v>
      </c>
      <c r="AN37" s="14">
        <f t="shared" si="20"/>
        <v>2.6476578411405296E-2</v>
      </c>
      <c r="AO37" s="14">
        <f t="shared" si="21"/>
        <v>4.1745730550284632E-2</v>
      </c>
      <c r="AP37" s="14">
        <f t="shared" si="22"/>
        <v>3.3747779751332148E-2</v>
      </c>
      <c r="AQ37" s="14">
        <f t="shared" si="23"/>
        <v>7.8014184397163122E-2</v>
      </c>
      <c r="AR37" s="14">
        <f t="shared" si="24"/>
        <v>2.1484375E-2</v>
      </c>
      <c r="AS37" s="14">
        <f t="shared" si="25"/>
        <v>1.8083182640144666E-2</v>
      </c>
      <c r="AT37" s="14">
        <f t="shared" si="26"/>
        <v>1.4925373134328358E-2</v>
      </c>
      <c r="AU37" s="14">
        <f t="shared" si="27"/>
        <v>2.1452145214521452E-2</v>
      </c>
      <c r="AV37" s="14">
        <f t="shared" si="28"/>
        <v>1.3782542113323124E-2</v>
      </c>
      <c r="AW37" s="14">
        <f t="shared" si="29"/>
        <v>1.7123287671232876E-2</v>
      </c>
    </row>
    <row r="38" spans="6:49">
      <c r="F38" s="8" t="s">
        <v>16</v>
      </c>
      <c r="G38" s="13">
        <f t="shared" si="30"/>
        <v>0.11653813196229648</v>
      </c>
      <c r="H38" s="13">
        <f t="shared" si="31"/>
        <v>0.39209039548022601</v>
      </c>
      <c r="I38" s="13">
        <f t="shared" si="32"/>
        <v>0.39657142857142857</v>
      </c>
      <c r="J38" s="13">
        <f t="shared" si="33"/>
        <v>0.41195652173913044</v>
      </c>
      <c r="K38" s="13">
        <f t="shared" si="34"/>
        <v>0.44873341375150783</v>
      </c>
      <c r="L38" s="13">
        <f t="shared" si="35"/>
        <v>0.45892661555312159</v>
      </c>
      <c r="M38" s="13">
        <f t="shared" si="36"/>
        <v>0.32639649507119389</v>
      </c>
      <c r="N38" s="13">
        <f t="shared" si="37"/>
        <v>0.24118942731277532</v>
      </c>
      <c r="O38" s="13">
        <f t="shared" si="38"/>
        <v>0.23758099352051837</v>
      </c>
      <c r="P38" s="13">
        <f t="shared" si="39"/>
        <v>0.22132796780684105</v>
      </c>
      <c r="Q38" s="13">
        <f t="shared" si="40"/>
        <v>0.23819517313746066</v>
      </c>
      <c r="R38" s="13">
        <f t="shared" si="41"/>
        <v>0.20474137931034483</v>
      </c>
      <c r="S38" s="13">
        <f t="shared" si="42"/>
        <v>0.2055185537583254</v>
      </c>
      <c r="U38" s="11" t="s">
        <v>16</v>
      </c>
      <c r="V38" s="14">
        <f t="shared" si="4"/>
        <v>0.79434447300771205</v>
      </c>
      <c r="W38" s="14">
        <f t="shared" si="5"/>
        <v>0.488135593220339</v>
      </c>
      <c r="X38" s="14">
        <f t="shared" si="6"/>
        <v>0.50514285714285712</v>
      </c>
      <c r="Y38" s="14">
        <f t="shared" si="7"/>
        <v>0.4826086956521739</v>
      </c>
      <c r="Z38" s="14">
        <f t="shared" si="8"/>
        <v>0.46562123039806996</v>
      </c>
      <c r="AA38" s="14">
        <f t="shared" si="9"/>
        <v>0.4249726177437021</v>
      </c>
      <c r="AB38" s="14">
        <f t="shared" si="10"/>
        <v>0.38773274917853229</v>
      </c>
      <c r="AC38" s="14">
        <f t="shared" si="11"/>
        <v>0.61563876651982374</v>
      </c>
      <c r="AD38" s="14">
        <f t="shared" si="12"/>
        <v>0.66738660907127434</v>
      </c>
      <c r="AE38" s="14">
        <f t="shared" si="13"/>
        <v>0.6901408450704225</v>
      </c>
      <c r="AF38" s="14">
        <f t="shared" si="14"/>
        <v>0.6820566631689402</v>
      </c>
      <c r="AG38" s="14">
        <f t="shared" si="15"/>
        <v>0.70258620689655171</v>
      </c>
      <c r="AH38" s="14">
        <f t="shared" si="16"/>
        <v>0.71836346336822077</v>
      </c>
      <c r="AJ38" s="11" t="s">
        <v>16</v>
      </c>
      <c r="AK38" s="14">
        <f t="shared" si="17"/>
        <v>8.9117395029991428E-2</v>
      </c>
      <c r="AL38" s="14">
        <f t="shared" si="18"/>
        <v>0.11977401129943503</v>
      </c>
      <c r="AM38" s="14">
        <f t="shared" si="19"/>
        <v>9.8285714285714282E-2</v>
      </c>
      <c r="AN38" s="14">
        <f t="shared" si="20"/>
        <v>0.10543478260869565</v>
      </c>
      <c r="AO38" s="14">
        <f t="shared" si="21"/>
        <v>8.5645355850422197E-2</v>
      </c>
      <c r="AP38" s="14">
        <f t="shared" si="22"/>
        <v>0.11610076670317634</v>
      </c>
      <c r="AQ38" s="14">
        <f t="shared" si="23"/>
        <v>0.28587075575027382</v>
      </c>
      <c r="AR38" s="14">
        <f t="shared" si="24"/>
        <v>0.14317180616740088</v>
      </c>
      <c r="AS38" s="14">
        <f t="shared" si="25"/>
        <v>9.5032397408207347E-2</v>
      </c>
      <c r="AT38" s="14">
        <f t="shared" si="26"/>
        <v>8.8531187122736416E-2</v>
      </c>
      <c r="AU38" s="14">
        <f t="shared" si="27"/>
        <v>7.9748163693599161E-2</v>
      </c>
      <c r="AV38" s="14">
        <f t="shared" si="28"/>
        <v>9.2672413793103453E-2</v>
      </c>
      <c r="AW38" s="14">
        <f t="shared" si="29"/>
        <v>7.6117982873453852E-2</v>
      </c>
    </row>
    <row r="39" spans="6:49">
      <c r="F39" s="8" t="s">
        <v>18</v>
      </c>
      <c r="G39" s="13">
        <f t="shared" si="30"/>
        <v>0.1864406779661017</v>
      </c>
      <c r="H39" s="13">
        <f t="shared" si="31"/>
        <v>0.48445792266868842</v>
      </c>
      <c r="I39" s="13">
        <f t="shared" si="32"/>
        <v>0.50262960180315552</v>
      </c>
      <c r="J39" s="13">
        <f t="shared" si="33"/>
        <v>0.51551312649164682</v>
      </c>
      <c r="K39" s="13">
        <f t="shared" si="34"/>
        <v>0.5350553505535055</v>
      </c>
      <c r="L39" s="13">
        <f t="shared" si="35"/>
        <v>0.57720057720057716</v>
      </c>
      <c r="M39" s="13">
        <f t="shared" si="36"/>
        <v>0.54958364875094623</v>
      </c>
      <c r="N39" s="13">
        <f t="shared" si="37"/>
        <v>0.38525206922498118</v>
      </c>
      <c r="O39" s="13">
        <f t="shared" si="38"/>
        <v>0.35130970724191063</v>
      </c>
      <c r="P39" s="13">
        <f t="shared" si="39"/>
        <v>0.30129124820659969</v>
      </c>
      <c r="Q39" s="13">
        <f t="shared" si="40"/>
        <v>0.28852920478536243</v>
      </c>
      <c r="R39" s="13">
        <f t="shared" si="41"/>
        <v>0.28609805238415043</v>
      </c>
      <c r="S39" s="13">
        <f t="shared" si="42"/>
        <v>0.29715950473415875</v>
      </c>
      <c r="U39" s="11" t="s">
        <v>18</v>
      </c>
      <c r="V39" s="14">
        <f t="shared" si="4"/>
        <v>0.73069679849340863</v>
      </c>
      <c r="W39" s="14">
        <f t="shared" si="5"/>
        <v>0.38893100833965127</v>
      </c>
      <c r="X39" s="14">
        <f t="shared" si="6"/>
        <v>0.39293764087152516</v>
      </c>
      <c r="Y39" s="14">
        <f t="shared" si="7"/>
        <v>0.37947494033412887</v>
      </c>
      <c r="Z39" s="14">
        <f t="shared" si="8"/>
        <v>0.36605166051660515</v>
      </c>
      <c r="AA39" s="14">
        <f t="shared" si="9"/>
        <v>0.32683982683982682</v>
      </c>
      <c r="AB39" s="14">
        <f t="shared" si="10"/>
        <v>0.3126419379258138</v>
      </c>
      <c r="AC39" s="14">
        <f t="shared" si="11"/>
        <v>0.3942814145974417</v>
      </c>
      <c r="AD39" s="14">
        <f t="shared" si="12"/>
        <v>0.51771956856702617</v>
      </c>
      <c r="AE39" s="14">
        <f t="shared" si="13"/>
        <v>0.60401721664275465</v>
      </c>
      <c r="AF39" s="14">
        <f t="shared" si="14"/>
        <v>0.61787473610133714</v>
      </c>
      <c r="AG39" s="14">
        <f t="shared" si="15"/>
        <v>0.61517797179314981</v>
      </c>
      <c r="AH39" s="14">
        <f t="shared" si="16"/>
        <v>0.61981063364894395</v>
      </c>
      <c r="AJ39" s="11" t="s">
        <v>18</v>
      </c>
      <c r="AK39" s="14">
        <f t="shared" si="17"/>
        <v>8.2862523540489647E-2</v>
      </c>
      <c r="AL39" s="14">
        <f t="shared" si="18"/>
        <v>0.12661106899166036</v>
      </c>
      <c r="AM39" s="14">
        <f t="shared" si="19"/>
        <v>0.10443275732531931</v>
      </c>
      <c r="AN39" s="14">
        <f t="shared" si="20"/>
        <v>0.10501193317422435</v>
      </c>
      <c r="AO39" s="14">
        <f t="shared" si="21"/>
        <v>9.8892988929889306E-2</v>
      </c>
      <c r="AP39" s="14">
        <f t="shared" si="22"/>
        <v>9.5959595959595953E-2</v>
      </c>
      <c r="AQ39" s="14">
        <f t="shared" si="23"/>
        <v>0.13777441332323997</v>
      </c>
      <c r="AR39" s="14">
        <f t="shared" si="24"/>
        <v>0.22046651617757712</v>
      </c>
      <c r="AS39" s="14">
        <f t="shared" si="25"/>
        <v>0.13097072419106318</v>
      </c>
      <c r="AT39" s="14">
        <f t="shared" si="26"/>
        <v>9.4691535150645628E-2</v>
      </c>
      <c r="AU39" s="14">
        <f t="shared" si="27"/>
        <v>9.3596059113300489E-2</v>
      </c>
      <c r="AV39" s="14">
        <f t="shared" si="28"/>
        <v>9.8723975822699803E-2</v>
      </c>
      <c r="AW39" s="14">
        <f t="shared" si="29"/>
        <v>8.3029861616897307E-2</v>
      </c>
    </row>
    <row r="40" spans="6:49">
      <c r="F40" s="8" t="s">
        <v>20</v>
      </c>
      <c r="G40" s="13">
        <f t="shared" si="30"/>
        <v>0.27867298578199051</v>
      </c>
      <c r="H40" s="13">
        <f t="shared" si="31"/>
        <v>0.55373213340391747</v>
      </c>
      <c r="I40" s="13">
        <f t="shared" si="32"/>
        <v>0.57381324986958793</v>
      </c>
      <c r="J40" s="13">
        <f t="shared" si="33"/>
        <v>0.59711846318036288</v>
      </c>
      <c r="K40" s="13">
        <f t="shared" si="34"/>
        <v>0.59431524547803616</v>
      </c>
      <c r="L40" s="13">
        <f t="shared" si="35"/>
        <v>0.61615628299894398</v>
      </c>
      <c r="M40" s="13">
        <f t="shared" si="36"/>
        <v>0.6339144215530903</v>
      </c>
      <c r="N40" s="13">
        <f t="shared" si="37"/>
        <v>0.56788166930797679</v>
      </c>
      <c r="O40" s="13">
        <f t="shared" si="38"/>
        <v>0.44158628081457663</v>
      </c>
      <c r="P40" s="13">
        <f t="shared" si="39"/>
        <v>0.38473205257836196</v>
      </c>
      <c r="Q40" s="13">
        <f t="shared" si="40"/>
        <v>0.37722419928825623</v>
      </c>
      <c r="R40" s="13">
        <f t="shared" si="41"/>
        <v>0.3506053268765133</v>
      </c>
      <c r="S40" s="13">
        <f t="shared" si="42"/>
        <v>0.39811419591409114</v>
      </c>
      <c r="U40" s="11" t="s">
        <v>20</v>
      </c>
      <c r="V40" s="14">
        <f t="shared" si="4"/>
        <v>0.61990521327014214</v>
      </c>
      <c r="W40" s="14">
        <f t="shared" si="5"/>
        <v>0.33298041291688724</v>
      </c>
      <c r="X40" s="14">
        <f t="shared" si="6"/>
        <v>0.31872717788210747</v>
      </c>
      <c r="Y40" s="14">
        <f t="shared" si="7"/>
        <v>0.31003201707577377</v>
      </c>
      <c r="Z40" s="14">
        <f t="shared" si="8"/>
        <v>0.30335917312661498</v>
      </c>
      <c r="AA40" s="14">
        <f t="shared" si="9"/>
        <v>0.27560718057022177</v>
      </c>
      <c r="AB40" s="14">
        <f t="shared" si="10"/>
        <v>0.26307448494453251</v>
      </c>
      <c r="AC40" s="14">
        <f t="shared" si="11"/>
        <v>0.28578975171685156</v>
      </c>
      <c r="AD40" s="14">
        <f t="shared" si="12"/>
        <v>0.33762057877813506</v>
      </c>
      <c r="AE40" s="14">
        <f t="shared" si="13"/>
        <v>0.50252780586450962</v>
      </c>
      <c r="AF40" s="14">
        <f t="shared" si="14"/>
        <v>0.50177935943060503</v>
      </c>
      <c r="AG40" s="14">
        <f t="shared" si="15"/>
        <v>0.51670702179176753</v>
      </c>
      <c r="AH40" s="14">
        <f t="shared" si="16"/>
        <v>0.48821372446306965</v>
      </c>
      <c r="AJ40" s="11" t="s">
        <v>20</v>
      </c>
      <c r="AK40" s="14">
        <f t="shared" si="17"/>
        <v>0.1014218009478673</v>
      </c>
      <c r="AL40" s="14">
        <f t="shared" si="18"/>
        <v>0.11328745367919534</v>
      </c>
      <c r="AM40" s="14">
        <f t="shared" si="19"/>
        <v>0.10745957224830464</v>
      </c>
      <c r="AN40" s="14">
        <f t="shared" si="20"/>
        <v>9.2849519743863393E-2</v>
      </c>
      <c r="AO40" s="14">
        <f t="shared" si="21"/>
        <v>0.10232558139534884</v>
      </c>
      <c r="AP40" s="14">
        <f t="shared" si="22"/>
        <v>0.10823653643083421</v>
      </c>
      <c r="AQ40" s="14">
        <f t="shared" si="23"/>
        <v>0.10301109350237718</v>
      </c>
      <c r="AR40" s="14">
        <f t="shared" si="24"/>
        <v>0.14632857897517168</v>
      </c>
      <c r="AS40" s="14">
        <f t="shared" si="25"/>
        <v>0.22079314040728831</v>
      </c>
      <c r="AT40" s="14">
        <f t="shared" si="26"/>
        <v>0.11274014155712841</v>
      </c>
      <c r="AU40" s="14">
        <f t="shared" si="27"/>
        <v>0.12099644128113879</v>
      </c>
      <c r="AV40" s="14">
        <f t="shared" si="28"/>
        <v>0.13268765133171914</v>
      </c>
      <c r="AW40" s="14">
        <f t="shared" si="29"/>
        <v>0.11367207962283918</v>
      </c>
    </row>
    <row r="41" spans="6:49">
      <c r="F41" s="8" t="s">
        <v>22</v>
      </c>
      <c r="G41" s="13">
        <f t="shared" si="30"/>
        <v>0.36830758174631695</v>
      </c>
      <c r="H41" s="13">
        <f t="shared" si="31"/>
        <v>0.67060212514757966</v>
      </c>
      <c r="I41" s="13">
        <f t="shared" si="32"/>
        <v>0.65230769230769226</v>
      </c>
      <c r="J41" s="13">
        <f t="shared" si="33"/>
        <v>0.68481595092024539</v>
      </c>
      <c r="K41" s="13">
        <f t="shared" si="34"/>
        <v>0.67460007803355437</v>
      </c>
      <c r="L41" s="13">
        <f t="shared" si="35"/>
        <v>0.7163776493256262</v>
      </c>
      <c r="M41" s="13">
        <f t="shared" si="36"/>
        <v>0.69657296881016562</v>
      </c>
      <c r="N41" s="13">
        <f t="shared" si="37"/>
        <v>0.64928732183045756</v>
      </c>
      <c r="O41" s="13">
        <f t="shared" si="38"/>
        <v>0.61714930424971792</v>
      </c>
      <c r="P41" s="13">
        <f t="shared" si="39"/>
        <v>0.46877296105804556</v>
      </c>
      <c r="Q41" s="13">
        <f t="shared" si="40"/>
        <v>0.46542056074766353</v>
      </c>
      <c r="R41" s="13">
        <f t="shared" si="41"/>
        <v>0.46316584812995842</v>
      </c>
      <c r="S41" s="13">
        <f t="shared" si="42"/>
        <v>0.46739554861382271</v>
      </c>
      <c r="U41" s="11" t="s">
        <v>22</v>
      </c>
      <c r="V41" s="14">
        <f t="shared" si="4"/>
        <v>0.52569169960474305</v>
      </c>
      <c r="W41" s="14">
        <f t="shared" si="5"/>
        <v>0.2408500590318772</v>
      </c>
      <c r="X41" s="14">
        <f t="shared" si="6"/>
        <v>0.25230769230769229</v>
      </c>
      <c r="Y41" s="14">
        <f t="shared" si="7"/>
        <v>0.22200920245398773</v>
      </c>
      <c r="Z41" s="14">
        <f t="shared" si="8"/>
        <v>0.22512680452594616</v>
      </c>
      <c r="AA41" s="14">
        <f t="shared" si="9"/>
        <v>0.19653179190751446</v>
      </c>
      <c r="AB41" s="14">
        <f t="shared" si="10"/>
        <v>0.19484020023103582</v>
      </c>
      <c r="AC41" s="14">
        <f t="shared" si="11"/>
        <v>0.2441860465116279</v>
      </c>
      <c r="AD41" s="14">
        <f t="shared" si="12"/>
        <v>0.26476118841669799</v>
      </c>
      <c r="AE41" s="14">
        <f t="shared" si="13"/>
        <v>0.34459955914768553</v>
      </c>
      <c r="AF41" s="14">
        <f t="shared" si="14"/>
        <v>0.34429906542056077</v>
      </c>
      <c r="AG41" s="14">
        <f t="shared" si="15"/>
        <v>0.3471854930109558</v>
      </c>
      <c r="AH41" s="14">
        <f t="shared" si="16"/>
        <v>0.33932057789925812</v>
      </c>
      <c r="AJ41" s="11" t="s">
        <v>22</v>
      </c>
      <c r="AK41" s="14">
        <f t="shared" si="17"/>
        <v>0.10600071864893999</v>
      </c>
      <c r="AL41" s="14">
        <f t="shared" si="18"/>
        <v>8.8547815820543094E-2</v>
      </c>
      <c r="AM41" s="14">
        <f t="shared" si="19"/>
        <v>9.5384615384615387E-2</v>
      </c>
      <c r="AN41" s="14">
        <f t="shared" si="20"/>
        <v>9.3174846625766874E-2</v>
      </c>
      <c r="AO41" s="14">
        <f t="shared" si="21"/>
        <v>0.10027311744049941</v>
      </c>
      <c r="AP41" s="14">
        <f t="shared" si="22"/>
        <v>8.7090558766859338E-2</v>
      </c>
      <c r="AQ41" s="14">
        <f t="shared" si="23"/>
        <v>0.10858683095879862</v>
      </c>
      <c r="AR41" s="14">
        <f t="shared" si="24"/>
        <v>0.10652663165791448</v>
      </c>
      <c r="AS41" s="14">
        <f t="shared" si="25"/>
        <v>0.11808950733358406</v>
      </c>
      <c r="AT41" s="14">
        <f t="shared" si="26"/>
        <v>0.18662747979426891</v>
      </c>
      <c r="AU41" s="14">
        <f t="shared" si="27"/>
        <v>0.19028037383177571</v>
      </c>
      <c r="AV41" s="14">
        <f t="shared" si="28"/>
        <v>0.18964865885908574</v>
      </c>
      <c r="AW41" s="14">
        <f t="shared" si="29"/>
        <v>0.19328387348691917</v>
      </c>
    </row>
    <row r="42" spans="6:49">
      <c r="F42" s="8" t="s">
        <v>24</v>
      </c>
      <c r="G42" s="13">
        <f t="shared" si="30"/>
        <v>0.40516273849607182</v>
      </c>
      <c r="H42" s="13">
        <f t="shared" si="31"/>
        <v>0.65045682287061601</v>
      </c>
      <c r="I42" s="13">
        <f t="shared" si="32"/>
        <v>0.67104495037945122</v>
      </c>
      <c r="J42" s="13">
        <f t="shared" si="33"/>
        <v>0.6911679256246368</v>
      </c>
      <c r="K42" s="13">
        <f t="shared" si="34"/>
        <v>0.67806603773584906</v>
      </c>
      <c r="L42" s="13">
        <f t="shared" si="35"/>
        <v>0.69635986978395981</v>
      </c>
      <c r="M42" s="13">
        <f t="shared" si="36"/>
        <v>0.67791141097095919</v>
      </c>
      <c r="N42" s="13">
        <f t="shared" si="37"/>
        <v>0.65054879857609016</v>
      </c>
      <c r="O42" s="13">
        <f t="shared" si="38"/>
        <v>0.6064593301435407</v>
      </c>
      <c r="P42" s="13">
        <f t="shared" si="39"/>
        <v>0.53605905735377624</v>
      </c>
      <c r="Q42" s="13">
        <f t="shared" si="40"/>
        <v>0.53850676072898296</v>
      </c>
      <c r="R42" s="13">
        <f t="shared" si="41"/>
        <v>0.5259495505943752</v>
      </c>
      <c r="S42" s="13">
        <f t="shared" si="42"/>
        <v>0.54152542372881352</v>
      </c>
      <c r="U42" s="11" t="s">
        <v>24</v>
      </c>
      <c r="V42" s="14">
        <f t="shared" si="4"/>
        <v>0.54320987654320985</v>
      </c>
      <c r="W42" s="14">
        <f t="shared" si="5"/>
        <v>0.29030356616563513</v>
      </c>
      <c r="X42" s="14">
        <f t="shared" si="6"/>
        <v>0.27729130180969058</v>
      </c>
      <c r="Y42" s="14">
        <f t="shared" si="7"/>
        <v>0.26118535735037768</v>
      </c>
      <c r="Z42" s="14">
        <f t="shared" si="8"/>
        <v>0.27093160377358488</v>
      </c>
      <c r="AA42" s="14">
        <f t="shared" si="9"/>
        <v>0.25421722403077834</v>
      </c>
      <c r="AB42" s="14">
        <f t="shared" si="10"/>
        <v>0.24816661777647403</v>
      </c>
      <c r="AC42" s="14">
        <f t="shared" si="11"/>
        <v>0.28774844259863541</v>
      </c>
      <c r="AD42" s="14">
        <f t="shared" si="12"/>
        <v>0.32266746411483255</v>
      </c>
      <c r="AE42" s="14">
        <f t="shared" si="13"/>
        <v>0.39381033503691082</v>
      </c>
      <c r="AF42" s="14">
        <f t="shared" si="14"/>
        <v>0.39329805996472661</v>
      </c>
      <c r="AG42" s="14">
        <f t="shared" si="15"/>
        <v>0.40533487967526821</v>
      </c>
      <c r="AH42" s="14">
        <f t="shared" si="16"/>
        <v>0.39604519774011299</v>
      </c>
      <c r="AJ42" s="11" t="s">
        <v>24</v>
      </c>
      <c r="AK42" s="14">
        <f t="shared" si="17"/>
        <v>5.1627384960718295E-2</v>
      </c>
      <c r="AL42" s="14">
        <f t="shared" si="18"/>
        <v>5.9239610963748898E-2</v>
      </c>
      <c r="AM42" s="14">
        <f t="shared" si="19"/>
        <v>5.166374781085814E-2</v>
      </c>
      <c r="AN42" s="14">
        <f t="shared" si="20"/>
        <v>4.764671702498547E-2</v>
      </c>
      <c r="AO42" s="14">
        <f t="shared" si="21"/>
        <v>5.1002358490566037E-2</v>
      </c>
      <c r="AP42" s="14">
        <f t="shared" si="22"/>
        <v>4.9422906185261913E-2</v>
      </c>
      <c r="AQ42" s="14">
        <f t="shared" si="23"/>
        <v>7.3921971252566734E-2</v>
      </c>
      <c r="AR42" s="14">
        <f t="shared" si="24"/>
        <v>6.1702758825274401E-2</v>
      </c>
      <c r="AS42" s="14">
        <f t="shared" si="25"/>
        <v>7.0873205741626796E-2</v>
      </c>
      <c r="AT42" s="14">
        <f t="shared" si="26"/>
        <v>7.0130607609312889E-2</v>
      </c>
      <c r="AU42" s="14">
        <f t="shared" si="27"/>
        <v>6.8195179306290418E-2</v>
      </c>
      <c r="AV42" s="14">
        <f t="shared" si="28"/>
        <v>6.8715569730356627E-2</v>
      </c>
      <c r="AW42" s="14">
        <f t="shared" si="29"/>
        <v>6.242937853107345E-2</v>
      </c>
    </row>
    <row r="43" spans="6:49">
      <c r="F43" s="8" t="s">
        <v>25</v>
      </c>
      <c r="G43" s="13">
        <f t="shared" si="30"/>
        <v>0.18870105476087271</v>
      </c>
      <c r="H43" s="13">
        <f t="shared" si="31"/>
        <v>0.33153071954333785</v>
      </c>
      <c r="I43" s="13">
        <f t="shared" si="32"/>
        <v>0.32983576642335766</v>
      </c>
      <c r="J43" s="13">
        <f t="shared" si="33"/>
        <v>0.34085744584153915</v>
      </c>
      <c r="K43" s="13">
        <f t="shared" si="34"/>
        <v>0.34642207398423286</v>
      </c>
      <c r="L43" s="13">
        <f t="shared" si="35"/>
        <v>0.35990264679038636</v>
      </c>
      <c r="M43" s="13">
        <f t="shared" si="36"/>
        <v>0.33768996960486325</v>
      </c>
      <c r="N43" s="13">
        <f t="shared" si="37"/>
        <v>0.31016691957511383</v>
      </c>
      <c r="O43" s="13">
        <f t="shared" si="38"/>
        <v>0.28457564575645755</v>
      </c>
      <c r="P43" s="13">
        <f t="shared" si="39"/>
        <v>0.24120234604105573</v>
      </c>
      <c r="Q43" s="13">
        <f t="shared" si="40"/>
        <v>0.24609789362024548</v>
      </c>
      <c r="R43" s="13">
        <f t="shared" si="41"/>
        <v>0.24358974358974358</v>
      </c>
      <c r="S43" s="13">
        <f t="shared" si="42"/>
        <v>0.2354681260168614</v>
      </c>
      <c r="U43" s="11" t="s">
        <v>25</v>
      </c>
      <c r="V43" s="14">
        <f t="shared" si="4"/>
        <v>0.76448490102586331</v>
      </c>
      <c r="W43" s="14">
        <f t="shared" si="5"/>
        <v>0.6203995793901157</v>
      </c>
      <c r="X43" s="14">
        <f t="shared" si="6"/>
        <v>0.62271897810218979</v>
      </c>
      <c r="Y43" s="14">
        <f t="shared" si="7"/>
        <v>0.61839115285562796</v>
      </c>
      <c r="Z43" s="14">
        <f t="shared" si="8"/>
        <v>0.61052152819890848</v>
      </c>
      <c r="AA43" s="14">
        <f t="shared" si="9"/>
        <v>0.59583206571341651</v>
      </c>
      <c r="AB43" s="14">
        <f t="shared" si="10"/>
        <v>0.60486322188449848</v>
      </c>
      <c r="AC43" s="14">
        <f t="shared" si="11"/>
        <v>0.62867981790591809</v>
      </c>
      <c r="AD43" s="14">
        <f t="shared" si="12"/>
        <v>0.65062730627306276</v>
      </c>
      <c r="AE43" s="14">
        <f t="shared" si="13"/>
        <v>0.69985337243401757</v>
      </c>
      <c r="AF43" s="14">
        <f t="shared" si="14"/>
        <v>0.6943476284285498</v>
      </c>
      <c r="AG43" s="14">
        <f t="shared" si="15"/>
        <v>0.6916898362681495</v>
      </c>
      <c r="AH43" s="14">
        <f t="shared" si="16"/>
        <v>0.70167135039195383</v>
      </c>
      <c r="AJ43" s="11" t="s">
        <v>25</v>
      </c>
      <c r="AK43" s="14">
        <f t="shared" si="17"/>
        <v>4.6814044213263982E-2</v>
      </c>
      <c r="AL43" s="14">
        <f t="shared" si="18"/>
        <v>4.806970106654649E-2</v>
      </c>
      <c r="AM43" s="14">
        <f t="shared" si="19"/>
        <v>4.7445255474452552E-2</v>
      </c>
      <c r="AN43" s="14">
        <f t="shared" si="20"/>
        <v>4.0751401302832904E-2</v>
      </c>
      <c r="AO43" s="14">
        <f t="shared" si="21"/>
        <v>4.3056397816858702E-2</v>
      </c>
      <c r="AP43" s="14">
        <f t="shared" si="22"/>
        <v>4.4265287496197139E-2</v>
      </c>
      <c r="AQ43" s="14">
        <f t="shared" si="23"/>
        <v>5.7446808510638298E-2</v>
      </c>
      <c r="AR43" s="14">
        <f t="shared" si="24"/>
        <v>6.1153262518968132E-2</v>
      </c>
      <c r="AS43" s="14">
        <f t="shared" si="25"/>
        <v>6.4797047970479707E-2</v>
      </c>
      <c r="AT43" s="14">
        <f t="shared" si="26"/>
        <v>5.8944281524926687E-2</v>
      </c>
      <c r="AU43" s="14">
        <f t="shared" si="27"/>
        <v>5.9554477951204728E-2</v>
      </c>
      <c r="AV43" s="14">
        <f t="shared" si="28"/>
        <v>6.4720420142106883E-2</v>
      </c>
      <c r="AW43" s="14">
        <f t="shared" si="29"/>
        <v>6.2860523591184742E-2</v>
      </c>
    </row>
    <row r="44" spans="6:49">
      <c r="F44" s="8" t="s">
        <v>26</v>
      </c>
      <c r="G44" s="13">
        <f t="shared" si="30"/>
        <v>0.17427690500660695</v>
      </c>
      <c r="H44" s="13">
        <f t="shared" si="31"/>
        <v>0.30097087378640774</v>
      </c>
      <c r="I44" s="13">
        <f t="shared" si="32"/>
        <v>0.30289001122334458</v>
      </c>
      <c r="J44" s="13">
        <f t="shared" si="33"/>
        <v>0.30899031811894884</v>
      </c>
      <c r="K44" s="13">
        <f t="shared" si="34"/>
        <v>0.30924695459579182</v>
      </c>
      <c r="L44" s="13">
        <f t="shared" si="35"/>
        <v>0.32156753752084494</v>
      </c>
      <c r="M44" s="13">
        <f t="shared" si="36"/>
        <v>0.31356867071152783</v>
      </c>
      <c r="N44" s="13">
        <f t="shared" si="37"/>
        <v>0.29004568738751213</v>
      </c>
      <c r="O44" s="13">
        <f t="shared" si="38"/>
        <v>0.26739824975691068</v>
      </c>
      <c r="P44" s="13">
        <f t="shared" si="39"/>
        <v>0.22372588540167002</v>
      </c>
      <c r="Q44" s="13">
        <f t="shared" si="40"/>
        <v>0.21712874004940982</v>
      </c>
      <c r="R44" s="13">
        <f t="shared" si="41"/>
        <v>0.21691125087351504</v>
      </c>
      <c r="S44" s="13">
        <f t="shared" si="42"/>
        <v>0.22394617602636277</v>
      </c>
      <c r="U44" s="11" t="s">
        <v>26</v>
      </c>
      <c r="V44" s="14">
        <f t="shared" si="4"/>
        <v>0.78387901923359271</v>
      </c>
      <c r="W44" s="14">
        <f t="shared" si="5"/>
        <v>0.65555086534402707</v>
      </c>
      <c r="X44" s="14">
        <f t="shared" si="6"/>
        <v>0.65305836139169471</v>
      </c>
      <c r="Y44" s="14">
        <f t="shared" si="7"/>
        <v>0.65518672199170125</v>
      </c>
      <c r="Z44" s="14">
        <f t="shared" si="8"/>
        <v>0.6508859357696567</v>
      </c>
      <c r="AA44" s="14">
        <f t="shared" si="9"/>
        <v>0.6372984991662034</v>
      </c>
      <c r="AB44" s="14">
        <f t="shared" si="10"/>
        <v>0.63154991726420295</v>
      </c>
      <c r="AC44" s="14">
        <f t="shared" si="11"/>
        <v>0.65222206839263464</v>
      </c>
      <c r="AD44" s="14">
        <f t="shared" si="12"/>
        <v>0.67342686484233927</v>
      </c>
      <c r="AE44" s="14">
        <f t="shared" si="13"/>
        <v>0.72329398214799889</v>
      </c>
      <c r="AF44" s="14">
        <f t="shared" si="14"/>
        <v>0.72165797419709032</v>
      </c>
      <c r="AG44" s="14">
        <f t="shared" si="15"/>
        <v>0.72522711390635919</v>
      </c>
      <c r="AH44" s="14">
        <f t="shared" si="16"/>
        <v>0.71563915968694214</v>
      </c>
      <c r="AJ44" s="11" t="s">
        <v>26</v>
      </c>
      <c r="AK44" s="14">
        <f t="shared" si="17"/>
        <v>4.1844075759800321E-2</v>
      </c>
      <c r="AL44" s="14">
        <f t="shared" si="18"/>
        <v>4.3478260869565216E-2</v>
      </c>
      <c r="AM44" s="14">
        <f t="shared" si="19"/>
        <v>4.4051627384960719E-2</v>
      </c>
      <c r="AN44" s="14">
        <f t="shared" si="20"/>
        <v>3.5822959889349928E-2</v>
      </c>
      <c r="AO44" s="14">
        <f t="shared" si="21"/>
        <v>3.9867109634551492E-2</v>
      </c>
      <c r="AP44" s="14">
        <f t="shared" si="22"/>
        <v>4.1133963312951639E-2</v>
      </c>
      <c r="AQ44" s="14">
        <f t="shared" si="23"/>
        <v>5.4881412024269167E-2</v>
      </c>
      <c r="AR44" s="14">
        <f t="shared" si="24"/>
        <v>5.7732244219853249E-2</v>
      </c>
      <c r="AS44" s="14">
        <f t="shared" si="25"/>
        <v>5.9174885400750103E-2</v>
      </c>
      <c r="AT44" s="14">
        <f t="shared" si="26"/>
        <v>5.2980132450331126E-2</v>
      </c>
      <c r="AU44" s="14">
        <f t="shared" si="27"/>
        <v>6.1213285753499866E-2</v>
      </c>
      <c r="AV44" s="14">
        <f t="shared" si="28"/>
        <v>5.7861635220125787E-2</v>
      </c>
      <c r="AW44" s="14">
        <f t="shared" si="29"/>
        <v>6.0414664286695043E-2</v>
      </c>
    </row>
    <row r="45" spans="6:49">
      <c r="F45" s="8" t="s">
        <v>27</v>
      </c>
      <c r="G45" s="13">
        <f t="shared" si="30"/>
        <v>0.16899534264803726</v>
      </c>
      <c r="H45" s="13">
        <f t="shared" si="31"/>
        <v>0.2786339538897793</v>
      </c>
      <c r="I45" s="13">
        <f t="shared" si="32"/>
        <v>0.29348630643967433</v>
      </c>
      <c r="J45" s="13">
        <f t="shared" si="33"/>
        <v>0.29138988247317321</v>
      </c>
      <c r="K45" s="13">
        <f t="shared" si="34"/>
        <v>0.28443187407771764</v>
      </c>
      <c r="L45" s="13">
        <f t="shared" si="35"/>
        <v>0.29643080776455855</v>
      </c>
      <c r="M45" s="13">
        <f t="shared" si="36"/>
        <v>0.28691983122362869</v>
      </c>
      <c r="N45" s="13">
        <f t="shared" si="37"/>
        <v>0.27228158390949087</v>
      </c>
      <c r="O45" s="13">
        <f t="shared" si="38"/>
        <v>0.23513446829509005</v>
      </c>
      <c r="P45" s="13">
        <f t="shared" si="39"/>
        <v>0.20481927710843373</v>
      </c>
      <c r="Q45" s="13">
        <f t="shared" si="40"/>
        <v>0.20197293537371949</v>
      </c>
      <c r="R45" s="13">
        <f t="shared" si="41"/>
        <v>0.21510007600709399</v>
      </c>
      <c r="S45" s="13">
        <f t="shared" si="42"/>
        <v>0.2016634676903391</v>
      </c>
      <c r="U45" s="11" t="s">
        <v>27</v>
      </c>
      <c r="V45" s="14">
        <f t="shared" si="4"/>
        <v>0.78802395209580833</v>
      </c>
      <c r="W45" s="14">
        <f t="shared" si="5"/>
        <v>0.6792010849463691</v>
      </c>
      <c r="X45" s="14">
        <f t="shared" si="6"/>
        <v>0.67061435973353067</v>
      </c>
      <c r="Y45" s="14">
        <f t="shared" si="7"/>
        <v>0.67411854879918243</v>
      </c>
      <c r="Z45" s="14">
        <f t="shared" si="8"/>
        <v>0.67966060009837681</v>
      </c>
      <c r="AA45" s="14">
        <f t="shared" si="9"/>
        <v>0.66762680025046961</v>
      </c>
      <c r="AB45" s="14">
        <f t="shared" si="10"/>
        <v>0.66219905683792502</v>
      </c>
      <c r="AC45" s="14">
        <f t="shared" si="11"/>
        <v>0.67693274670018855</v>
      </c>
      <c r="AD45" s="14">
        <f t="shared" si="12"/>
        <v>0.71070811744386875</v>
      </c>
      <c r="AE45" s="14">
        <f t="shared" si="13"/>
        <v>0.73937856689917569</v>
      </c>
      <c r="AF45" s="14">
        <f t="shared" si="14"/>
        <v>0.74845073985076516</v>
      </c>
      <c r="AG45" s="14">
        <f t="shared" si="15"/>
        <v>0.72903470990625796</v>
      </c>
      <c r="AH45" s="14">
        <f t="shared" si="16"/>
        <v>0.74472168905950098</v>
      </c>
      <c r="AJ45" s="11" t="s">
        <v>27</v>
      </c>
      <c r="AK45" s="14">
        <f t="shared" si="17"/>
        <v>4.2980705256154356E-2</v>
      </c>
      <c r="AL45" s="14">
        <f t="shared" si="18"/>
        <v>4.2164961163851558E-2</v>
      </c>
      <c r="AM45" s="14">
        <f t="shared" si="19"/>
        <v>3.5899333826794964E-2</v>
      </c>
      <c r="AN45" s="14">
        <f t="shared" si="20"/>
        <v>3.4491568727644355E-2</v>
      </c>
      <c r="AO45" s="14">
        <f t="shared" si="21"/>
        <v>3.5907525823905558E-2</v>
      </c>
      <c r="AP45" s="14">
        <f t="shared" si="22"/>
        <v>3.5942391984971823E-2</v>
      </c>
      <c r="AQ45" s="14">
        <f t="shared" si="23"/>
        <v>5.0881111938446265E-2</v>
      </c>
      <c r="AR45" s="14">
        <f t="shared" si="24"/>
        <v>5.0785669390320552E-2</v>
      </c>
      <c r="AS45" s="14">
        <f t="shared" si="25"/>
        <v>5.4157414261041203E-2</v>
      </c>
      <c r="AT45" s="14">
        <f t="shared" si="26"/>
        <v>5.5802155992390613E-2</v>
      </c>
      <c r="AU45" s="14">
        <f t="shared" si="27"/>
        <v>4.9576324775515365E-2</v>
      </c>
      <c r="AV45" s="14">
        <f t="shared" si="28"/>
        <v>5.5865214086648088E-2</v>
      </c>
      <c r="AW45" s="14">
        <f t="shared" si="29"/>
        <v>5.3614843250159951E-2</v>
      </c>
    </row>
    <row r="46" spans="6:49">
      <c r="F46" s="8" t="s">
        <v>28</v>
      </c>
      <c r="G46" s="13">
        <f t="shared" si="30"/>
        <v>0.16704348982577472</v>
      </c>
      <c r="H46" s="13">
        <f t="shared" si="31"/>
        <v>0.24555335968379446</v>
      </c>
      <c r="I46" s="13">
        <f t="shared" si="32"/>
        <v>0.25405990617105739</v>
      </c>
      <c r="J46" s="13">
        <f t="shared" si="33"/>
        <v>0.25219061337174409</v>
      </c>
      <c r="K46" s="13">
        <f t="shared" si="34"/>
        <v>0.26175509177772188</v>
      </c>
      <c r="L46" s="13">
        <f t="shared" si="35"/>
        <v>0.2689247830279653</v>
      </c>
      <c r="M46" s="13">
        <f t="shared" si="36"/>
        <v>0.27334851936218679</v>
      </c>
      <c r="N46" s="13">
        <f t="shared" si="37"/>
        <v>0.24312972518900755</v>
      </c>
      <c r="O46" s="13">
        <f t="shared" si="38"/>
        <v>0.21615900270492766</v>
      </c>
      <c r="P46" s="13">
        <f t="shared" si="39"/>
        <v>0.18460203322588645</v>
      </c>
      <c r="Q46" s="13">
        <f t="shared" si="40"/>
        <v>0.18701622971285892</v>
      </c>
      <c r="R46" s="13">
        <f t="shared" si="41"/>
        <v>0.18580116668735261</v>
      </c>
      <c r="S46" s="13">
        <f t="shared" si="42"/>
        <v>0.19892077507971548</v>
      </c>
      <c r="U46" s="11" t="s">
        <v>28</v>
      </c>
      <c r="V46" s="14">
        <f t="shared" si="4"/>
        <v>0.7890676951722303</v>
      </c>
      <c r="W46" s="14">
        <f t="shared" si="5"/>
        <v>0.71763833992094861</v>
      </c>
      <c r="X46" s="14">
        <f t="shared" si="6"/>
        <v>0.70756646216768915</v>
      </c>
      <c r="Y46" s="14">
        <f t="shared" si="7"/>
        <v>0.70903853078862078</v>
      </c>
      <c r="Z46" s="14">
        <f t="shared" si="8"/>
        <v>0.70568267538345486</v>
      </c>
      <c r="AA46" s="14">
        <f t="shared" si="9"/>
        <v>0.69503375120540023</v>
      </c>
      <c r="AB46" s="14">
        <f t="shared" si="10"/>
        <v>0.67605802661551373</v>
      </c>
      <c r="AC46" s="14">
        <f t="shared" si="11"/>
        <v>0.70490819632785306</v>
      </c>
      <c r="AD46" s="14">
        <f t="shared" si="12"/>
        <v>0.72997765494531341</v>
      </c>
      <c r="AE46" s="14">
        <f t="shared" si="13"/>
        <v>0.75923630052070423</v>
      </c>
      <c r="AF46" s="14">
        <f t="shared" si="14"/>
        <v>0.75855181023720353</v>
      </c>
      <c r="AG46" s="14">
        <f t="shared" si="15"/>
        <v>0.76293905920317739</v>
      </c>
      <c r="AH46" s="14">
        <f t="shared" si="16"/>
        <v>0.74699533971057153</v>
      </c>
      <c r="AJ46" s="11" t="s">
        <v>28</v>
      </c>
      <c r="AK46" s="14">
        <f t="shared" si="17"/>
        <v>4.3888815001994944E-2</v>
      </c>
      <c r="AL46" s="14">
        <f t="shared" si="18"/>
        <v>3.680830039525692E-2</v>
      </c>
      <c r="AM46" s="14">
        <f t="shared" si="19"/>
        <v>3.837363166125346E-2</v>
      </c>
      <c r="AN46" s="14">
        <f t="shared" si="20"/>
        <v>3.8770855839635097E-2</v>
      </c>
      <c r="AO46" s="14">
        <f t="shared" si="21"/>
        <v>3.2562232838823237E-2</v>
      </c>
      <c r="AP46" s="14">
        <f t="shared" si="22"/>
        <v>3.6041465766634521E-2</v>
      </c>
      <c r="AQ46" s="14">
        <f t="shared" si="23"/>
        <v>5.0593454022299485E-2</v>
      </c>
      <c r="AR46" s="14">
        <f t="shared" si="24"/>
        <v>5.1962078483139329E-2</v>
      </c>
      <c r="AS46" s="14">
        <f t="shared" si="25"/>
        <v>5.3863342349758911E-2</v>
      </c>
      <c r="AT46" s="14">
        <f t="shared" si="26"/>
        <v>5.6161666253409376E-2</v>
      </c>
      <c r="AU46" s="14">
        <f t="shared" si="27"/>
        <v>5.4431960049937576E-2</v>
      </c>
      <c r="AV46" s="14">
        <f t="shared" si="28"/>
        <v>5.1259774109470024E-2</v>
      </c>
      <c r="AW46" s="14">
        <f t="shared" si="29"/>
        <v>5.4083885209713023E-2</v>
      </c>
    </row>
    <row r="47" spans="6:49">
      <c r="F47" s="8" t="s">
        <v>29</v>
      </c>
      <c r="G47" s="13">
        <f t="shared" si="30"/>
        <v>0.11673533451049636</v>
      </c>
      <c r="H47" s="13">
        <f t="shared" si="31"/>
        <v>0.35552044242543945</v>
      </c>
      <c r="I47" s="13">
        <f t="shared" si="32"/>
        <v>0.37649928847326691</v>
      </c>
      <c r="J47" s="13">
        <f t="shared" si="33"/>
        <v>0.40004092490280335</v>
      </c>
      <c r="K47" s="13">
        <f t="shared" si="34"/>
        <v>0.43207395498392281</v>
      </c>
      <c r="L47" s="13">
        <f t="shared" si="35"/>
        <v>0.41890243902439023</v>
      </c>
      <c r="M47" s="13">
        <f t="shared" si="36"/>
        <v>0.25788751714677638</v>
      </c>
      <c r="N47" s="13">
        <f t="shared" si="37"/>
        <v>0.2406275468622657</v>
      </c>
      <c r="O47" s="13">
        <f t="shared" si="38"/>
        <v>0.2285994123408423</v>
      </c>
      <c r="P47" s="13">
        <f t="shared" si="39"/>
        <v>0.21424260712130355</v>
      </c>
      <c r="Q47" s="13">
        <f t="shared" si="40"/>
        <v>0.20954692556634305</v>
      </c>
      <c r="R47" s="13">
        <f t="shared" si="41"/>
        <v>0.21300273330730182</v>
      </c>
      <c r="S47" s="13">
        <f t="shared" si="42"/>
        <v>0.21704523393515823</v>
      </c>
      <c r="U47" s="11" t="s">
        <v>29</v>
      </c>
      <c r="V47" s="14">
        <f t="shared" si="4"/>
        <v>0.88326466548950366</v>
      </c>
      <c r="W47" s="14">
        <f t="shared" si="5"/>
        <v>0.64447955757456055</v>
      </c>
      <c r="X47" s="14">
        <f t="shared" si="6"/>
        <v>0.62350071152673303</v>
      </c>
      <c r="Y47" s="14">
        <f t="shared" si="7"/>
        <v>0.59995907509719659</v>
      </c>
      <c r="Z47" s="14">
        <f t="shared" si="8"/>
        <v>0.56792604501607713</v>
      </c>
      <c r="AA47" s="14">
        <f t="shared" si="9"/>
        <v>0.58109756097560972</v>
      </c>
      <c r="AB47" s="14">
        <f t="shared" si="10"/>
        <v>0.74211248285322362</v>
      </c>
      <c r="AC47" s="14">
        <f t="shared" si="11"/>
        <v>0.75937245313773427</v>
      </c>
      <c r="AD47" s="14">
        <f t="shared" si="12"/>
        <v>0.77140058765915764</v>
      </c>
      <c r="AE47" s="14">
        <f t="shared" si="13"/>
        <v>0.78575739287869639</v>
      </c>
      <c r="AF47" s="14">
        <f t="shared" si="14"/>
        <v>0.79045307443365698</v>
      </c>
      <c r="AG47" s="14">
        <f t="shared" si="15"/>
        <v>0.78699726669269821</v>
      </c>
      <c r="AH47" s="14">
        <f t="shared" si="16"/>
        <v>0.78295476606484182</v>
      </c>
      <c r="AJ47" s="11" t="s">
        <v>29</v>
      </c>
      <c r="AK47" s="14">
        <f t="shared" si="17"/>
        <v>0</v>
      </c>
      <c r="AL47" s="14">
        <f t="shared" si="18"/>
        <v>0</v>
      </c>
      <c r="AM47" s="14">
        <f t="shared" si="19"/>
        <v>0</v>
      </c>
      <c r="AN47" s="14">
        <f t="shared" si="20"/>
        <v>0</v>
      </c>
      <c r="AO47" s="14">
        <f t="shared" si="21"/>
        <v>0</v>
      </c>
      <c r="AP47" s="14">
        <f t="shared" si="22"/>
        <v>0</v>
      </c>
      <c r="AQ47" s="14">
        <f t="shared" si="23"/>
        <v>0</v>
      </c>
      <c r="AR47" s="14">
        <f t="shared" si="24"/>
        <v>0</v>
      </c>
      <c r="AS47" s="14">
        <f t="shared" si="25"/>
        <v>0</v>
      </c>
      <c r="AT47" s="14">
        <f t="shared" si="26"/>
        <v>0</v>
      </c>
      <c r="AU47" s="14">
        <f t="shared" si="27"/>
        <v>0</v>
      </c>
      <c r="AV47" s="14">
        <f t="shared" si="28"/>
        <v>0</v>
      </c>
      <c r="AW47" s="14">
        <f t="shared" si="29"/>
        <v>0</v>
      </c>
    </row>
    <row r="48" spans="6:49">
      <c r="F48" s="8" t="s">
        <v>30</v>
      </c>
      <c r="G48" s="13">
        <f t="shared" si="30"/>
        <v>0.12034820457018498</v>
      </c>
      <c r="H48" s="13">
        <f t="shared" si="31"/>
        <v>0.35254988913525498</v>
      </c>
      <c r="I48" s="13">
        <f t="shared" si="32"/>
        <v>0.38260869565217392</v>
      </c>
      <c r="J48" s="13">
        <f t="shared" si="33"/>
        <v>0.39533390410958902</v>
      </c>
      <c r="K48" s="13">
        <f t="shared" si="34"/>
        <v>0.42106401384083048</v>
      </c>
      <c r="L48" s="13">
        <f t="shared" si="35"/>
        <v>0.41462374760179066</v>
      </c>
      <c r="M48" s="13">
        <f t="shared" si="36"/>
        <v>0.25289661319073081</v>
      </c>
      <c r="N48" s="13">
        <f t="shared" si="37"/>
        <v>0.24334516415261756</v>
      </c>
      <c r="O48" s="13">
        <f t="shared" si="38"/>
        <v>0.23204179364388333</v>
      </c>
      <c r="P48" s="13">
        <f t="shared" si="39"/>
        <v>0.2075429591609016</v>
      </c>
      <c r="Q48" s="13">
        <f t="shared" si="40"/>
        <v>0.21547933157431839</v>
      </c>
      <c r="R48" s="13">
        <f t="shared" si="41"/>
        <v>0.20354578096947937</v>
      </c>
      <c r="S48" s="13">
        <f t="shared" si="42"/>
        <v>0.20916030534351146</v>
      </c>
      <c r="U48" s="11" t="s">
        <v>30</v>
      </c>
      <c r="V48" s="14">
        <f t="shared" si="4"/>
        <v>0.7495103373231774</v>
      </c>
      <c r="W48" s="14">
        <f t="shared" si="5"/>
        <v>0.51485587583148562</v>
      </c>
      <c r="X48" s="14">
        <f t="shared" si="6"/>
        <v>0.4826086956521739</v>
      </c>
      <c r="Y48" s="14">
        <f t="shared" si="7"/>
        <v>0.47388698630136988</v>
      </c>
      <c r="Z48" s="14">
        <f t="shared" si="8"/>
        <v>0.45826124567474047</v>
      </c>
      <c r="AA48" s="14">
        <f t="shared" si="9"/>
        <v>0.41163930931571091</v>
      </c>
      <c r="AB48" s="14">
        <f t="shared" si="10"/>
        <v>0.37410873440285203</v>
      </c>
      <c r="AC48" s="14">
        <f t="shared" si="11"/>
        <v>0.6297692990239574</v>
      </c>
      <c r="AD48" s="14">
        <f t="shared" si="12"/>
        <v>0.65259033521985199</v>
      </c>
      <c r="AE48" s="14">
        <f t="shared" si="13"/>
        <v>0.68623075206427142</v>
      </c>
      <c r="AF48" s="14">
        <f t="shared" si="14"/>
        <v>0.66842568161829374</v>
      </c>
      <c r="AG48" s="14">
        <f t="shared" si="15"/>
        <v>0.69142728904847395</v>
      </c>
      <c r="AH48" s="14">
        <f t="shared" si="16"/>
        <v>0.68135223555070878</v>
      </c>
      <c r="AJ48" s="11" t="s">
        <v>30</v>
      </c>
      <c r="AK48" s="14">
        <f t="shared" si="17"/>
        <v>0.13014145810663766</v>
      </c>
      <c r="AL48" s="14">
        <f t="shared" si="18"/>
        <v>0.13259423503325943</v>
      </c>
      <c r="AM48" s="14">
        <f t="shared" si="19"/>
        <v>0.13478260869565217</v>
      </c>
      <c r="AN48" s="14">
        <f t="shared" si="20"/>
        <v>0.1307791095890411</v>
      </c>
      <c r="AO48" s="14">
        <f t="shared" si="21"/>
        <v>0.12067474048442907</v>
      </c>
      <c r="AP48" s="14">
        <f t="shared" si="22"/>
        <v>0.1737369430824984</v>
      </c>
      <c r="AQ48" s="14">
        <f t="shared" si="23"/>
        <v>0.3729946524064171</v>
      </c>
      <c r="AR48" s="14">
        <f t="shared" si="24"/>
        <v>0.12688553682342502</v>
      </c>
      <c r="AS48" s="14">
        <f t="shared" si="25"/>
        <v>0.11536787113626469</v>
      </c>
      <c r="AT48" s="14">
        <f t="shared" si="26"/>
        <v>0.10622628877482705</v>
      </c>
      <c r="AU48" s="14">
        <f t="shared" si="27"/>
        <v>0.11609498680738786</v>
      </c>
      <c r="AV48" s="14">
        <f t="shared" si="28"/>
        <v>0.10502692998204669</v>
      </c>
      <c r="AW48" s="14">
        <f t="shared" si="29"/>
        <v>0.10948745910577971</v>
      </c>
    </row>
    <row r="49" spans="6:49">
      <c r="F49" s="8" t="s">
        <v>31</v>
      </c>
      <c r="G49" s="13">
        <f t="shared" si="30"/>
        <v>0.24463937621832357</v>
      </c>
      <c r="H49" s="13">
        <f t="shared" si="31"/>
        <v>0.49618320610687022</v>
      </c>
      <c r="I49" s="13">
        <f t="shared" si="32"/>
        <v>0.51076767164935399</v>
      </c>
      <c r="J49" s="13">
        <f t="shared" si="33"/>
        <v>0.52449567723342938</v>
      </c>
      <c r="K49" s="13">
        <f t="shared" si="34"/>
        <v>0.54716525934861282</v>
      </c>
      <c r="L49" s="13">
        <f t="shared" si="35"/>
        <v>0.58278307654683292</v>
      </c>
      <c r="M49" s="13">
        <f t="shared" si="36"/>
        <v>0.63578274760383391</v>
      </c>
      <c r="N49" s="13">
        <f t="shared" si="37"/>
        <v>0.36680223690899849</v>
      </c>
      <c r="O49" s="13">
        <f t="shared" si="38"/>
        <v>0.3503595338457724</v>
      </c>
      <c r="P49" s="13">
        <f t="shared" si="39"/>
        <v>0.33169048792508626</v>
      </c>
      <c r="Q49" s="13">
        <f t="shared" si="40"/>
        <v>0.32483451826428045</v>
      </c>
      <c r="R49" s="13">
        <f t="shared" si="41"/>
        <v>0.32588957055214723</v>
      </c>
      <c r="S49" s="13">
        <f t="shared" si="42"/>
        <v>0.32170542635658916</v>
      </c>
      <c r="U49" s="11" t="s">
        <v>31</v>
      </c>
      <c r="V49" s="14">
        <f t="shared" si="4"/>
        <v>0.62402534113060426</v>
      </c>
      <c r="W49" s="14">
        <f t="shared" si="5"/>
        <v>0.37059837478453583</v>
      </c>
      <c r="X49" s="14">
        <f t="shared" si="6"/>
        <v>0.35444641499873319</v>
      </c>
      <c r="Y49" s="14">
        <f t="shared" si="7"/>
        <v>0.35398655139289142</v>
      </c>
      <c r="Z49" s="14">
        <f t="shared" si="8"/>
        <v>0.32979493365500601</v>
      </c>
      <c r="AA49" s="14">
        <f t="shared" si="9"/>
        <v>0.31401320616287604</v>
      </c>
      <c r="AB49" s="14">
        <f t="shared" si="10"/>
        <v>0.22954042762349472</v>
      </c>
      <c r="AC49" s="14">
        <f t="shared" si="11"/>
        <v>0.28037620742247077</v>
      </c>
      <c r="AD49" s="14">
        <f t="shared" si="12"/>
        <v>0.53483758988346142</v>
      </c>
      <c r="AE49" s="14">
        <f t="shared" si="13"/>
        <v>0.56382454411039917</v>
      </c>
      <c r="AF49" s="14">
        <f t="shared" si="14"/>
        <v>0.57072811963716596</v>
      </c>
      <c r="AG49" s="14">
        <f t="shared" si="15"/>
        <v>0.5680981595092025</v>
      </c>
      <c r="AH49" s="14">
        <f t="shared" si="16"/>
        <v>0.56904069767441856</v>
      </c>
      <c r="AJ49" s="11" t="s">
        <v>31</v>
      </c>
      <c r="AK49" s="14">
        <f t="shared" si="17"/>
        <v>0.13133528265107214</v>
      </c>
      <c r="AL49" s="14">
        <f t="shared" si="18"/>
        <v>0.13321841910859394</v>
      </c>
      <c r="AM49" s="14">
        <f t="shared" si="19"/>
        <v>0.13478591335191284</v>
      </c>
      <c r="AN49" s="14">
        <f t="shared" si="20"/>
        <v>0.12151777137367915</v>
      </c>
      <c r="AO49" s="14">
        <f t="shared" si="21"/>
        <v>0.12303980699638119</v>
      </c>
      <c r="AP49" s="14">
        <f t="shared" si="22"/>
        <v>0.10320371729029103</v>
      </c>
      <c r="AQ49" s="14">
        <f t="shared" si="23"/>
        <v>0.13467682477267143</v>
      </c>
      <c r="AR49" s="14">
        <f t="shared" si="24"/>
        <v>0.35282155566853074</v>
      </c>
      <c r="AS49" s="14">
        <f t="shared" si="25"/>
        <v>0.11480287627076619</v>
      </c>
      <c r="AT49" s="14">
        <f t="shared" si="26"/>
        <v>0.10448496796451454</v>
      </c>
      <c r="AU49" s="14">
        <f t="shared" si="27"/>
        <v>0.10443736209855357</v>
      </c>
      <c r="AV49" s="14">
        <f t="shared" si="28"/>
        <v>0.1060122699386503</v>
      </c>
      <c r="AW49" s="14">
        <f t="shared" si="29"/>
        <v>0.10925387596899225</v>
      </c>
    </row>
    <row r="50" spans="6:49">
      <c r="F50" s="8" t="s">
        <v>32</v>
      </c>
      <c r="G50" s="13">
        <f t="shared" si="30"/>
        <v>0.3723986856516977</v>
      </c>
      <c r="H50" s="13">
        <f t="shared" si="31"/>
        <v>0.63044058744993325</v>
      </c>
      <c r="I50" s="13">
        <f t="shared" si="32"/>
        <v>0.64363030807660282</v>
      </c>
      <c r="J50" s="13">
        <f t="shared" si="33"/>
        <v>0.65987331313687692</v>
      </c>
      <c r="K50" s="13">
        <f t="shared" si="34"/>
        <v>0.65679012345679011</v>
      </c>
      <c r="L50" s="13">
        <f t="shared" si="35"/>
        <v>0.6974317817014446</v>
      </c>
      <c r="M50" s="13">
        <f t="shared" si="36"/>
        <v>0.77599346761023402</v>
      </c>
      <c r="N50" s="13">
        <f t="shared" si="37"/>
        <v>0.74250343878954606</v>
      </c>
      <c r="O50" s="13">
        <f t="shared" si="38"/>
        <v>0.47788353863381861</v>
      </c>
      <c r="P50" s="13">
        <f t="shared" si="39"/>
        <v>0.44138303619665048</v>
      </c>
      <c r="Q50" s="13">
        <f t="shared" si="40"/>
        <v>0.44172113289760351</v>
      </c>
      <c r="R50" s="13">
        <f t="shared" si="41"/>
        <v>0.42230098146128681</v>
      </c>
      <c r="S50" s="13">
        <f t="shared" si="42"/>
        <v>0.44636488340192043</v>
      </c>
      <c r="U50" s="11" t="s">
        <v>32</v>
      </c>
      <c r="V50" s="14">
        <f t="shared" si="4"/>
        <v>0.49780941949616647</v>
      </c>
      <c r="W50" s="14">
        <f t="shared" si="5"/>
        <v>0.24405874499332444</v>
      </c>
      <c r="X50" s="14">
        <f t="shared" si="6"/>
        <v>0.23480432972522897</v>
      </c>
      <c r="Y50" s="14">
        <f t="shared" si="7"/>
        <v>0.22252822913797851</v>
      </c>
      <c r="Z50" s="14">
        <f t="shared" si="8"/>
        <v>0.22606310013717421</v>
      </c>
      <c r="AA50" s="14">
        <f t="shared" si="9"/>
        <v>0.19636169074371321</v>
      </c>
      <c r="AB50" s="14">
        <f t="shared" si="10"/>
        <v>0.14861186717474142</v>
      </c>
      <c r="AC50" s="14">
        <f t="shared" si="11"/>
        <v>0.14250343878954608</v>
      </c>
      <c r="AD50" s="14">
        <f t="shared" si="12"/>
        <v>0.17105263157894737</v>
      </c>
      <c r="AE50" s="14">
        <f t="shared" si="13"/>
        <v>0.45407887628309024</v>
      </c>
      <c r="AF50" s="14">
        <f t="shared" si="14"/>
        <v>0.44281045751633985</v>
      </c>
      <c r="AG50" s="14">
        <f t="shared" si="15"/>
        <v>0.47410032715376227</v>
      </c>
      <c r="AH50" s="14">
        <f t="shared" si="16"/>
        <v>0.44526748971193414</v>
      </c>
      <c r="AJ50" s="11" t="s">
        <v>32</v>
      </c>
      <c r="AK50" s="14">
        <f t="shared" si="17"/>
        <v>0.12979189485213583</v>
      </c>
      <c r="AL50" s="14">
        <f t="shared" si="18"/>
        <v>0.12550066755674233</v>
      </c>
      <c r="AM50" s="14">
        <f t="shared" si="19"/>
        <v>0.12156536219816819</v>
      </c>
      <c r="AN50" s="14">
        <f t="shared" si="20"/>
        <v>0.11759845772514459</v>
      </c>
      <c r="AO50" s="14">
        <f t="shared" si="21"/>
        <v>0.11714677640603567</v>
      </c>
      <c r="AP50" s="14">
        <f t="shared" si="22"/>
        <v>0.10620652755484217</v>
      </c>
      <c r="AQ50" s="14">
        <f t="shared" si="23"/>
        <v>7.5394665215024498E-2</v>
      </c>
      <c r="AR50" s="14">
        <f t="shared" si="24"/>
        <v>0.11499312242090784</v>
      </c>
      <c r="AS50" s="14">
        <f t="shared" si="25"/>
        <v>0.35106382978723405</v>
      </c>
      <c r="AT50" s="14">
        <f t="shared" si="26"/>
        <v>0.10453808752025932</v>
      </c>
      <c r="AU50" s="14">
        <f t="shared" si="27"/>
        <v>0.11546840958605664</v>
      </c>
      <c r="AV50" s="14">
        <f t="shared" si="28"/>
        <v>0.10359869138495092</v>
      </c>
      <c r="AW50" s="14">
        <f t="shared" si="29"/>
        <v>0.1083676268861454</v>
      </c>
    </row>
    <row r="51" spans="6:49">
      <c r="F51" s="8" t="s">
        <v>33</v>
      </c>
      <c r="G51" s="13">
        <f t="shared" si="30"/>
        <v>0.50809327846364882</v>
      </c>
      <c r="H51" s="13">
        <f t="shared" si="31"/>
        <v>0.75954198473282442</v>
      </c>
      <c r="I51" s="13">
        <f t="shared" si="32"/>
        <v>0.76799450549450554</v>
      </c>
      <c r="J51" s="13">
        <f t="shared" si="33"/>
        <v>0.77500346788736307</v>
      </c>
      <c r="K51" s="13">
        <f t="shared" si="34"/>
        <v>0.77417551704863052</v>
      </c>
      <c r="L51" s="13">
        <f t="shared" si="35"/>
        <v>0.80057883131201768</v>
      </c>
      <c r="M51" s="13">
        <f t="shared" si="36"/>
        <v>0.84102354702599702</v>
      </c>
      <c r="N51" s="13">
        <f t="shared" si="37"/>
        <v>0.86161629974018872</v>
      </c>
      <c r="O51" s="13">
        <f t="shared" si="38"/>
        <v>0.81712385702410639</v>
      </c>
      <c r="P51" s="13">
        <f t="shared" si="39"/>
        <v>0.55212355212355213</v>
      </c>
      <c r="Q51" s="13">
        <f t="shared" si="40"/>
        <v>0.54539154539154544</v>
      </c>
      <c r="R51" s="13">
        <f t="shared" si="41"/>
        <v>0.55833799664241746</v>
      </c>
      <c r="S51" s="13">
        <f t="shared" si="42"/>
        <v>0.55985089051497994</v>
      </c>
      <c r="U51" s="11" t="s">
        <v>33</v>
      </c>
      <c r="V51" s="14">
        <f t="shared" si="4"/>
        <v>0.35692729766803843</v>
      </c>
      <c r="W51" s="14">
        <f t="shared" si="5"/>
        <v>0.11654852780806979</v>
      </c>
      <c r="X51" s="14">
        <f t="shared" si="6"/>
        <v>0.11538461538461539</v>
      </c>
      <c r="Y51" s="14">
        <f t="shared" si="7"/>
        <v>0.10708836177000972</v>
      </c>
      <c r="Z51" s="14">
        <f t="shared" si="8"/>
        <v>0.11654555617663499</v>
      </c>
      <c r="AA51" s="14">
        <f t="shared" si="9"/>
        <v>9.2750826901874306E-2</v>
      </c>
      <c r="AB51" s="14">
        <f t="shared" si="10"/>
        <v>7.7854906764665846E-2</v>
      </c>
      <c r="AC51" s="14">
        <f t="shared" si="11"/>
        <v>6.9465335703541645E-2</v>
      </c>
      <c r="AD51" s="14">
        <f t="shared" si="12"/>
        <v>6.2067054585757828E-2</v>
      </c>
      <c r="AE51" s="14">
        <f t="shared" si="13"/>
        <v>0.11059018201875345</v>
      </c>
      <c r="AF51" s="14">
        <f t="shared" si="14"/>
        <v>0.11503811503811504</v>
      </c>
      <c r="AG51" s="14">
        <f t="shared" si="15"/>
        <v>0.10744264129826525</v>
      </c>
      <c r="AH51" s="14">
        <f t="shared" si="16"/>
        <v>0.10976114869529201</v>
      </c>
      <c r="AJ51" s="11" t="s">
        <v>33</v>
      </c>
      <c r="AK51" s="14">
        <f t="shared" si="17"/>
        <v>0.13497942386831277</v>
      </c>
      <c r="AL51" s="14">
        <f t="shared" si="18"/>
        <v>0.12390948745910578</v>
      </c>
      <c r="AM51" s="14">
        <f t="shared" si="19"/>
        <v>0.11662087912087912</v>
      </c>
      <c r="AN51" s="14">
        <f t="shared" si="20"/>
        <v>0.11790817034262727</v>
      </c>
      <c r="AO51" s="14">
        <f t="shared" si="21"/>
        <v>0.10927892677473448</v>
      </c>
      <c r="AP51" s="14">
        <f t="shared" si="22"/>
        <v>0.10667034178610804</v>
      </c>
      <c r="AQ51" s="14">
        <f t="shared" si="23"/>
        <v>8.1121546209337148E-2</v>
      </c>
      <c r="AR51" s="14">
        <f t="shared" si="24"/>
        <v>6.8918364556269651E-2</v>
      </c>
      <c r="AS51" s="14">
        <f t="shared" si="25"/>
        <v>0.12080908839013577</v>
      </c>
      <c r="AT51" s="14">
        <f t="shared" si="26"/>
        <v>0.33728626585769445</v>
      </c>
      <c r="AU51" s="14">
        <f t="shared" si="27"/>
        <v>0.33957033957033955</v>
      </c>
      <c r="AV51" s="14">
        <f t="shared" si="28"/>
        <v>0.33421936205931729</v>
      </c>
      <c r="AW51" s="14">
        <f t="shared" si="29"/>
        <v>0.33038796078972799</v>
      </c>
    </row>
    <row r="52" spans="6:49">
      <c r="F52" s="8" t="s">
        <v>34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U52" s="11" t="s">
        <v>34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J52" s="11" t="s">
        <v>34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</row>
    <row r="53" spans="6:49">
      <c r="F53" s="8" t="s">
        <v>35</v>
      </c>
      <c r="G53" s="13">
        <f t="shared" si="30"/>
        <v>0.17857142857142858</v>
      </c>
      <c r="H53" s="13">
        <f t="shared" si="31"/>
        <v>0.29476584022038566</v>
      </c>
      <c r="I53" s="13">
        <f t="shared" si="32"/>
        <v>0.32424242424242422</v>
      </c>
      <c r="J53" s="13">
        <f t="shared" si="33"/>
        <v>0.36787564766839376</v>
      </c>
      <c r="K53" s="13">
        <f t="shared" si="34"/>
        <v>0.34933333333333333</v>
      </c>
      <c r="L53" s="13">
        <f t="shared" si="35"/>
        <v>0.35054347826086957</v>
      </c>
      <c r="M53" s="13">
        <f t="shared" si="36"/>
        <v>0.36666666666666664</v>
      </c>
      <c r="N53" s="13">
        <f t="shared" si="37"/>
        <v>0.30971128608923887</v>
      </c>
      <c r="O53" s="13">
        <f t="shared" si="38"/>
        <v>0.31301939058171746</v>
      </c>
      <c r="P53" s="13">
        <f t="shared" si="39"/>
        <v>0.23724489795918369</v>
      </c>
      <c r="Q53" s="13">
        <f t="shared" si="40"/>
        <v>0.24649859943977592</v>
      </c>
      <c r="R53" s="13">
        <f t="shared" si="41"/>
        <v>0.24514563106796117</v>
      </c>
      <c r="S53" s="13">
        <f t="shared" si="42"/>
        <v>0.21882951653944022</v>
      </c>
      <c r="U53" s="11" t="s">
        <v>35</v>
      </c>
      <c r="V53" s="14">
        <f t="shared" si="4"/>
        <v>0.7767857142857143</v>
      </c>
      <c r="W53" s="14">
        <f t="shared" si="5"/>
        <v>0.66115702479338845</v>
      </c>
      <c r="X53" s="14">
        <f t="shared" si="6"/>
        <v>0.61212121212121207</v>
      </c>
      <c r="Y53" s="14">
        <f t="shared" si="7"/>
        <v>0.58290155440414504</v>
      </c>
      <c r="Z53" s="14">
        <f t="shared" si="8"/>
        <v>0.6186666666666667</v>
      </c>
      <c r="AA53" s="14">
        <f t="shared" si="9"/>
        <v>0.61684782608695654</v>
      </c>
      <c r="AB53" s="14">
        <f t="shared" si="10"/>
        <v>0.57692307692307687</v>
      </c>
      <c r="AC53" s="14">
        <f t="shared" si="11"/>
        <v>0.61417322834645671</v>
      </c>
      <c r="AD53" s="14">
        <f t="shared" si="12"/>
        <v>0.62326869806094187</v>
      </c>
      <c r="AE53" s="14">
        <f t="shared" si="13"/>
        <v>0.71173469387755106</v>
      </c>
      <c r="AF53" s="14">
        <f t="shared" si="14"/>
        <v>0.71148459383753504</v>
      </c>
      <c r="AG53" s="14">
        <f t="shared" si="15"/>
        <v>0.69660194174757284</v>
      </c>
      <c r="AH53" s="14">
        <f t="shared" si="16"/>
        <v>0.72010178117048351</v>
      </c>
      <c r="AJ53" s="11" t="s">
        <v>35</v>
      </c>
      <c r="AK53" s="14">
        <f t="shared" si="17"/>
        <v>4.4642857142857144E-2</v>
      </c>
      <c r="AL53" s="14">
        <f t="shared" si="18"/>
        <v>4.4077134986225897E-2</v>
      </c>
      <c r="AM53" s="14">
        <f t="shared" si="19"/>
        <v>6.363636363636363E-2</v>
      </c>
      <c r="AN53" s="14">
        <f t="shared" si="20"/>
        <v>4.9222797927461141E-2</v>
      </c>
      <c r="AO53" s="14">
        <f t="shared" si="21"/>
        <v>3.2000000000000001E-2</v>
      </c>
      <c r="AP53" s="14">
        <f t="shared" si="22"/>
        <v>3.2608695652173912E-2</v>
      </c>
      <c r="AQ53" s="14">
        <f t="shared" si="23"/>
        <v>5.6410256410256411E-2</v>
      </c>
      <c r="AR53" s="14">
        <f t="shared" si="24"/>
        <v>7.6115485564304461E-2</v>
      </c>
      <c r="AS53" s="14">
        <f t="shared" si="25"/>
        <v>6.3711911357340723E-2</v>
      </c>
      <c r="AT53" s="14">
        <f t="shared" si="26"/>
        <v>5.1020408163265307E-2</v>
      </c>
      <c r="AU53" s="14">
        <f t="shared" si="27"/>
        <v>4.2016806722689079E-2</v>
      </c>
      <c r="AV53" s="14">
        <f t="shared" si="28"/>
        <v>5.8252427184466021E-2</v>
      </c>
      <c r="AW53" s="14">
        <f t="shared" si="29"/>
        <v>6.1068702290076333E-2</v>
      </c>
    </row>
    <row r="54" spans="6:49">
      <c r="F54" s="8" t="s">
        <v>36</v>
      </c>
      <c r="G54" s="13">
        <f t="shared" si="30"/>
        <v>0.16830466830466831</v>
      </c>
      <c r="H54" s="13">
        <f t="shared" si="31"/>
        <v>0.29883570504527812</v>
      </c>
      <c r="I54" s="13">
        <f t="shared" si="32"/>
        <v>0.32418952618453867</v>
      </c>
      <c r="J54" s="13">
        <f t="shared" si="33"/>
        <v>0.30127462340672073</v>
      </c>
      <c r="K54" s="13">
        <f t="shared" si="34"/>
        <v>0.29060773480662982</v>
      </c>
      <c r="L54" s="13">
        <f t="shared" si="35"/>
        <v>0.33218785796105382</v>
      </c>
      <c r="M54" s="13">
        <f t="shared" si="36"/>
        <v>0.32090395480225986</v>
      </c>
      <c r="N54" s="13">
        <f t="shared" si="37"/>
        <v>0.29531812725090034</v>
      </c>
      <c r="O54" s="13">
        <f t="shared" si="38"/>
        <v>0.27398843930635836</v>
      </c>
      <c r="P54" s="13">
        <f t="shared" si="39"/>
        <v>0.22482435597189696</v>
      </c>
      <c r="Q54" s="13">
        <f t="shared" si="40"/>
        <v>0.23150357995226731</v>
      </c>
      <c r="R54" s="13">
        <f t="shared" si="41"/>
        <v>0.20368098159509201</v>
      </c>
      <c r="S54" s="13">
        <f t="shared" si="42"/>
        <v>0.20262216924910609</v>
      </c>
      <c r="U54" s="11" t="s">
        <v>36</v>
      </c>
      <c r="V54" s="14">
        <f t="shared" si="4"/>
        <v>0.79238329238329241</v>
      </c>
      <c r="W54" s="14">
        <f t="shared" si="5"/>
        <v>0.64941785252263906</v>
      </c>
      <c r="X54" s="14">
        <f t="shared" si="6"/>
        <v>0.63840399002493764</v>
      </c>
      <c r="Y54" s="14">
        <f t="shared" si="7"/>
        <v>0.6593279258400927</v>
      </c>
      <c r="Z54" s="14">
        <f t="shared" si="8"/>
        <v>0.66740331491712712</v>
      </c>
      <c r="AA54" s="14">
        <f t="shared" si="9"/>
        <v>0.62084765177548684</v>
      </c>
      <c r="AB54" s="14">
        <f t="shared" si="10"/>
        <v>0.62824858757062152</v>
      </c>
      <c r="AC54" s="14">
        <f t="shared" si="11"/>
        <v>0.65666266506602644</v>
      </c>
      <c r="AD54" s="14">
        <f t="shared" si="12"/>
        <v>0.68208092485549132</v>
      </c>
      <c r="AE54" s="14">
        <f t="shared" si="13"/>
        <v>0.72014051522248246</v>
      </c>
      <c r="AF54" s="14">
        <f t="shared" si="14"/>
        <v>0.72315035799522676</v>
      </c>
      <c r="AG54" s="14">
        <f t="shared" si="15"/>
        <v>0.73865030674846621</v>
      </c>
      <c r="AH54" s="14">
        <f t="shared" si="16"/>
        <v>0.74493444576877232</v>
      </c>
      <c r="AJ54" s="11" t="s">
        <v>36</v>
      </c>
      <c r="AK54" s="14">
        <f t="shared" si="17"/>
        <v>3.9312039312039311E-2</v>
      </c>
      <c r="AL54" s="14">
        <f t="shared" si="18"/>
        <v>5.1746442432082797E-2</v>
      </c>
      <c r="AM54" s="14">
        <f t="shared" si="19"/>
        <v>3.7406483790523692E-2</v>
      </c>
      <c r="AN54" s="14">
        <f t="shared" si="20"/>
        <v>3.9397450753186555E-2</v>
      </c>
      <c r="AO54" s="14">
        <f t="shared" si="21"/>
        <v>4.1988950276243095E-2</v>
      </c>
      <c r="AP54" s="14">
        <f t="shared" si="22"/>
        <v>4.6964490263459335E-2</v>
      </c>
      <c r="AQ54" s="14">
        <f t="shared" si="23"/>
        <v>5.0847457627118647E-2</v>
      </c>
      <c r="AR54" s="14">
        <f t="shared" si="24"/>
        <v>4.8019207683073231E-2</v>
      </c>
      <c r="AS54" s="14">
        <f t="shared" si="25"/>
        <v>4.3930635838150288E-2</v>
      </c>
      <c r="AT54" s="14">
        <f t="shared" si="26"/>
        <v>5.5035128805620608E-2</v>
      </c>
      <c r="AU54" s="14">
        <f t="shared" si="27"/>
        <v>4.5346062052505964E-2</v>
      </c>
      <c r="AV54" s="14">
        <f t="shared" si="28"/>
        <v>5.7668711656441718E-2</v>
      </c>
      <c r="AW54" s="14">
        <f t="shared" si="29"/>
        <v>5.2443384982121574E-2</v>
      </c>
    </row>
    <row r="55" spans="6:49">
      <c r="F55" s="8" t="s">
        <v>37</v>
      </c>
      <c r="G55" s="13">
        <f t="shared" si="30"/>
        <v>0.15635179153094461</v>
      </c>
      <c r="H55" s="13">
        <f t="shared" si="31"/>
        <v>0.25684210526315787</v>
      </c>
      <c r="I55" s="13">
        <f t="shared" si="32"/>
        <v>0.27939590075512405</v>
      </c>
      <c r="J55" s="13">
        <f t="shared" si="33"/>
        <v>0.29129464285714285</v>
      </c>
      <c r="K55" s="13">
        <f t="shared" si="34"/>
        <v>0.28450106157112526</v>
      </c>
      <c r="L55" s="13">
        <f t="shared" si="35"/>
        <v>0.30706243602865918</v>
      </c>
      <c r="M55" s="13">
        <f t="shared" si="36"/>
        <v>0.3068893528183716</v>
      </c>
      <c r="N55" s="13">
        <f t="shared" si="37"/>
        <v>0.27659574468085107</v>
      </c>
      <c r="O55" s="13">
        <f t="shared" si="38"/>
        <v>0.24333333333333335</v>
      </c>
      <c r="P55" s="13">
        <f t="shared" si="39"/>
        <v>0.21383647798742139</v>
      </c>
      <c r="Q55" s="13">
        <f t="shared" si="40"/>
        <v>0.20188284518828453</v>
      </c>
      <c r="R55" s="13">
        <f t="shared" si="41"/>
        <v>0.18629550321199143</v>
      </c>
      <c r="S55" s="13">
        <f t="shared" si="42"/>
        <v>0.23125000000000001</v>
      </c>
      <c r="U55" s="11" t="s">
        <v>37</v>
      </c>
      <c r="V55" s="14">
        <f t="shared" si="4"/>
        <v>0.80347448425624324</v>
      </c>
      <c r="W55" s="14">
        <f t="shared" si="5"/>
        <v>0.69473684210526321</v>
      </c>
      <c r="X55" s="14">
        <f t="shared" si="6"/>
        <v>0.67961165048543692</v>
      </c>
      <c r="Y55" s="14">
        <f t="shared" si="7"/>
        <v>0.6707589285714286</v>
      </c>
      <c r="Z55" s="14">
        <f t="shared" si="8"/>
        <v>0.6709129511677282</v>
      </c>
      <c r="AA55" s="14">
        <f t="shared" si="9"/>
        <v>0.65506653019447292</v>
      </c>
      <c r="AB55" s="14">
        <f t="shared" si="10"/>
        <v>0.64196242171189977</v>
      </c>
      <c r="AC55" s="14">
        <f t="shared" si="11"/>
        <v>0.66808510638297869</v>
      </c>
      <c r="AD55" s="14">
        <f t="shared" si="12"/>
        <v>0.70333333333333337</v>
      </c>
      <c r="AE55" s="14">
        <f t="shared" si="13"/>
        <v>0.73480083857442346</v>
      </c>
      <c r="AF55" s="14">
        <f t="shared" si="14"/>
        <v>0.74267782426778239</v>
      </c>
      <c r="AG55" s="14">
        <f t="shared" si="15"/>
        <v>0.77087794432548185</v>
      </c>
      <c r="AH55" s="14">
        <f t="shared" si="16"/>
        <v>0.72499999999999998</v>
      </c>
      <c r="AJ55" s="11" t="s">
        <v>37</v>
      </c>
      <c r="AK55" s="14">
        <f t="shared" si="17"/>
        <v>4.0173724212812158E-2</v>
      </c>
      <c r="AL55" s="14">
        <f t="shared" si="18"/>
        <v>4.8421052631578948E-2</v>
      </c>
      <c r="AM55" s="14">
        <f t="shared" si="19"/>
        <v>4.0992448759439054E-2</v>
      </c>
      <c r="AN55" s="14">
        <f t="shared" si="20"/>
        <v>3.7946428571428568E-2</v>
      </c>
      <c r="AO55" s="14">
        <f t="shared" si="21"/>
        <v>4.4585987261146494E-2</v>
      </c>
      <c r="AP55" s="14">
        <f t="shared" si="22"/>
        <v>3.7871033776867964E-2</v>
      </c>
      <c r="AQ55" s="14">
        <f t="shared" si="23"/>
        <v>5.1148225469728602E-2</v>
      </c>
      <c r="AR55" s="14">
        <f t="shared" si="24"/>
        <v>5.5319148936170209E-2</v>
      </c>
      <c r="AS55" s="14">
        <f t="shared" si="25"/>
        <v>5.3333333333333337E-2</v>
      </c>
      <c r="AT55" s="14">
        <f t="shared" si="26"/>
        <v>5.1362683438155136E-2</v>
      </c>
      <c r="AU55" s="14">
        <f t="shared" si="27"/>
        <v>5.5439330543933053E-2</v>
      </c>
      <c r="AV55" s="14">
        <f t="shared" si="28"/>
        <v>4.2826552462526764E-2</v>
      </c>
      <c r="AW55" s="14">
        <f t="shared" si="29"/>
        <v>4.3749999999999997E-2</v>
      </c>
    </row>
    <row r="56" spans="6:49">
      <c r="F56" s="8" t="s">
        <v>38</v>
      </c>
      <c r="G56" s="13">
        <f t="shared" si="30"/>
        <v>0.15672396359959556</v>
      </c>
      <c r="H56" s="13">
        <f t="shared" si="31"/>
        <v>0.25828460038986356</v>
      </c>
      <c r="I56" s="13">
        <f t="shared" si="32"/>
        <v>0.25481209899175067</v>
      </c>
      <c r="J56" s="13">
        <f t="shared" si="33"/>
        <v>0.27500000000000002</v>
      </c>
      <c r="K56" s="13">
        <f t="shared" si="34"/>
        <v>0.27544910179640719</v>
      </c>
      <c r="L56" s="13">
        <f t="shared" si="35"/>
        <v>0.27509293680297398</v>
      </c>
      <c r="M56" s="13">
        <f t="shared" si="36"/>
        <v>0.27209533267130087</v>
      </c>
      <c r="N56" s="13">
        <f t="shared" si="37"/>
        <v>0.22821969696969696</v>
      </c>
      <c r="O56" s="13">
        <f t="shared" si="38"/>
        <v>0.1977818853974122</v>
      </c>
      <c r="P56" s="13">
        <f t="shared" si="39"/>
        <v>0.1709741550695825</v>
      </c>
      <c r="Q56" s="13">
        <f t="shared" si="40"/>
        <v>0.19444444444444445</v>
      </c>
      <c r="R56" s="13">
        <f t="shared" si="41"/>
        <v>0.18199608610567514</v>
      </c>
      <c r="S56" s="13">
        <f t="shared" si="42"/>
        <v>0.18657453109575517</v>
      </c>
      <c r="U56" s="11" t="s">
        <v>38</v>
      </c>
      <c r="V56" s="14">
        <f t="shared" si="4"/>
        <v>0.79777553083923158</v>
      </c>
      <c r="W56" s="14">
        <f t="shared" si="5"/>
        <v>0.70662768031189083</v>
      </c>
      <c r="X56" s="14">
        <f t="shared" si="6"/>
        <v>0.71769019248395971</v>
      </c>
      <c r="Y56" s="14">
        <f t="shared" si="7"/>
        <v>0.69299999999999995</v>
      </c>
      <c r="Z56" s="14">
        <f t="shared" si="8"/>
        <v>0.68762475049900196</v>
      </c>
      <c r="AA56" s="14">
        <f t="shared" si="9"/>
        <v>0.68959107806691455</v>
      </c>
      <c r="AB56" s="14">
        <f t="shared" si="10"/>
        <v>0.67924528301886788</v>
      </c>
      <c r="AC56" s="14">
        <f t="shared" si="11"/>
        <v>0.72348484848484851</v>
      </c>
      <c r="AD56" s="14">
        <f t="shared" si="12"/>
        <v>0.74584103512014788</v>
      </c>
      <c r="AE56" s="14">
        <f t="shared" si="13"/>
        <v>0.77435387673956257</v>
      </c>
      <c r="AF56" s="14">
        <f t="shared" si="14"/>
        <v>0.75191570881226055</v>
      </c>
      <c r="AG56" s="14">
        <f t="shared" si="15"/>
        <v>0.76320939334637961</v>
      </c>
      <c r="AH56" s="14">
        <f t="shared" si="16"/>
        <v>0.75913129318854888</v>
      </c>
      <c r="AJ56" s="11" t="s">
        <v>38</v>
      </c>
      <c r="AK56" s="14">
        <f t="shared" si="17"/>
        <v>4.5500505561172903E-2</v>
      </c>
      <c r="AL56" s="14">
        <f t="shared" si="18"/>
        <v>3.5087719298245612E-2</v>
      </c>
      <c r="AM56" s="14">
        <f t="shared" si="19"/>
        <v>2.7497708524289642E-2</v>
      </c>
      <c r="AN56" s="14">
        <f t="shared" si="20"/>
        <v>3.2000000000000001E-2</v>
      </c>
      <c r="AO56" s="14">
        <f t="shared" si="21"/>
        <v>3.6926147704590816E-2</v>
      </c>
      <c r="AP56" s="14">
        <f t="shared" si="22"/>
        <v>3.5315985130111527E-2</v>
      </c>
      <c r="AQ56" s="14">
        <f t="shared" si="23"/>
        <v>4.8659384309831182E-2</v>
      </c>
      <c r="AR56" s="14">
        <f t="shared" si="24"/>
        <v>4.8295454545454544E-2</v>
      </c>
      <c r="AS56" s="14">
        <f t="shared" si="25"/>
        <v>5.6377079482439925E-2</v>
      </c>
      <c r="AT56" s="14">
        <f t="shared" si="26"/>
        <v>5.4671968190854868E-2</v>
      </c>
      <c r="AU56" s="14">
        <f t="shared" si="27"/>
        <v>5.3639846743295021E-2</v>
      </c>
      <c r="AV56" s="14">
        <f t="shared" si="28"/>
        <v>5.4794520547945202E-2</v>
      </c>
      <c r="AW56" s="14">
        <f t="shared" si="29"/>
        <v>5.4294175715695954E-2</v>
      </c>
    </row>
    <row r="57" spans="6:49">
      <c r="F57" s="8" t="s">
        <v>39</v>
      </c>
      <c r="G57" s="13">
        <f t="shared" si="30"/>
        <v>0.11503416856492027</v>
      </c>
      <c r="H57" s="13">
        <f t="shared" si="31"/>
        <v>0.36093418259023352</v>
      </c>
      <c r="I57" s="13">
        <f t="shared" si="32"/>
        <v>0.39029535864978904</v>
      </c>
      <c r="J57" s="13">
        <f t="shared" si="33"/>
        <v>0.39632829373650108</v>
      </c>
      <c r="K57" s="13">
        <f t="shared" si="34"/>
        <v>0.44142011834319528</v>
      </c>
      <c r="L57" s="13">
        <f t="shared" si="35"/>
        <v>0.44188596491228072</v>
      </c>
      <c r="M57" s="13">
        <f t="shared" si="36"/>
        <v>0.24782608695652175</v>
      </c>
      <c r="N57" s="13">
        <f t="shared" si="37"/>
        <v>0.24183006535947713</v>
      </c>
      <c r="O57" s="13">
        <f t="shared" si="38"/>
        <v>0.26013513513513514</v>
      </c>
      <c r="P57" s="13">
        <f t="shared" si="39"/>
        <v>0.2421875</v>
      </c>
      <c r="Q57" s="13">
        <f t="shared" si="40"/>
        <v>0.22128556375131717</v>
      </c>
      <c r="R57" s="13">
        <f t="shared" si="41"/>
        <v>0.22172452407614782</v>
      </c>
      <c r="S57" s="13">
        <f t="shared" si="42"/>
        <v>0.21367521367521367</v>
      </c>
      <c r="U57" s="11" t="s">
        <v>39</v>
      </c>
      <c r="V57" s="14">
        <f t="shared" si="4"/>
        <v>0.88496583143507968</v>
      </c>
      <c r="W57" s="14">
        <f t="shared" si="5"/>
        <v>0.63906581740976642</v>
      </c>
      <c r="X57" s="14">
        <f t="shared" si="6"/>
        <v>0.60970464135021096</v>
      </c>
      <c r="Y57" s="14">
        <f t="shared" si="7"/>
        <v>0.60367170626349897</v>
      </c>
      <c r="Z57" s="14">
        <f t="shared" si="8"/>
        <v>0.55857988165680472</v>
      </c>
      <c r="AA57" s="14">
        <f t="shared" si="9"/>
        <v>0.55811403508771928</v>
      </c>
      <c r="AB57" s="14">
        <f t="shared" si="10"/>
        <v>0.75217391304347825</v>
      </c>
      <c r="AC57" s="14">
        <f t="shared" si="11"/>
        <v>0.75816993464052285</v>
      </c>
      <c r="AD57" s="14">
        <f t="shared" si="12"/>
        <v>0.73986486486486491</v>
      </c>
      <c r="AE57" s="14">
        <f t="shared" si="13"/>
        <v>0.7578125</v>
      </c>
      <c r="AF57" s="14">
        <f t="shared" si="14"/>
        <v>0.77871443624868286</v>
      </c>
      <c r="AG57" s="14">
        <f t="shared" si="15"/>
        <v>0.77827547592385216</v>
      </c>
      <c r="AH57" s="14">
        <f t="shared" si="16"/>
        <v>0.78632478632478631</v>
      </c>
      <c r="AJ57" s="11" t="s">
        <v>39</v>
      </c>
      <c r="AK57" s="14">
        <f t="shared" si="17"/>
        <v>0</v>
      </c>
      <c r="AL57" s="14">
        <f t="shared" si="18"/>
        <v>0</v>
      </c>
      <c r="AM57" s="14">
        <f t="shared" si="19"/>
        <v>0</v>
      </c>
      <c r="AN57" s="14">
        <f t="shared" si="20"/>
        <v>0</v>
      </c>
      <c r="AO57" s="14">
        <f t="shared" si="21"/>
        <v>0</v>
      </c>
      <c r="AP57" s="14">
        <f t="shared" si="22"/>
        <v>0</v>
      </c>
      <c r="AQ57" s="14">
        <f t="shared" si="23"/>
        <v>0</v>
      </c>
      <c r="AR57" s="14">
        <f t="shared" si="24"/>
        <v>0</v>
      </c>
      <c r="AS57" s="14">
        <f t="shared" si="25"/>
        <v>0</v>
      </c>
      <c r="AT57" s="14">
        <f t="shared" si="26"/>
        <v>0</v>
      </c>
      <c r="AU57" s="14">
        <f t="shared" si="27"/>
        <v>0</v>
      </c>
      <c r="AV57" s="14">
        <f t="shared" si="28"/>
        <v>0</v>
      </c>
      <c r="AW57" s="14">
        <f t="shared" si="29"/>
        <v>0</v>
      </c>
    </row>
    <row r="58" spans="6:49">
      <c r="F58" s="8" t="s">
        <v>40</v>
      </c>
      <c r="G58" s="13">
        <f t="shared" si="30"/>
        <v>0.11428571428571428</v>
      </c>
      <c r="H58" s="13">
        <f t="shared" si="31"/>
        <v>0.32639649507119389</v>
      </c>
      <c r="I58" s="13">
        <f t="shared" si="32"/>
        <v>0.37017167381974247</v>
      </c>
      <c r="J58" s="13">
        <f t="shared" si="33"/>
        <v>0.4095982142857143</v>
      </c>
      <c r="K58" s="13">
        <f t="shared" si="34"/>
        <v>0.42236699239956571</v>
      </c>
      <c r="L58" s="13">
        <f t="shared" si="35"/>
        <v>0.43449781659388648</v>
      </c>
      <c r="M58" s="13">
        <f t="shared" si="36"/>
        <v>0.25624321389793703</v>
      </c>
      <c r="N58" s="13">
        <f t="shared" si="37"/>
        <v>0.24126984126984127</v>
      </c>
      <c r="O58" s="13">
        <f t="shared" si="38"/>
        <v>0.23763440860215054</v>
      </c>
      <c r="P58" s="13">
        <f t="shared" si="39"/>
        <v>0.24148936170212765</v>
      </c>
      <c r="Q58" s="13">
        <f t="shared" si="40"/>
        <v>0.22316684378320936</v>
      </c>
      <c r="R58" s="13">
        <f t="shared" si="41"/>
        <v>0.22037422037422039</v>
      </c>
      <c r="S58" s="13">
        <f t="shared" si="42"/>
        <v>0.21597300337457817</v>
      </c>
      <c r="U58" s="11" t="s">
        <v>40</v>
      </c>
      <c r="V58" s="14">
        <f t="shared" si="4"/>
        <v>0.78171428571428569</v>
      </c>
      <c r="W58" s="14">
        <f t="shared" si="5"/>
        <v>0.51259583789704266</v>
      </c>
      <c r="X58" s="14">
        <f t="shared" si="6"/>
        <v>0.5</v>
      </c>
      <c r="Y58" s="14">
        <f t="shared" si="7"/>
        <v>0.46651785714285715</v>
      </c>
      <c r="Z58" s="14">
        <f t="shared" si="8"/>
        <v>0.4560260586319218</v>
      </c>
      <c r="AA58" s="14">
        <f t="shared" si="9"/>
        <v>0.3930131004366812</v>
      </c>
      <c r="AB58" s="14">
        <f t="shared" si="10"/>
        <v>0.36482084690553745</v>
      </c>
      <c r="AC58" s="14">
        <f t="shared" si="11"/>
        <v>0.6243386243386243</v>
      </c>
      <c r="AD58" s="14">
        <f t="shared" si="12"/>
        <v>0.66021505376344081</v>
      </c>
      <c r="AE58" s="14">
        <f t="shared" si="13"/>
        <v>0.65957446808510634</v>
      </c>
      <c r="AF58" s="14">
        <f t="shared" si="14"/>
        <v>0.67587672688629119</v>
      </c>
      <c r="AG58" s="14">
        <f t="shared" si="15"/>
        <v>0.69230769230769229</v>
      </c>
      <c r="AH58" s="14">
        <f t="shared" si="16"/>
        <v>0.68616422947131606</v>
      </c>
      <c r="AJ58" s="11" t="s">
        <v>40</v>
      </c>
      <c r="AK58" s="14">
        <f t="shared" si="17"/>
        <v>0.104</v>
      </c>
      <c r="AL58" s="14">
        <f t="shared" si="18"/>
        <v>0.16100766703176342</v>
      </c>
      <c r="AM58" s="14">
        <f t="shared" si="19"/>
        <v>0.1298283261802575</v>
      </c>
      <c r="AN58" s="14">
        <f t="shared" si="20"/>
        <v>0.12388392857142858</v>
      </c>
      <c r="AO58" s="14">
        <f t="shared" si="21"/>
        <v>0.12160694896851248</v>
      </c>
      <c r="AP58" s="14">
        <f t="shared" si="22"/>
        <v>0.17248908296943233</v>
      </c>
      <c r="AQ58" s="14">
        <f t="shared" si="23"/>
        <v>0.37893593919652552</v>
      </c>
      <c r="AR58" s="14">
        <f t="shared" si="24"/>
        <v>0.1343915343915344</v>
      </c>
      <c r="AS58" s="14">
        <f t="shared" si="25"/>
        <v>0.10215053763440861</v>
      </c>
      <c r="AT58" s="14">
        <f t="shared" si="26"/>
        <v>9.8936170212765961E-2</v>
      </c>
      <c r="AU58" s="14">
        <f t="shared" si="27"/>
        <v>0.10095642933049948</v>
      </c>
      <c r="AV58" s="14">
        <f t="shared" si="28"/>
        <v>8.7318087318087323E-2</v>
      </c>
      <c r="AW58" s="14">
        <f t="shared" si="29"/>
        <v>9.7862767154105731E-2</v>
      </c>
    </row>
    <row r="59" spans="6:49">
      <c r="F59" s="8" t="s">
        <v>41</v>
      </c>
      <c r="G59" s="13">
        <f t="shared" si="30"/>
        <v>0.23378076062639822</v>
      </c>
      <c r="H59" s="13">
        <f t="shared" si="31"/>
        <v>0.48471121177802945</v>
      </c>
      <c r="I59" s="13">
        <f t="shared" si="32"/>
        <v>0.48465608465608467</v>
      </c>
      <c r="J59" s="13">
        <f t="shared" si="33"/>
        <v>0.51708428246013671</v>
      </c>
      <c r="K59" s="13">
        <f t="shared" si="34"/>
        <v>0.55257510729613735</v>
      </c>
      <c r="L59" s="13">
        <f t="shared" si="35"/>
        <v>0.60549450549450545</v>
      </c>
      <c r="M59" s="13">
        <f t="shared" si="36"/>
        <v>0.64310148232611175</v>
      </c>
      <c r="N59" s="13">
        <f t="shared" si="37"/>
        <v>0.37768240343347642</v>
      </c>
      <c r="O59" s="13">
        <f t="shared" si="38"/>
        <v>0.34773218142548595</v>
      </c>
      <c r="P59" s="13">
        <f t="shared" si="39"/>
        <v>0.30752916224814419</v>
      </c>
      <c r="Q59" s="13">
        <f t="shared" si="40"/>
        <v>0.29148471615720523</v>
      </c>
      <c r="R59" s="13">
        <f t="shared" si="41"/>
        <v>0.32004310344827586</v>
      </c>
      <c r="S59" s="13">
        <f t="shared" si="42"/>
        <v>0.34428086070215175</v>
      </c>
      <c r="U59" s="11" t="s">
        <v>41</v>
      </c>
      <c r="V59" s="14">
        <f t="shared" si="4"/>
        <v>0.64093959731543626</v>
      </c>
      <c r="W59" s="14">
        <f t="shared" si="5"/>
        <v>0.37712344280860705</v>
      </c>
      <c r="X59" s="14">
        <f t="shared" si="6"/>
        <v>0.38095238095238093</v>
      </c>
      <c r="Y59" s="14">
        <f t="shared" si="7"/>
        <v>0.35307517084282458</v>
      </c>
      <c r="Z59" s="14">
        <f t="shared" si="8"/>
        <v>0.33798283261802575</v>
      </c>
      <c r="AA59" s="14">
        <f t="shared" si="9"/>
        <v>0.28901098901098898</v>
      </c>
      <c r="AB59" s="14">
        <f t="shared" si="10"/>
        <v>0.22919042189281641</v>
      </c>
      <c r="AC59" s="14">
        <f t="shared" si="11"/>
        <v>0.27145922746781115</v>
      </c>
      <c r="AD59" s="14">
        <f t="shared" si="12"/>
        <v>0.52267818574514036</v>
      </c>
      <c r="AE59" s="14">
        <f t="shared" si="13"/>
        <v>0.57900318133616113</v>
      </c>
      <c r="AF59" s="14">
        <f t="shared" si="14"/>
        <v>0.57969432314410485</v>
      </c>
      <c r="AG59" s="14">
        <f t="shared" si="15"/>
        <v>0.56357758620689657</v>
      </c>
      <c r="AH59" s="14">
        <f t="shared" si="16"/>
        <v>0.54813137032842585</v>
      </c>
      <c r="AJ59" s="11" t="s">
        <v>41</v>
      </c>
      <c r="AK59" s="14">
        <f t="shared" si="17"/>
        <v>0.12527964205816555</v>
      </c>
      <c r="AL59" s="14">
        <f t="shared" si="18"/>
        <v>0.13816534541336353</v>
      </c>
      <c r="AM59" s="14">
        <f t="shared" si="19"/>
        <v>0.1343915343915344</v>
      </c>
      <c r="AN59" s="14">
        <f t="shared" si="20"/>
        <v>0.12984054669703873</v>
      </c>
      <c r="AO59" s="14">
        <f t="shared" si="21"/>
        <v>0.10944206008583691</v>
      </c>
      <c r="AP59" s="14">
        <f t="shared" si="22"/>
        <v>0.10549450549450549</v>
      </c>
      <c r="AQ59" s="14">
        <f t="shared" si="23"/>
        <v>0.12770809578107184</v>
      </c>
      <c r="AR59" s="14">
        <f t="shared" si="24"/>
        <v>0.35085836909871243</v>
      </c>
      <c r="AS59" s="14">
        <f t="shared" si="25"/>
        <v>0.12958963282937366</v>
      </c>
      <c r="AT59" s="14">
        <f t="shared" si="26"/>
        <v>0.11346765641569459</v>
      </c>
      <c r="AU59" s="14">
        <f t="shared" si="27"/>
        <v>0.12882096069868995</v>
      </c>
      <c r="AV59" s="14">
        <f t="shared" si="28"/>
        <v>0.11637931034482758</v>
      </c>
      <c r="AW59" s="14">
        <f t="shared" si="29"/>
        <v>0.10758776896942242</v>
      </c>
    </row>
    <row r="60" spans="6:49">
      <c r="F60" s="8" t="s">
        <v>42</v>
      </c>
      <c r="G60" s="13">
        <f t="shared" si="30"/>
        <v>0.35680751173708919</v>
      </c>
      <c r="H60" s="13">
        <f t="shared" si="31"/>
        <v>0.6238636363636364</v>
      </c>
      <c r="I60" s="13">
        <f t="shared" si="32"/>
        <v>0.61873638344226578</v>
      </c>
      <c r="J60" s="13">
        <f t="shared" si="33"/>
        <v>0.62229806598407278</v>
      </c>
      <c r="K60" s="13">
        <f t="shared" si="34"/>
        <v>0.65856236786469347</v>
      </c>
      <c r="L60" s="13">
        <f t="shared" si="35"/>
        <v>0.71218961625282162</v>
      </c>
      <c r="M60" s="13">
        <f t="shared" si="36"/>
        <v>0.77443609022556392</v>
      </c>
      <c r="N60" s="13">
        <f t="shared" si="37"/>
        <v>0.74204545454545456</v>
      </c>
      <c r="O60" s="13">
        <f t="shared" si="38"/>
        <v>0.45863125638406538</v>
      </c>
      <c r="P60" s="13">
        <f t="shared" si="39"/>
        <v>0.40789473684210525</v>
      </c>
      <c r="Q60" s="13">
        <f t="shared" si="40"/>
        <v>0.44791666666666669</v>
      </c>
      <c r="R60" s="13">
        <f t="shared" si="41"/>
        <v>0.3951701427003293</v>
      </c>
      <c r="S60" s="13">
        <f t="shared" si="42"/>
        <v>0.4427645788336933</v>
      </c>
      <c r="U60" s="11" t="s">
        <v>42</v>
      </c>
      <c r="V60" s="14">
        <f t="shared" si="4"/>
        <v>0.51056338028169013</v>
      </c>
      <c r="W60" s="14">
        <f t="shared" si="5"/>
        <v>0.22500000000000001</v>
      </c>
      <c r="X60" s="14">
        <f t="shared" si="6"/>
        <v>0.24074074074074073</v>
      </c>
      <c r="Y60" s="14">
        <f t="shared" si="7"/>
        <v>0.24800910125142206</v>
      </c>
      <c r="Z60" s="14">
        <f t="shared" si="8"/>
        <v>0.22515856236786469</v>
      </c>
      <c r="AA60" s="14">
        <f t="shared" si="9"/>
        <v>0.19187358916478556</v>
      </c>
      <c r="AB60" s="14">
        <f t="shared" si="10"/>
        <v>0.15789473684210525</v>
      </c>
      <c r="AC60" s="14">
        <f t="shared" si="11"/>
        <v>0.13522727272727272</v>
      </c>
      <c r="AD60" s="14">
        <f t="shared" si="12"/>
        <v>0.17875383043922369</v>
      </c>
      <c r="AE60" s="14">
        <f t="shared" si="13"/>
        <v>0.47149122807017546</v>
      </c>
      <c r="AF60" s="14">
        <f t="shared" si="14"/>
        <v>0.453125</v>
      </c>
      <c r="AG60" s="14">
        <f t="shared" si="15"/>
        <v>0.4818880351262349</v>
      </c>
      <c r="AH60" s="14">
        <f t="shared" si="16"/>
        <v>0.4427645788336933</v>
      </c>
      <c r="AJ60" s="11" t="s">
        <v>42</v>
      </c>
      <c r="AK60" s="14">
        <f t="shared" si="17"/>
        <v>0.13262910798122066</v>
      </c>
      <c r="AL60" s="14">
        <f t="shared" si="18"/>
        <v>0.15113636363636362</v>
      </c>
      <c r="AM60" s="14">
        <f t="shared" si="19"/>
        <v>0.14052287581699346</v>
      </c>
      <c r="AN60" s="14">
        <f t="shared" si="20"/>
        <v>0.12969283276450511</v>
      </c>
      <c r="AO60" s="14">
        <f t="shared" si="21"/>
        <v>0.11627906976744186</v>
      </c>
      <c r="AP60" s="14">
        <f t="shared" si="22"/>
        <v>9.5936794582392779E-2</v>
      </c>
      <c r="AQ60" s="14">
        <f t="shared" si="23"/>
        <v>6.7669172932330823E-2</v>
      </c>
      <c r="AR60" s="14">
        <f t="shared" si="24"/>
        <v>0.12272727272727273</v>
      </c>
      <c r="AS60" s="14">
        <f t="shared" si="25"/>
        <v>0.36261491317671091</v>
      </c>
      <c r="AT60" s="14">
        <f t="shared" si="26"/>
        <v>0.1206140350877193</v>
      </c>
      <c r="AU60" s="14">
        <f t="shared" si="27"/>
        <v>9.8958333333333329E-2</v>
      </c>
      <c r="AV60" s="14">
        <f t="shared" si="28"/>
        <v>0.12294182217343579</v>
      </c>
      <c r="AW60" s="14">
        <f t="shared" si="29"/>
        <v>0.11447084233261338</v>
      </c>
    </row>
    <row r="61" spans="6:49">
      <c r="F61" s="8" t="s">
        <v>43</v>
      </c>
      <c r="G61" s="13">
        <f t="shared" si="30"/>
        <v>0.5056179775280899</v>
      </c>
      <c r="H61" s="13">
        <f t="shared" si="31"/>
        <v>0.78947368421052633</v>
      </c>
      <c r="I61" s="13">
        <f t="shared" si="32"/>
        <v>0.75299238302502725</v>
      </c>
      <c r="J61" s="13">
        <f t="shared" si="33"/>
        <v>0.77601809954751133</v>
      </c>
      <c r="K61" s="13">
        <f t="shared" si="34"/>
        <v>0.7663451232583065</v>
      </c>
      <c r="L61" s="13">
        <f t="shared" si="35"/>
        <v>0.7951273532668881</v>
      </c>
      <c r="M61" s="13">
        <f t="shared" si="36"/>
        <v>0.85977011494252875</v>
      </c>
      <c r="N61" s="13">
        <f t="shared" si="37"/>
        <v>0.87037037037037035</v>
      </c>
      <c r="O61" s="13">
        <f t="shared" si="38"/>
        <v>0.83798882681564246</v>
      </c>
      <c r="P61" s="13">
        <f t="shared" si="39"/>
        <v>0.56423982869379019</v>
      </c>
      <c r="Q61" s="13">
        <f t="shared" si="40"/>
        <v>0.55168661588683354</v>
      </c>
      <c r="R61" s="13">
        <f t="shared" si="41"/>
        <v>0.5623608017817372</v>
      </c>
      <c r="S61" s="13">
        <f t="shared" si="42"/>
        <v>0.5604963805584281</v>
      </c>
      <c r="U61" s="11" t="s">
        <v>43</v>
      </c>
      <c r="V61" s="14">
        <f t="shared" si="4"/>
        <v>0.36741573033707864</v>
      </c>
      <c r="W61" s="14">
        <f t="shared" si="5"/>
        <v>0.10633727175080558</v>
      </c>
      <c r="X61" s="14">
        <f t="shared" si="6"/>
        <v>0.13384113166485309</v>
      </c>
      <c r="Y61" s="14">
        <f t="shared" si="7"/>
        <v>0.10633484162895927</v>
      </c>
      <c r="Z61" s="14">
        <f t="shared" si="8"/>
        <v>0.12433011789924973</v>
      </c>
      <c r="AA61" s="14">
        <f t="shared" si="9"/>
        <v>0.10188261351052048</v>
      </c>
      <c r="AB61" s="14">
        <f t="shared" si="10"/>
        <v>6.7816091954022995E-2</v>
      </c>
      <c r="AC61" s="14">
        <f t="shared" si="11"/>
        <v>6.4270152505446626E-2</v>
      </c>
      <c r="AD61" s="14">
        <f t="shared" si="12"/>
        <v>4.9162011173184354E-2</v>
      </c>
      <c r="AE61" s="14">
        <f t="shared" si="13"/>
        <v>0.11027837259100642</v>
      </c>
      <c r="AF61" s="14">
        <f t="shared" si="14"/>
        <v>9.6844396082698583E-2</v>
      </c>
      <c r="AG61" s="14">
        <f t="shared" si="15"/>
        <v>0.111358574610245</v>
      </c>
      <c r="AH61" s="14">
        <f t="shared" si="16"/>
        <v>0.10341261633919338</v>
      </c>
      <c r="AJ61" s="11" t="s">
        <v>43</v>
      </c>
      <c r="AK61" s="14">
        <f t="shared" si="17"/>
        <v>0.12696629213483146</v>
      </c>
      <c r="AL61" s="14">
        <f t="shared" si="18"/>
        <v>0.1041890440386681</v>
      </c>
      <c r="AM61" s="14">
        <f t="shared" si="19"/>
        <v>0.11316648531011969</v>
      </c>
      <c r="AN61" s="14">
        <f t="shared" si="20"/>
        <v>0.11764705882352941</v>
      </c>
      <c r="AO61" s="14">
        <f t="shared" si="21"/>
        <v>0.10932475884244373</v>
      </c>
      <c r="AP61" s="14">
        <f t="shared" si="22"/>
        <v>0.10299003322259136</v>
      </c>
      <c r="AQ61" s="14">
        <f t="shared" si="23"/>
        <v>7.2413793103448282E-2</v>
      </c>
      <c r="AR61" s="14">
        <f t="shared" si="24"/>
        <v>6.535947712418301E-2</v>
      </c>
      <c r="AS61" s="14">
        <f t="shared" si="25"/>
        <v>0.11284916201117319</v>
      </c>
      <c r="AT61" s="14">
        <f t="shared" si="26"/>
        <v>0.32548179871520344</v>
      </c>
      <c r="AU61" s="14">
        <f t="shared" si="27"/>
        <v>0.35146898803046789</v>
      </c>
      <c r="AV61" s="14">
        <f t="shared" si="28"/>
        <v>0.32628062360801779</v>
      </c>
      <c r="AW61" s="14">
        <f t="shared" si="29"/>
        <v>0.33609100310237849</v>
      </c>
    </row>
    <row r="62" spans="6:49">
      <c r="F62" s="8" t="s">
        <v>44</v>
      </c>
      <c r="G62" s="13">
        <f t="shared" si="30"/>
        <v>0.68942172073342733</v>
      </c>
      <c r="H62" s="13">
        <f t="shared" si="31"/>
        <v>1</v>
      </c>
      <c r="I62" s="13">
        <f t="shared" si="32"/>
        <v>1</v>
      </c>
      <c r="J62" s="13">
        <f t="shared" si="33"/>
        <v>1</v>
      </c>
      <c r="K62" s="13">
        <f t="shared" si="34"/>
        <v>1</v>
      </c>
      <c r="L62" s="13">
        <f t="shared" si="35"/>
        <v>1</v>
      </c>
      <c r="M62" s="13">
        <f t="shared" si="36"/>
        <v>1</v>
      </c>
      <c r="N62" s="13">
        <f t="shared" si="37"/>
        <v>1</v>
      </c>
      <c r="O62" s="13">
        <f t="shared" si="38"/>
        <v>1</v>
      </c>
      <c r="P62" s="13">
        <f t="shared" si="39"/>
        <v>0.9298293891029169</v>
      </c>
      <c r="Q62" s="13">
        <f t="shared" si="40"/>
        <v>0.92346509671993271</v>
      </c>
      <c r="R62" s="13">
        <f t="shared" si="41"/>
        <v>0.92433761267413272</v>
      </c>
      <c r="S62" s="13">
        <f t="shared" si="42"/>
        <v>0.92141882673942699</v>
      </c>
      <c r="U62" s="11" t="s">
        <v>44</v>
      </c>
      <c r="V62" s="14">
        <f t="shared" si="4"/>
        <v>0</v>
      </c>
      <c r="W62" s="14">
        <f t="shared" si="5"/>
        <v>0</v>
      </c>
      <c r="X62" s="14">
        <f t="shared" si="6"/>
        <v>0</v>
      </c>
      <c r="Y62" s="14">
        <f t="shared" si="7"/>
        <v>0</v>
      </c>
      <c r="Z62" s="14">
        <f t="shared" si="8"/>
        <v>0</v>
      </c>
      <c r="AA62" s="14">
        <f t="shared" si="9"/>
        <v>0</v>
      </c>
      <c r="AB62" s="14">
        <f t="shared" si="10"/>
        <v>0</v>
      </c>
      <c r="AC62" s="14">
        <f t="shared" si="11"/>
        <v>0</v>
      </c>
      <c r="AD62" s="14">
        <f t="shared" si="12"/>
        <v>0</v>
      </c>
      <c r="AE62" s="14">
        <f t="shared" si="13"/>
        <v>0</v>
      </c>
      <c r="AF62" s="14">
        <f t="shared" si="14"/>
        <v>0</v>
      </c>
      <c r="AG62" s="14">
        <f t="shared" si="15"/>
        <v>0</v>
      </c>
      <c r="AH62" s="14">
        <f t="shared" si="16"/>
        <v>0</v>
      </c>
      <c r="AJ62" s="11" t="s">
        <v>44</v>
      </c>
      <c r="AK62" s="14">
        <f t="shared" si="17"/>
        <v>0.31057827926657261</v>
      </c>
      <c r="AL62" s="14">
        <f t="shared" si="18"/>
        <v>0</v>
      </c>
      <c r="AM62" s="14">
        <f t="shared" si="19"/>
        <v>0</v>
      </c>
      <c r="AN62" s="14">
        <f t="shared" si="20"/>
        <v>0</v>
      </c>
      <c r="AO62" s="14">
        <f t="shared" si="21"/>
        <v>0</v>
      </c>
      <c r="AP62" s="14">
        <f t="shared" si="22"/>
        <v>0</v>
      </c>
      <c r="AQ62" s="14">
        <f t="shared" si="23"/>
        <v>0</v>
      </c>
      <c r="AR62" s="14">
        <f t="shared" si="24"/>
        <v>0</v>
      </c>
      <c r="AS62" s="14">
        <f t="shared" si="25"/>
        <v>0</v>
      </c>
      <c r="AT62" s="14">
        <f t="shared" si="26"/>
        <v>7.0170610897083111E-2</v>
      </c>
      <c r="AU62" s="14">
        <f t="shared" si="27"/>
        <v>7.653490328006729E-2</v>
      </c>
      <c r="AV62" s="14">
        <f t="shared" si="28"/>
        <v>7.5662387325867247E-2</v>
      </c>
      <c r="AW62" s="14">
        <f t="shared" si="29"/>
        <v>7.8581173260572984E-2</v>
      </c>
    </row>
  </sheetData>
  <mergeCells count="17">
    <mergeCell ref="F2:S2"/>
    <mergeCell ref="A2:D2"/>
    <mergeCell ref="U2:AH2"/>
    <mergeCell ref="AJ2:AW2"/>
    <mergeCell ref="F33:S33"/>
    <mergeCell ref="U33:AH33"/>
    <mergeCell ref="AJ33:AW33"/>
    <mergeCell ref="A10:C10"/>
    <mergeCell ref="A9:B9"/>
    <mergeCell ref="A11:B11"/>
    <mergeCell ref="C11:D11"/>
    <mergeCell ref="A3:B3"/>
    <mergeCell ref="A4:B4"/>
    <mergeCell ref="A5:B5"/>
    <mergeCell ref="A6:B6"/>
    <mergeCell ref="A7:B7"/>
    <mergeCell ref="A8:B8"/>
  </mergeCells>
  <conditionalFormatting sqref="AX5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5:S6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5:S6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5:S62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5:S62">
    <cfRule type="colorScale" priority="9">
      <colorScale>
        <cfvo type="min"/>
        <cfvo type="max"/>
        <color rgb="FFFCFCFF"/>
        <color rgb="FFF8696B"/>
      </colorScale>
    </cfRule>
  </conditionalFormatting>
  <conditionalFormatting sqref="G35:S62">
    <cfRule type="colorScale" priority="8">
      <colorScale>
        <cfvo type="min"/>
        <cfvo type="max"/>
        <color rgb="FF63BE7B"/>
        <color rgb="FFFFEF9C"/>
      </colorScale>
    </cfRule>
  </conditionalFormatting>
  <conditionalFormatting sqref="G35:S62">
    <cfRule type="colorScale" priority="7">
      <colorScale>
        <cfvo type="min"/>
        <cfvo type="max"/>
        <color rgb="FF63BE7B"/>
        <color rgb="FFFCFCFF"/>
      </colorScale>
    </cfRule>
  </conditionalFormatting>
  <conditionalFormatting sqref="G35:S6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5:AH6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S3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AH3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:AW31">
    <cfRule type="colorScale" priority="2">
      <colorScale>
        <cfvo type="min"/>
        <cfvo type="max"/>
        <color rgb="FFFCFCFF"/>
        <color rgb="FF63BE7B"/>
      </colorScale>
    </cfRule>
  </conditionalFormatting>
  <conditionalFormatting sqref="AK35:AW62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Jonas Travassos</cp:lastModifiedBy>
  <cp:revision/>
  <dcterms:created xsi:type="dcterms:W3CDTF">2025-12-01T01:06:00Z</dcterms:created>
  <dcterms:modified xsi:type="dcterms:W3CDTF">2025-12-01T02:01:48Z</dcterms:modified>
  <cp:category/>
  <cp:contentStatus/>
</cp:coreProperties>
</file>