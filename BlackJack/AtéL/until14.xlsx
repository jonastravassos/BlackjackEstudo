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DE\EXCELCNV\ace735a6-25a5-4230-9d2d-73462a845ad8\"/>
    </mc:Choice>
  </mc:AlternateContent>
  <xr:revisionPtr revIDLastSave="101" documentId="8_{47D1EEAD-E7FA-4361-B44E-3B8A812C8B52}" xr6:coauthVersionLast="47" xr6:coauthVersionMax="47" xr10:uidLastSave="{A5E2A268-0B3D-4EB5-ACD4-00EE83F86884}"/>
  <bookViews>
    <workbookView xWindow="-60" yWindow="-60" windowWidth="15480" windowHeight="11640" xr2:uid="{3330A8C1-98D2-4F81-B250-C22D95C81A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5" i="1" l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K34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W34" i="1"/>
  <c r="X34" i="1"/>
  <c r="Y34" i="1"/>
  <c r="Z34" i="1"/>
  <c r="AA34" i="1"/>
  <c r="AB34" i="1"/>
  <c r="AC34" i="1"/>
  <c r="AD34" i="1"/>
  <c r="AE34" i="1"/>
  <c r="AF34" i="1"/>
  <c r="AG34" i="1"/>
  <c r="AH34" i="1"/>
  <c r="V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H34" i="1"/>
  <c r="I34" i="1"/>
  <c r="J34" i="1"/>
  <c r="K34" i="1"/>
  <c r="L34" i="1"/>
  <c r="M34" i="1"/>
  <c r="N34" i="1"/>
  <c r="O34" i="1"/>
  <c r="P34" i="1"/>
  <c r="Q34" i="1"/>
  <c r="R34" i="1"/>
  <c r="S34" i="1"/>
  <c r="G34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<sst xmlns="http://schemas.openxmlformats.org/spreadsheetml/2006/main" count="201" uniqueCount="46">
  <si>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</si>
  <si>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</si>
  <si>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</si>
  <si>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</si>
  <si>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</si>
  <si>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</si>
  <si>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</si>
  <si>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</si>
  <si>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</si>
  <si>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</si>
  <si>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</si>
  <si>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</si>
  <si>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</si>
  <si>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</si>
  <si>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</si>
  <si>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</si>
  <si>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</si>
  <si>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</si>
  <si>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</si>
  <si>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</si>
  <si>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</si>
  <si>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Saldo final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</si>
  <si>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</si>
  <si>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</si>
  <si>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</si>
  <si>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</si>
  <si>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</si>
  <si>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</si>
  <si>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</si>
  <si>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</si>
  <si>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</si>
  <si>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</si>
  <si>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</si>
  <si>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</si>
  <si>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</si>
  <si>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</si>
  <si>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</si>
  <si>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</si>
  <si>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</si>
  <si>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</si>
  <si>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</si>
  <si>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</si>
  <si>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</si>
  <si>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</si>
  <si>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PERCENTTUAIS DE DERROTAS</t>
  </si>
  <si>
    <t>RESULTADOS PERCENTUAIS DE EMPATES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</si>
</sst>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16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10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/>
    <xf numFmtId="0" fontId="19" fillId="0" borderId="10" xfId="0" applyFont="1" applyBorder="1" applyAlignment="1"/>
    <xf numFmtId="10" fontId="0" fillId="0" borderId="10" xfId="0" applyNumberFormat="1" applyBorder="1"/>
    <xf numFmtId="10" fontId="19" fillId="0" borderId="10" xfId="0" applyNumberFormat="1" applyFont="1" applyBorder="1" applyAlignment="1"/>
    <xf numFmtId="0" fontId="16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6C39-317E-42FA-92A6-88B50F2F54CA}">
  <dimension ref="A2:AW60"/>
  <sheetViews>
    <sheetView tabSelected="1" topLeftCell="N14" workbookViewId="0">
      <selection activeCell="T18" sqref="T18"/>
    </sheetView>
  </sheetViews>
  <sheetFormatPr defaultRowHeight="15"/>
  <sheetData>
    <row r="2" spans="1:49">
      <c r="A2" s="7" t="s">
        <v>0</v>
      </c>
      <c r="B2" s="7"/>
      <c r="C2" s="7"/>
      <c r="D2" s="7"/>
      <c r="F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9" t="s">
        <v>2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J2" s="9" t="s">
        <v>3</v>
      </c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>
      <c r="A3" s="15" t="s">
        <v>4</v>
      </c>
      <c r="B3" s="15"/>
      <c r="C3">
        <v>417178</v>
      </c>
      <c r="D3" s="8">
        <f>C3/1000000</f>
        <v>0.41717799999999999</v>
      </c>
      <c r="F3" s="3"/>
      <c r="G3" s="4" t="s">
        <v>5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 t="s">
        <v>6</v>
      </c>
      <c r="R3" s="4" t="s">
        <v>7</v>
      </c>
      <c r="S3" s="4" t="s">
        <v>8</v>
      </c>
      <c r="U3" s="10"/>
      <c r="V3" s="10" t="s">
        <v>5</v>
      </c>
      <c r="W3" s="10">
        <v>2</v>
      </c>
      <c r="X3" s="10">
        <v>3</v>
      </c>
      <c r="Y3" s="10">
        <v>4</v>
      </c>
      <c r="Z3" s="10">
        <v>5</v>
      </c>
      <c r="AA3" s="10">
        <v>6</v>
      </c>
      <c r="AB3" s="10">
        <v>7</v>
      </c>
      <c r="AC3" s="10">
        <v>8</v>
      </c>
      <c r="AD3" s="10">
        <v>9</v>
      </c>
      <c r="AE3" s="10">
        <v>10</v>
      </c>
      <c r="AF3" s="10" t="s">
        <v>6</v>
      </c>
      <c r="AG3" s="10" t="s">
        <v>7</v>
      </c>
      <c r="AH3" s="10" t="s">
        <v>8</v>
      </c>
      <c r="AJ3" s="10"/>
      <c r="AK3" s="10" t="s">
        <v>5</v>
      </c>
      <c r="AL3" s="10">
        <v>2</v>
      </c>
      <c r="AM3" s="10">
        <v>3</v>
      </c>
      <c r="AN3" s="10">
        <v>4</v>
      </c>
      <c r="AO3" s="10">
        <v>5</v>
      </c>
      <c r="AP3" s="10">
        <v>6</v>
      </c>
      <c r="AQ3" s="10">
        <v>7</v>
      </c>
      <c r="AR3" s="10">
        <v>8</v>
      </c>
      <c r="AS3" s="10">
        <v>9</v>
      </c>
      <c r="AT3" s="10">
        <v>10</v>
      </c>
      <c r="AU3" s="10" t="s">
        <v>6</v>
      </c>
      <c r="AV3" s="10" t="s">
        <v>7</v>
      </c>
      <c r="AW3" s="10" t="s">
        <v>8</v>
      </c>
    </row>
    <row r="4" spans="1:49">
      <c r="A4" s="15" t="s">
        <v>9</v>
      </c>
      <c r="B4" s="15"/>
      <c r="C4">
        <v>510852</v>
      </c>
      <c r="D4" s="8">
        <f t="shared" ref="D4:D9" si="0">C4/1000000</f>
        <v>0.51085199999999997</v>
      </c>
      <c r="F4" s="3" t="s">
        <v>10</v>
      </c>
      <c r="G4" s="5">
        <v>22</v>
      </c>
      <c r="H4" s="5">
        <v>51</v>
      </c>
      <c r="I4" s="5">
        <v>55</v>
      </c>
      <c r="J4" s="5">
        <v>64</v>
      </c>
      <c r="K4" s="5">
        <v>72</v>
      </c>
      <c r="L4" s="5">
        <v>77</v>
      </c>
      <c r="M4" s="5">
        <v>42</v>
      </c>
      <c r="N4" s="5">
        <v>41</v>
      </c>
      <c r="O4" s="5">
        <v>42</v>
      </c>
      <c r="P4" s="5">
        <v>43</v>
      </c>
      <c r="Q4" s="5">
        <v>41</v>
      </c>
      <c r="R4" s="5">
        <v>35</v>
      </c>
      <c r="S4" s="5">
        <v>37</v>
      </c>
      <c r="U4" s="11" t="s">
        <v>10</v>
      </c>
      <c r="V4" s="12">
        <v>244</v>
      </c>
      <c r="W4" s="12">
        <v>100</v>
      </c>
      <c r="X4" s="12">
        <v>99</v>
      </c>
      <c r="Y4" s="12">
        <v>88</v>
      </c>
      <c r="Z4" s="12">
        <v>102</v>
      </c>
      <c r="AA4" s="12">
        <v>94</v>
      </c>
      <c r="AB4" s="12">
        <v>131</v>
      </c>
      <c r="AC4" s="12">
        <v>118</v>
      </c>
      <c r="AD4" s="12">
        <v>144</v>
      </c>
      <c r="AE4" s="12">
        <v>139</v>
      </c>
      <c r="AF4" s="12">
        <v>160</v>
      </c>
      <c r="AG4" s="12">
        <v>138</v>
      </c>
      <c r="AH4" s="12">
        <v>173</v>
      </c>
      <c r="AJ4" s="11" t="s">
        <v>10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</row>
    <row r="5" spans="1:49">
      <c r="A5" s="15" t="s">
        <v>11</v>
      </c>
      <c r="B5" s="15"/>
      <c r="C5">
        <v>71970</v>
      </c>
      <c r="D5" s="8">
        <f t="shared" si="0"/>
        <v>7.1970000000000006E-2</v>
      </c>
      <c r="F5" s="3" t="s">
        <v>12</v>
      </c>
      <c r="G5" s="5">
        <v>52</v>
      </c>
      <c r="H5" s="5">
        <v>144</v>
      </c>
      <c r="I5" s="5">
        <v>159</v>
      </c>
      <c r="J5" s="5">
        <v>154</v>
      </c>
      <c r="K5" s="5">
        <v>184</v>
      </c>
      <c r="L5" s="5">
        <v>178</v>
      </c>
      <c r="M5" s="5">
        <v>103</v>
      </c>
      <c r="N5" s="5">
        <v>114</v>
      </c>
      <c r="O5" s="5">
        <v>91</v>
      </c>
      <c r="P5" s="5">
        <v>88</v>
      </c>
      <c r="Q5" s="5">
        <v>100</v>
      </c>
      <c r="R5" s="5">
        <v>94</v>
      </c>
      <c r="S5" s="5">
        <v>107</v>
      </c>
      <c r="U5" s="11" t="s">
        <v>12</v>
      </c>
      <c r="V5" s="12">
        <v>527</v>
      </c>
      <c r="W5" s="12">
        <v>256</v>
      </c>
      <c r="X5" s="12">
        <v>238</v>
      </c>
      <c r="Y5" s="12">
        <v>259</v>
      </c>
      <c r="Z5" s="12">
        <v>271</v>
      </c>
      <c r="AA5" s="12">
        <v>250</v>
      </c>
      <c r="AB5" s="12">
        <v>312</v>
      </c>
      <c r="AC5" s="12">
        <v>301</v>
      </c>
      <c r="AD5" s="12">
        <v>346</v>
      </c>
      <c r="AE5" s="12">
        <v>365</v>
      </c>
      <c r="AF5" s="12">
        <v>370</v>
      </c>
      <c r="AG5" s="12">
        <v>393</v>
      </c>
      <c r="AH5" s="12">
        <v>388</v>
      </c>
      <c r="AJ5" s="11" t="s">
        <v>12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</row>
    <row r="6" spans="1:49">
      <c r="A6" s="15" t="s">
        <v>13</v>
      </c>
      <c r="B6" s="15"/>
      <c r="C6">
        <v>94346</v>
      </c>
      <c r="D6" s="8">
        <f t="shared" si="0"/>
        <v>9.4345999999999999E-2</v>
      </c>
      <c r="F6" s="3" t="s">
        <v>14</v>
      </c>
      <c r="G6" s="5">
        <v>78</v>
      </c>
      <c r="H6" s="5">
        <v>248</v>
      </c>
      <c r="I6" s="5">
        <v>289</v>
      </c>
      <c r="J6" s="5">
        <v>311</v>
      </c>
      <c r="K6" s="5">
        <v>322</v>
      </c>
      <c r="L6" s="5">
        <v>335</v>
      </c>
      <c r="M6" s="5">
        <v>177</v>
      </c>
      <c r="N6" s="5">
        <v>191</v>
      </c>
      <c r="O6" s="5">
        <v>164</v>
      </c>
      <c r="P6" s="5">
        <v>157</v>
      </c>
      <c r="Q6" s="5">
        <v>185</v>
      </c>
      <c r="R6" s="5">
        <v>146</v>
      </c>
      <c r="S6" s="5">
        <v>176</v>
      </c>
      <c r="U6" s="11" t="s">
        <v>14</v>
      </c>
      <c r="V6" s="12">
        <v>790</v>
      </c>
      <c r="W6" s="12">
        <v>415</v>
      </c>
      <c r="X6" s="12">
        <v>411</v>
      </c>
      <c r="Y6" s="12">
        <v>427</v>
      </c>
      <c r="Z6" s="12">
        <v>459</v>
      </c>
      <c r="AA6" s="12">
        <v>402</v>
      </c>
      <c r="AB6" s="12">
        <v>529</v>
      </c>
      <c r="AC6" s="12">
        <v>540</v>
      </c>
      <c r="AD6" s="12">
        <v>549</v>
      </c>
      <c r="AE6" s="12">
        <v>608</v>
      </c>
      <c r="AF6" s="12">
        <v>649</v>
      </c>
      <c r="AG6" s="12">
        <v>638</v>
      </c>
      <c r="AH6" s="12">
        <v>618</v>
      </c>
      <c r="AJ6" s="11" t="s">
        <v>14</v>
      </c>
      <c r="AK6" s="12">
        <v>12</v>
      </c>
      <c r="AL6" s="12">
        <v>14</v>
      </c>
      <c r="AM6" s="12">
        <v>13</v>
      </c>
      <c r="AN6" s="12">
        <v>10</v>
      </c>
      <c r="AO6" s="12">
        <v>13</v>
      </c>
      <c r="AP6" s="12">
        <v>16</v>
      </c>
      <c r="AQ6" s="12">
        <v>41</v>
      </c>
      <c r="AR6" s="12">
        <v>13</v>
      </c>
      <c r="AS6" s="12">
        <v>12</v>
      </c>
      <c r="AT6" s="12">
        <v>14</v>
      </c>
      <c r="AU6" s="12">
        <v>10</v>
      </c>
      <c r="AV6" s="12">
        <v>11</v>
      </c>
      <c r="AW6" s="12">
        <v>18</v>
      </c>
    </row>
    <row r="7" spans="1:49">
      <c r="A7" s="15" t="s">
        <v>15</v>
      </c>
      <c r="B7" s="15"/>
      <c r="C7">
        <v>47468</v>
      </c>
      <c r="D7" s="8">
        <f t="shared" si="0"/>
        <v>4.7468000000000003E-2</v>
      </c>
      <c r="F7" s="3" t="s">
        <v>16</v>
      </c>
      <c r="G7" s="5">
        <v>181</v>
      </c>
      <c r="H7" s="5">
        <v>430</v>
      </c>
      <c r="I7" s="5">
        <v>472</v>
      </c>
      <c r="J7" s="5">
        <v>496</v>
      </c>
      <c r="K7" s="5">
        <v>521</v>
      </c>
      <c r="L7" s="5">
        <v>571</v>
      </c>
      <c r="M7" s="5">
        <v>356</v>
      </c>
      <c r="N7" s="5">
        <v>312</v>
      </c>
      <c r="O7" s="5">
        <v>271</v>
      </c>
      <c r="P7" s="5">
        <v>300</v>
      </c>
      <c r="Q7" s="5">
        <v>279</v>
      </c>
      <c r="R7" s="5">
        <v>250</v>
      </c>
      <c r="S7" s="5">
        <v>236</v>
      </c>
      <c r="U7" s="11" t="s">
        <v>16</v>
      </c>
      <c r="V7" s="12">
        <v>1141</v>
      </c>
      <c r="W7" s="12">
        <v>676</v>
      </c>
      <c r="X7" s="12">
        <v>633</v>
      </c>
      <c r="Y7" s="12">
        <v>568</v>
      </c>
      <c r="Z7" s="12">
        <v>571</v>
      </c>
      <c r="AA7" s="12">
        <v>561</v>
      </c>
      <c r="AB7" s="12">
        <v>598</v>
      </c>
      <c r="AC7" s="12">
        <v>796</v>
      </c>
      <c r="AD7" s="12">
        <v>800</v>
      </c>
      <c r="AE7" s="12">
        <v>861</v>
      </c>
      <c r="AF7" s="12">
        <v>902</v>
      </c>
      <c r="AG7" s="12">
        <v>897</v>
      </c>
      <c r="AH7" s="12">
        <v>873</v>
      </c>
      <c r="AJ7" s="11" t="s">
        <v>16</v>
      </c>
      <c r="AK7" s="12">
        <v>107</v>
      </c>
      <c r="AL7" s="12">
        <v>90</v>
      </c>
      <c r="AM7" s="12">
        <v>94</v>
      </c>
      <c r="AN7" s="12">
        <v>90</v>
      </c>
      <c r="AO7" s="12">
        <v>93</v>
      </c>
      <c r="AP7" s="12">
        <v>113</v>
      </c>
      <c r="AQ7" s="12">
        <v>235</v>
      </c>
      <c r="AR7" s="12">
        <v>138</v>
      </c>
      <c r="AS7" s="12">
        <v>81</v>
      </c>
      <c r="AT7" s="12">
        <v>65</v>
      </c>
      <c r="AU7" s="12">
        <v>78</v>
      </c>
      <c r="AV7" s="12">
        <v>95</v>
      </c>
      <c r="AW7" s="12">
        <v>70</v>
      </c>
    </row>
    <row r="8" spans="1:49">
      <c r="A8" s="15" t="s">
        <v>17</v>
      </c>
      <c r="B8" s="15"/>
      <c r="C8">
        <v>229847</v>
      </c>
      <c r="D8" s="8">
        <f t="shared" si="0"/>
        <v>0.229847</v>
      </c>
      <c r="F8" s="3" t="s">
        <v>18</v>
      </c>
      <c r="G8" s="5">
        <v>371</v>
      </c>
      <c r="H8" s="5">
        <v>771</v>
      </c>
      <c r="I8" s="5">
        <v>790</v>
      </c>
      <c r="J8" s="5">
        <v>791</v>
      </c>
      <c r="K8" s="5">
        <v>917</v>
      </c>
      <c r="L8" s="5">
        <v>923</v>
      </c>
      <c r="M8" s="5">
        <v>887</v>
      </c>
      <c r="N8" s="5">
        <v>612</v>
      </c>
      <c r="O8" s="5">
        <v>553</v>
      </c>
      <c r="P8" s="5">
        <v>530</v>
      </c>
      <c r="Q8" s="5">
        <v>490</v>
      </c>
      <c r="R8" s="5">
        <v>475</v>
      </c>
      <c r="S8" s="5">
        <v>469</v>
      </c>
      <c r="U8" s="11" t="s">
        <v>18</v>
      </c>
      <c r="V8" s="12">
        <v>1373</v>
      </c>
      <c r="W8" s="12">
        <v>811</v>
      </c>
      <c r="X8" s="12">
        <v>723</v>
      </c>
      <c r="Y8" s="12">
        <v>770</v>
      </c>
      <c r="Z8" s="12">
        <v>707</v>
      </c>
      <c r="AA8" s="12">
        <v>657</v>
      </c>
      <c r="AB8" s="12">
        <v>705</v>
      </c>
      <c r="AC8" s="12">
        <v>803</v>
      </c>
      <c r="AD8" s="12">
        <v>947</v>
      </c>
      <c r="AE8" s="12">
        <v>1130</v>
      </c>
      <c r="AF8" s="12">
        <v>1144</v>
      </c>
      <c r="AG8" s="12">
        <v>1104</v>
      </c>
      <c r="AH8" s="12">
        <v>1105</v>
      </c>
      <c r="AJ8" s="11" t="s">
        <v>18</v>
      </c>
      <c r="AK8" s="12">
        <v>140</v>
      </c>
      <c r="AL8" s="12">
        <v>152</v>
      </c>
      <c r="AM8" s="12">
        <v>162</v>
      </c>
      <c r="AN8" s="12">
        <v>120</v>
      </c>
      <c r="AO8" s="12">
        <v>151</v>
      </c>
      <c r="AP8" s="12">
        <v>140</v>
      </c>
      <c r="AQ8" s="12">
        <v>215</v>
      </c>
      <c r="AR8" s="12">
        <v>315</v>
      </c>
      <c r="AS8" s="12">
        <v>177</v>
      </c>
      <c r="AT8" s="12">
        <v>122</v>
      </c>
      <c r="AU8" s="12">
        <v>128</v>
      </c>
      <c r="AV8" s="12">
        <v>117</v>
      </c>
      <c r="AW8" s="12">
        <v>102</v>
      </c>
    </row>
    <row r="9" spans="1:49">
      <c r="A9" s="15" t="s">
        <v>19</v>
      </c>
      <c r="B9" s="15"/>
      <c r="C9">
        <v>47647</v>
      </c>
      <c r="D9" s="8">
        <f t="shared" si="0"/>
        <v>4.7647000000000002E-2</v>
      </c>
      <c r="F9" s="3" t="s">
        <v>20</v>
      </c>
      <c r="G9" s="5">
        <v>665</v>
      </c>
      <c r="H9" s="5">
        <v>1264</v>
      </c>
      <c r="I9" s="5">
        <v>1326</v>
      </c>
      <c r="J9" s="5">
        <v>1348</v>
      </c>
      <c r="K9" s="5">
        <v>1400</v>
      </c>
      <c r="L9" s="5">
        <v>1385</v>
      </c>
      <c r="M9" s="5">
        <v>1349</v>
      </c>
      <c r="N9" s="5">
        <v>1269</v>
      </c>
      <c r="O9" s="5">
        <v>937</v>
      </c>
      <c r="P9" s="5">
        <v>837</v>
      </c>
      <c r="Q9" s="5">
        <v>868</v>
      </c>
      <c r="R9" s="5">
        <v>839</v>
      </c>
      <c r="S9" s="5">
        <v>822</v>
      </c>
      <c r="U9" s="11" t="s">
        <v>20</v>
      </c>
      <c r="V9" s="12">
        <v>1613</v>
      </c>
      <c r="W9" s="12">
        <v>900</v>
      </c>
      <c r="X9" s="12">
        <v>923</v>
      </c>
      <c r="Y9" s="12">
        <v>919</v>
      </c>
      <c r="Z9" s="12">
        <v>833</v>
      </c>
      <c r="AA9" s="12">
        <v>825</v>
      </c>
      <c r="AB9" s="12">
        <v>837</v>
      </c>
      <c r="AC9" s="12">
        <v>829</v>
      </c>
      <c r="AD9" s="12">
        <v>1008</v>
      </c>
      <c r="AE9" s="12">
        <v>1416</v>
      </c>
      <c r="AF9" s="12">
        <v>1345</v>
      </c>
      <c r="AG9" s="12">
        <v>1378</v>
      </c>
      <c r="AH9" s="12">
        <v>1322</v>
      </c>
      <c r="AJ9" s="11" t="s">
        <v>20</v>
      </c>
      <c r="AK9" s="12">
        <v>235</v>
      </c>
      <c r="AL9" s="12">
        <v>218</v>
      </c>
      <c r="AM9" s="12">
        <v>219</v>
      </c>
      <c r="AN9" s="12">
        <v>205</v>
      </c>
      <c r="AO9" s="12">
        <v>200</v>
      </c>
      <c r="AP9" s="12">
        <v>185</v>
      </c>
      <c r="AQ9" s="12">
        <v>196</v>
      </c>
      <c r="AR9" s="12">
        <v>265</v>
      </c>
      <c r="AS9" s="12">
        <v>398</v>
      </c>
      <c r="AT9" s="12">
        <v>246</v>
      </c>
      <c r="AU9" s="12">
        <v>248</v>
      </c>
      <c r="AV9" s="12">
        <v>239</v>
      </c>
      <c r="AW9" s="12">
        <v>238</v>
      </c>
    </row>
    <row r="10" spans="1:49">
      <c r="A10" s="15" t="s">
        <v>21</v>
      </c>
      <c r="B10" s="15"/>
      <c r="C10" s="6">
        <v>-116323</v>
      </c>
      <c r="D10" s="6"/>
      <c r="F10" s="3" t="s">
        <v>22</v>
      </c>
      <c r="G10" s="5">
        <v>1086</v>
      </c>
      <c r="H10" s="5">
        <v>1860</v>
      </c>
      <c r="I10" s="5">
        <v>1908</v>
      </c>
      <c r="J10" s="5">
        <v>1958</v>
      </c>
      <c r="K10" s="5">
        <v>2031</v>
      </c>
      <c r="L10" s="5">
        <v>2026</v>
      </c>
      <c r="M10" s="5">
        <v>1968</v>
      </c>
      <c r="N10" s="5">
        <v>1881</v>
      </c>
      <c r="O10" s="5">
        <v>1731</v>
      </c>
      <c r="P10" s="5">
        <v>1290</v>
      </c>
      <c r="Q10" s="5">
        <v>1395</v>
      </c>
      <c r="R10" s="5">
        <v>1380</v>
      </c>
      <c r="S10" s="5">
        <v>1361</v>
      </c>
      <c r="U10" s="11" t="s">
        <v>22</v>
      </c>
      <c r="V10" s="12">
        <v>1872</v>
      </c>
      <c r="W10" s="12">
        <v>1049</v>
      </c>
      <c r="X10" s="12">
        <v>916</v>
      </c>
      <c r="Y10" s="12">
        <v>946</v>
      </c>
      <c r="Z10" s="12">
        <v>889</v>
      </c>
      <c r="AA10" s="12">
        <v>834</v>
      </c>
      <c r="AB10" s="12">
        <v>899</v>
      </c>
      <c r="AC10" s="12">
        <v>1017</v>
      </c>
      <c r="AD10" s="12">
        <v>1160</v>
      </c>
      <c r="AE10" s="12">
        <v>1270</v>
      </c>
      <c r="AF10" s="12">
        <v>1380</v>
      </c>
      <c r="AG10" s="12">
        <v>1343</v>
      </c>
      <c r="AH10" s="12">
        <v>1288</v>
      </c>
      <c r="AJ10" s="11" t="s">
        <v>22</v>
      </c>
      <c r="AK10" s="12">
        <v>258</v>
      </c>
      <c r="AL10" s="12">
        <v>281</v>
      </c>
      <c r="AM10" s="12">
        <v>279</v>
      </c>
      <c r="AN10" s="12">
        <v>262</v>
      </c>
      <c r="AO10" s="12">
        <v>248</v>
      </c>
      <c r="AP10" s="12">
        <v>217</v>
      </c>
      <c r="AQ10" s="12">
        <v>241</v>
      </c>
      <c r="AR10" s="12">
        <v>211</v>
      </c>
      <c r="AS10" s="12">
        <v>331</v>
      </c>
      <c r="AT10" s="12">
        <v>477</v>
      </c>
      <c r="AU10" s="12">
        <v>478</v>
      </c>
      <c r="AV10" s="12">
        <v>499</v>
      </c>
      <c r="AW10" s="12">
        <v>492</v>
      </c>
    </row>
    <row r="11" spans="1:49">
      <c r="F11" s="3" t="s">
        <v>23</v>
      </c>
      <c r="G11" s="5">
        <v>1501</v>
      </c>
      <c r="H11" s="5">
        <v>2470</v>
      </c>
      <c r="I11" s="5">
        <v>2559</v>
      </c>
      <c r="J11" s="5">
        <v>2542</v>
      </c>
      <c r="K11" s="5">
        <v>2627</v>
      </c>
      <c r="L11" s="5">
        <v>2678</v>
      </c>
      <c r="M11" s="5">
        <v>2459</v>
      </c>
      <c r="N11" s="5">
        <v>2412</v>
      </c>
      <c r="O11" s="5">
        <v>2334</v>
      </c>
      <c r="P11" s="5">
        <v>2025</v>
      </c>
      <c r="Q11" s="5">
        <v>1944</v>
      </c>
      <c r="R11" s="5">
        <v>1998</v>
      </c>
      <c r="S11" s="5">
        <v>2101</v>
      </c>
      <c r="U11" s="11" t="s">
        <v>23</v>
      </c>
      <c r="V11" s="12">
        <v>2267</v>
      </c>
      <c r="W11" s="12">
        <v>1435</v>
      </c>
      <c r="X11" s="12">
        <v>1248</v>
      </c>
      <c r="Y11" s="12">
        <v>1334</v>
      </c>
      <c r="Z11" s="12">
        <v>1339</v>
      </c>
      <c r="AA11" s="12">
        <v>1239</v>
      </c>
      <c r="AB11" s="12">
        <v>1345</v>
      </c>
      <c r="AC11" s="12">
        <v>1477</v>
      </c>
      <c r="AD11" s="12">
        <v>1685</v>
      </c>
      <c r="AE11" s="12">
        <v>1929</v>
      </c>
      <c r="AF11" s="12">
        <v>1825</v>
      </c>
      <c r="AG11" s="12">
        <v>1839</v>
      </c>
      <c r="AH11" s="12">
        <v>1828</v>
      </c>
      <c r="AJ11" s="11" t="s">
        <v>23</v>
      </c>
      <c r="AK11" s="12">
        <v>176</v>
      </c>
      <c r="AL11" s="12">
        <v>177</v>
      </c>
      <c r="AM11" s="12">
        <v>182</v>
      </c>
      <c r="AN11" s="12">
        <v>145</v>
      </c>
      <c r="AO11" s="12">
        <v>153</v>
      </c>
      <c r="AP11" s="12">
        <v>144</v>
      </c>
      <c r="AQ11" s="12">
        <v>239</v>
      </c>
      <c r="AR11" s="12">
        <v>225</v>
      </c>
      <c r="AS11" s="12">
        <v>252</v>
      </c>
      <c r="AT11" s="12">
        <v>238</v>
      </c>
      <c r="AU11" s="12">
        <v>227</v>
      </c>
      <c r="AV11" s="12">
        <v>246</v>
      </c>
      <c r="AW11" s="12">
        <v>231</v>
      </c>
    </row>
    <row r="12" spans="1:49">
      <c r="F12" s="3" t="s">
        <v>24</v>
      </c>
      <c r="G12" s="5">
        <v>1453</v>
      </c>
      <c r="H12" s="5">
        <v>2647</v>
      </c>
      <c r="I12" s="5">
        <v>2610</v>
      </c>
      <c r="J12" s="5">
        <v>2706</v>
      </c>
      <c r="K12" s="5">
        <v>2851</v>
      </c>
      <c r="L12" s="5">
        <v>2888</v>
      </c>
      <c r="M12" s="5">
        <v>2723</v>
      </c>
      <c r="N12" s="5">
        <v>2374</v>
      </c>
      <c r="O12" s="5">
        <v>2170</v>
      </c>
      <c r="P12" s="5">
        <v>1920</v>
      </c>
      <c r="Q12" s="5">
        <v>1895</v>
      </c>
      <c r="R12" s="5">
        <v>1878</v>
      </c>
      <c r="S12" s="5">
        <v>1862</v>
      </c>
      <c r="U12" s="11" t="s">
        <v>24</v>
      </c>
      <c r="V12" s="12">
        <v>5979</v>
      </c>
      <c r="W12" s="12">
        <v>4919</v>
      </c>
      <c r="X12" s="12">
        <v>4953</v>
      </c>
      <c r="Y12" s="12">
        <v>4890</v>
      </c>
      <c r="Z12" s="12">
        <v>4739</v>
      </c>
      <c r="AA12" s="12">
        <v>4842</v>
      </c>
      <c r="AB12" s="12">
        <v>4849</v>
      </c>
      <c r="AC12" s="12">
        <v>5248</v>
      </c>
      <c r="AD12" s="12">
        <v>5228</v>
      </c>
      <c r="AE12" s="12">
        <v>5544</v>
      </c>
      <c r="AF12" s="12">
        <v>5554</v>
      </c>
      <c r="AG12" s="12">
        <v>5642</v>
      </c>
      <c r="AH12" s="12">
        <v>5596</v>
      </c>
      <c r="AJ12" s="11" t="s">
        <v>24</v>
      </c>
      <c r="AK12" s="12">
        <v>315</v>
      </c>
      <c r="AL12" s="12">
        <v>286</v>
      </c>
      <c r="AM12" s="12">
        <v>297</v>
      </c>
      <c r="AN12" s="12">
        <v>316</v>
      </c>
      <c r="AO12" s="12">
        <v>282</v>
      </c>
      <c r="AP12" s="12">
        <v>284</v>
      </c>
      <c r="AQ12" s="12">
        <v>406</v>
      </c>
      <c r="AR12" s="12">
        <v>401</v>
      </c>
      <c r="AS12" s="12">
        <v>455</v>
      </c>
      <c r="AT12" s="12">
        <v>426</v>
      </c>
      <c r="AU12" s="12">
        <v>388</v>
      </c>
      <c r="AV12" s="12">
        <v>423</v>
      </c>
      <c r="AW12" s="12">
        <v>432</v>
      </c>
    </row>
    <row r="13" spans="1:49">
      <c r="F13" s="3" t="s">
        <v>25</v>
      </c>
      <c r="G13" s="5">
        <v>1285</v>
      </c>
      <c r="H13" s="5">
        <v>2497</v>
      </c>
      <c r="I13" s="5">
        <v>2372</v>
      </c>
      <c r="J13" s="5">
        <v>2510</v>
      </c>
      <c r="K13" s="5">
        <v>2435</v>
      </c>
      <c r="L13" s="5">
        <v>2616</v>
      </c>
      <c r="M13" s="5">
        <v>2369</v>
      </c>
      <c r="N13" s="5">
        <v>2206</v>
      </c>
      <c r="O13" s="5">
        <v>2023</v>
      </c>
      <c r="P13" s="5">
        <v>1743</v>
      </c>
      <c r="Q13" s="5">
        <v>1731</v>
      </c>
      <c r="R13" s="5">
        <v>1764</v>
      </c>
      <c r="S13" s="5">
        <v>1704</v>
      </c>
      <c r="U13" s="11" t="s">
        <v>25</v>
      </c>
      <c r="V13" s="12">
        <v>5838</v>
      </c>
      <c r="W13" s="12">
        <v>5124</v>
      </c>
      <c r="X13" s="12">
        <v>4994</v>
      </c>
      <c r="Y13" s="12">
        <v>5048</v>
      </c>
      <c r="Z13" s="12">
        <v>4998</v>
      </c>
      <c r="AA13" s="12">
        <v>4889</v>
      </c>
      <c r="AB13" s="12">
        <v>5040</v>
      </c>
      <c r="AC13" s="12">
        <v>5272</v>
      </c>
      <c r="AD13" s="12">
        <v>5274</v>
      </c>
      <c r="AE13" s="12">
        <v>5491</v>
      </c>
      <c r="AF13" s="12">
        <v>5511</v>
      </c>
      <c r="AG13" s="12">
        <v>5570</v>
      </c>
      <c r="AH13" s="12">
        <v>5521</v>
      </c>
      <c r="AJ13" s="11" t="s">
        <v>25</v>
      </c>
      <c r="AK13" s="12">
        <v>309</v>
      </c>
      <c r="AL13" s="12">
        <v>311</v>
      </c>
      <c r="AM13" s="12">
        <v>316</v>
      </c>
      <c r="AN13" s="12">
        <v>297</v>
      </c>
      <c r="AO13" s="12">
        <v>302</v>
      </c>
      <c r="AP13" s="12">
        <v>291</v>
      </c>
      <c r="AQ13" s="12">
        <v>377</v>
      </c>
      <c r="AR13" s="12">
        <v>403</v>
      </c>
      <c r="AS13" s="12">
        <v>383</v>
      </c>
      <c r="AT13" s="12">
        <v>399</v>
      </c>
      <c r="AU13" s="12">
        <v>396</v>
      </c>
      <c r="AV13" s="12">
        <v>417</v>
      </c>
      <c r="AW13" s="12">
        <v>418</v>
      </c>
    </row>
    <row r="14" spans="1:49">
      <c r="F14" s="3" t="s">
        <v>26</v>
      </c>
      <c r="G14" s="5">
        <v>668</v>
      </c>
      <c r="H14" s="5">
        <v>2162</v>
      </c>
      <c r="I14" s="5">
        <v>2229</v>
      </c>
      <c r="J14" s="5">
        <v>2345</v>
      </c>
      <c r="K14" s="5">
        <v>2530</v>
      </c>
      <c r="L14" s="5">
        <v>2499</v>
      </c>
      <c r="M14" s="5">
        <v>1630</v>
      </c>
      <c r="N14" s="5">
        <v>1422</v>
      </c>
      <c r="O14" s="5">
        <v>1365</v>
      </c>
      <c r="P14" s="5">
        <v>1226</v>
      </c>
      <c r="Q14" s="5">
        <v>1223</v>
      </c>
      <c r="R14" s="5">
        <v>1321</v>
      </c>
      <c r="S14" s="5">
        <v>1297</v>
      </c>
      <c r="U14" s="11" t="s">
        <v>26</v>
      </c>
      <c r="V14" s="12">
        <v>5398</v>
      </c>
      <c r="W14" s="12">
        <v>3826</v>
      </c>
      <c r="X14" s="12">
        <v>3771</v>
      </c>
      <c r="Y14" s="12">
        <v>3564</v>
      </c>
      <c r="Z14" s="12">
        <v>3509</v>
      </c>
      <c r="AA14" s="12">
        <v>3396</v>
      </c>
      <c r="AB14" s="12">
        <v>4305</v>
      </c>
      <c r="AC14" s="12">
        <v>4290</v>
      </c>
      <c r="AD14" s="12">
        <v>4562</v>
      </c>
      <c r="AE14" s="12">
        <v>4625</v>
      </c>
      <c r="AF14" s="12">
        <v>4671</v>
      </c>
      <c r="AG14" s="12">
        <v>4716</v>
      </c>
      <c r="AH14" s="12">
        <v>4606</v>
      </c>
      <c r="AJ14" s="11" t="s">
        <v>26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</row>
    <row r="15" spans="1:49">
      <c r="F15" s="3" t="s">
        <v>27</v>
      </c>
      <c r="G15" s="5">
        <v>687</v>
      </c>
      <c r="H15" s="5">
        <v>1943</v>
      </c>
      <c r="I15" s="5">
        <v>2051</v>
      </c>
      <c r="J15" s="5">
        <v>2224</v>
      </c>
      <c r="K15" s="5">
        <v>2201</v>
      </c>
      <c r="L15" s="5">
        <v>2218</v>
      </c>
      <c r="M15" s="5">
        <v>1391</v>
      </c>
      <c r="N15" s="5">
        <v>1387</v>
      </c>
      <c r="O15" s="5">
        <v>1238</v>
      </c>
      <c r="P15" s="5">
        <v>1116</v>
      </c>
      <c r="Q15" s="5">
        <v>1140</v>
      </c>
      <c r="R15" s="5">
        <v>1142</v>
      </c>
      <c r="S15" s="5">
        <v>1139</v>
      </c>
      <c r="U15" s="11" t="s">
        <v>27</v>
      </c>
      <c r="V15" s="12">
        <v>4896</v>
      </c>
      <c r="W15" s="12">
        <v>3534</v>
      </c>
      <c r="X15" s="12">
        <v>3419</v>
      </c>
      <c r="Y15" s="12">
        <v>3289</v>
      </c>
      <c r="Z15" s="12">
        <v>3080</v>
      </c>
      <c r="AA15" s="12">
        <v>3235</v>
      </c>
      <c r="AB15" s="12">
        <v>4066</v>
      </c>
      <c r="AC15" s="12">
        <v>4106</v>
      </c>
      <c r="AD15" s="12">
        <v>4146</v>
      </c>
      <c r="AE15" s="12">
        <v>4291</v>
      </c>
      <c r="AF15" s="12">
        <v>4299</v>
      </c>
      <c r="AG15" s="12">
        <v>4360</v>
      </c>
      <c r="AH15" s="12">
        <v>4378</v>
      </c>
      <c r="AJ15" s="11" t="s">
        <v>27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</row>
    <row r="16" spans="1:49">
      <c r="F16" s="3" t="s">
        <v>28</v>
      </c>
      <c r="G16" s="5">
        <v>587</v>
      </c>
      <c r="H16" s="5">
        <v>1852</v>
      </c>
      <c r="I16" s="5">
        <v>1870</v>
      </c>
      <c r="J16" s="5">
        <v>1953</v>
      </c>
      <c r="K16" s="5">
        <v>2152</v>
      </c>
      <c r="L16" s="5">
        <v>2032</v>
      </c>
      <c r="M16" s="5">
        <v>1337</v>
      </c>
      <c r="N16" s="5">
        <v>1163</v>
      </c>
      <c r="O16" s="5">
        <v>1114</v>
      </c>
      <c r="P16" s="5">
        <v>1057</v>
      </c>
      <c r="Q16" s="5">
        <v>1021</v>
      </c>
      <c r="R16" s="5">
        <v>1055</v>
      </c>
      <c r="S16" s="5">
        <v>1087</v>
      </c>
      <c r="U16" s="11" t="s">
        <v>28</v>
      </c>
      <c r="V16" s="12">
        <v>4541</v>
      </c>
      <c r="W16" s="12">
        <v>3268</v>
      </c>
      <c r="X16" s="12">
        <v>3188</v>
      </c>
      <c r="Y16" s="12">
        <v>3085</v>
      </c>
      <c r="Z16" s="12">
        <v>2865</v>
      </c>
      <c r="AA16" s="12">
        <v>2800</v>
      </c>
      <c r="AB16" s="12">
        <v>3745</v>
      </c>
      <c r="AC16" s="12">
        <v>3713</v>
      </c>
      <c r="AD16" s="12">
        <v>3823</v>
      </c>
      <c r="AE16" s="12">
        <v>3989</v>
      </c>
      <c r="AF16" s="12">
        <v>3973</v>
      </c>
      <c r="AG16" s="12">
        <v>3896</v>
      </c>
      <c r="AH16" s="12">
        <v>3871</v>
      </c>
      <c r="AJ16" s="11" t="s">
        <v>28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</row>
    <row r="17" spans="6:49">
      <c r="F17" s="3" t="s">
        <v>29</v>
      </c>
      <c r="G17" s="5">
        <v>540</v>
      </c>
      <c r="H17" s="5">
        <v>1583</v>
      </c>
      <c r="I17" s="5">
        <v>1698</v>
      </c>
      <c r="J17" s="5">
        <v>1866</v>
      </c>
      <c r="K17" s="5">
        <v>2014</v>
      </c>
      <c r="L17" s="5">
        <v>1960</v>
      </c>
      <c r="M17" s="5">
        <v>1162</v>
      </c>
      <c r="N17" s="5">
        <v>1107</v>
      </c>
      <c r="O17" s="5">
        <v>997</v>
      </c>
      <c r="P17" s="5">
        <v>1016</v>
      </c>
      <c r="Q17" s="5">
        <v>906</v>
      </c>
      <c r="R17" s="5">
        <v>935</v>
      </c>
      <c r="S17" s="5">
        <v>962</v>
      </c>
      <c r="U17" s="11" t="s">
        <v>29</v>
      </c>
      <c r="V17" s="12">
        <v>3351</v>
      </c>
      <c r="W17" s="12">
        <v>2312</v>
      </c>
      <c r="X17" s="12">
        <v>2297</v>
      </c>
      <c r="Y17" s="12">
        <v>2181</v>
      </c>
      <c r="Z17" s="12">
        <v>2035</v>
      </c>
      <c r="AA17" s="12">
        <v>1856</v>
      </c>
      <c r="AB17" s="12">
        <v>1615</v>
      </c>
      <c r="AC17" s="12">
        <v>2907</v>
      </c>
      <c r="AD17" s="12">
        <v>2921</v>
      </c>
      <c r="AE17" s="12">
        <v>3040</v>
      </c>
      <c r="AF17" s="12">
        <v>3098</v>
      </c>
      <c r="AG17" s="12">
        <v>3116</v>
      </c>
      <c r="AH17" s="12">
        <v>3127</v>
      </c>
      <c r="AJ17" s="11" t="s">
        <v>29</v>
      </c>
      <c r="AK17" s="12">
        <v>624</v>
      </c>
      <c r="AL17" s="12">
        <v>643</v>
      </c>
      <c r="AM17" s="12">
        <v>597</v>
      </c>
      <c r="AN17" s="12">
        <v>572</v>
      </c>
      <c r="AO17" s="12">
        <v>573</v>
      </c>
      <c r="AP17" s="12">
        <v>724</v>
      </c>
      <c r="AQ17" s="12">
        <v>1629</v>
      </c>
      <c r="AR17" s="12">
        <v>534</v>
      </c>
      <c r="AS17" s="12">
        <v>555</v>
      </c>
      <c r="AT17" s="12">
        <v>484</v>
      </c>
      <c r="AU17" s="12">
        <v>467</v>
      </c>
      <c r="AV17" s="12">
        <v>512</v>
      </c>
      <c r="AW17" s="12">
        <v>528</v>
      </c>
    </row>
    <row r="18" spans="6:49">
      <c r="F18" s="3" t="s">
        <v>30</v>
      </c>
      <c r="G18" s="5">
        <v>1001</v>
      </c>
      <c r="H18" s="5">
        <v>1979</v>
      </c>
      <c r="I18" s="5">
        <v>2095</v>
      </c>
      <c r="J18" s="5">
        <v>2155</v>
      </c>
      <c r="K18" s="5">
        <v>2285</v>
      </c>
      <c r="L18" s="5">
        <v>2424</v>
      </c>
      <c r="M18" s="5">
        <v>2631</v>
      </c>
      <c r="N18" s="5">
        <v>1531</v>
      </c>
      <c r="O18" s="5">
        <v>1432</v>
      </c>
      <c r="P18" s="5">
        <v>1271</v>
      </c>
      <c r="Q18" s="5">
        <v>1263</v>
      </c>
      <c r="R18" s="5">
        <v>1280</v>
      </c>
      <c r="S18" s="5">
        <v>1279</v>
      </c>
      <c r="U18" s="11" t="s">
        <v>30</v>
      </c>
      <c r="V18" s="12">
        <v>2597</v>
      </c>
      <c r="W18" s="12">
        <v>1587</v>
      </c>
      <c r="X18" s="12">
        <v>1477</v>
      </c>
      <c r="Y18" s="12">
        <v>1410</v>
      </c>
      <c r="Z18" s="12">
        <v>1339</v>
      </c>
      <c r="AA18" s="12">
        <v>1253</v>
      </c>
      <c r="AB18" s="12">
        <v>921</v>
      </c>
      <c r="AC18" s="12">
        <v>1000</v>
      </c>
      <c r="AD18" s="12">
        <v>2142</v>
      </c>
      <c r="AE18" s="12">
        <v>2351</v>
      </c>
      <c r="AF18" s="12">
        <v>2387</v>
      </c>
      <c r="AG18" s="12">
        <v>2268</v>
      </c>
      <c r="AH18" s="12">
        <v>2335</v>
      </c>
      <c r="AJ18" s="11" t="s">
        <v>30</v>
      </c>
      <c r="AK18" s="12">
        <v>512</v>
      </c>
      <c r="AL18" s="12">
        <v>556</v>
      </c>
      <c r="AM18" s="12">
        <v>565</v>
      </c>
      <c r="AN18" s="12">
        <v>543</v>
      </c>
      <c r="AO18" s="12">
        <v>486</v>
      </c>
      <c r="AP18" s="12">
        <v>433</v>
      </c>
      <c r="AQ18" s="12">
        <v>591</v>
      </c>
      <c r="AR18" s="12">
        <v>1445</v>
      </c>
      <c r="AS18" s="12">
        <v>442</v>
      </c>
      <c r="AT18" s="12">
        <v>430</v>
      </c>
      <c r="AU18" s="12">
        <v>438</v>
      </c>
      <c r="AV18" s="12">
        <v>432</v>
      </c>
      <c r="AW18" s="12">
        <v>484</v>
      </c>
    </row>
    <row r="19" spans="6:49">
      <c r="F19" s="3" t="s">
        <v>31</v>
      </c>
      <c r="G19" s="5">
        <v>1449</v>
      </c>
      <c r="H19" s="5">
        <v>2249</v>
      </c>
      <c r="I19" s="5">
        <v>2222</v>
      </c>
      <c r="J19" s="5">
        <v>2371</v>
      </c>
      <c r="K19" s="5">
        <v>2452</v>
      </c>
      <c r="L19" s="5">
        <v>2571</v>
      </c>
      <c r="M19" s="5">
        <v>2779</v>
      </c>
      <c r="N19" s="5">
        <v>2631</v>
      </c>
      <c r="O19" s="5">
        <v>1576</v>
      </c>
      <c r="P19" s="5">
        <v>1606</v>
      </c>
      <c r="Q19" s="5">
        <v>1640</v>
      </c>
      <c r="R19" s="5">
        <v>1588</v>
      </c>
      <c r="S19" s="5">
        <v>1630</v>
      </c>
      <c r="U19" s="11" t="s">
        <v>31</v>
      </c>
      <c r="V19" s="12">
        <v>1842</v>
      </c>
      <c r="W19" s="12">
        <v>868</v>
      </c>
      <c r="X19" s="12">
        <v>911</v>
      </c>
      <c r="Y19" s="12">
        <v>806</v>
      </c>
      <c r="Z19" s="12">
        <v>812</v>
      </c>
      <c r="AA19" s="12">
        <v>754</v>
      </c>
      <c r="AB19" s="12">
        <v>530</v>
      </c>
      <c r="AC19" s="12">
        <v>560</v>
      </c>
      <c r="AD19" s="12">
        <v>666</v>
      </c>
      <c r="AE19" s="12">
        <v>1688</v>
      </c>
      <c r="AF19" s="12">
        <v>1597</v>
      </c>
      <c r="AG19" s="12">
        <v>1624</v>
      </c>
      <c r="AH19" s="12">
        <v>1631</v>
      </c>
      <c r="AJ19" s="11" t="s">
        <v>31</v>
      </c>
      <c r="AK19" s="12">
        <v>547</v>
      </c>
      <c r="AL19" s="12">
        <v>465</v>
      </c>
      <c r="AM19" s="12">
        <v>452</v>
      </c>
      <c r="AN19" s="12">
        <v>401</v>
      </c>
      <c r="AO19" s="12">
        <v>380</v>
      </c>
      <c r="AP19" s="12">
        <v>385</v>
      </c>
      <c r="AQ19" s="12">
        <v>273</v>
      </c>
      <c r="AR19" s="12">
        <v>483</v>
      </c>
      <c r="AS19" s="12">
        <v>1153</v>
      </c>
      <c r="AT19" s="12">
        <v>400</v>
      </c>
      <c r="AU19" s="12">
        <v>383</v>
      </c>
      <c r="AV19" s="12">
        <v>387</v>
      </c>
      <c r="AW19" s="12">
        <v>421</v>
      </c>
    </row>
    <row r="20" spans="6:49">
      <c r="F20" s="3" t="s">
        <v>32</v>
      </c>
      <c r="G20" s="5">
        <v>3727</v>
      </c>
      <c r="H20" s="5">
        <v>5376</v>
      </c>
      <c r="I20" s="5">
        <v>5479</v>
      </c>
      <c r="J20" s="5">
        <v>5689</v>
      </c>
      <c r="K20" s="5">
        <v>5594</v>
      </c>
      <c r="L20" s="5">
        <v>5739</v>
      </c>
      <c r="M20" s="5">
        <v>6119</v>
      </c>
      <c r="N20" s="5">
        <v>6352</v>
      </c>
      <c r="O20" s="5">
        <v>5941</v>
      </c>
      <c r="P20" s="5">
        <v>3829</v>
      </c>
      <c r="Q20" s="5">
        <v>3861</v>
      </c>
      <c r="R20" s="5">
        <v>3981</v>
      </c>
      <c r="S20" s="5">
        <v>3994</v>
      </c>
      <c r="U20" s="11" t="s">
        <v>32</v>
      </c>
      <c r="V20" s="12">
        <v>2512</v>
      </c>
      <c r="W20" s="12">
        <v>875</v>
      </c>
      <c r="X20" s="12">
        <v>817</v>
      </c>
      <c r="Y20" s="12">
        <v>825</v>
      </c>
      <c r="Z20" s="12">
        <v>818</v>
      </c>
      <c r="AA20" s="12">
        <v>703</v>
      </c>
      <c r="AB20" s="12">
        <v>509</v>
      </c>
      <c r="AC20" s="12">
        <v>517</v>
      </c>
      <c r="AD20" s="12">
        <v>429</v>
      </c>
      <c r="AE20" s="12">
        <v>810</v>
      </c>
      <c r="AF20" s="12">
        <v>774</v>
      </c>
      <c r="AG20" s="12">
        <v>795</v>
      </c>
      <c r="AH20" s="12">
        <v>804</v>
      </c>
      <c r="AJ20" s="11" t="s">
        <v>32</v>
      </c>
      <c r="AK20" s="12">
        <v>959</v>
      </c>
      <c r="AL20" s="12">
        <v>930</v>
      </c>
      <c r="AM20" s="12">
        <v>837</v>
      </c>
      <c r="AN20" s="12">
        <v>889</v>
      </c>
      <c r="AO20" s="12">
        <v>790</v>
      </c>
      <c r="AP20" s="12">
        <v>760</v>
      </c>
      <c r="AQ20" s="12">
        <v>564</v>
      </c>
      <c r="AR20" s="12">
        <v>480</v>
      </c>
      <c r="AS20" s="12">
        <v>895</v>
      </c>
      <c r="AT20" s="12">
        <v>2483</v>
      </c>
      <c r="AU20" s="12">
        <v>2441</v>
      </c>
      <c r="AV20" s="12">
        <v>2459</v>
      </c>
      <c r="AW20" s="12">
        <v>2499</v>
      </c>
    </row>
    <row r="21" spans="6:49">
      <c r="F21" s="3" t="s">
        <v>33</v>
      </c>
      <c r="G21" s="5">
        <v>53</v>
      </c>
      <c r="H21" s="5">
        <v>164</v>
      </c>
      <c r="I21" s="5">
        <v>159</v>
      </c>
      <c r="J21" s="5">
        <v>152</v>
      </c>
      <c r="K21" s="5">
        <v>150</v>
      </c>
      <c r="L21" s="5">
        <v>174</v>
      </c>
      <c r="M21" s="5">
        <v>146</v>
      </c>
      <c r="N21" s="5">
        <v>121</v>
      </c>
      <c r="O21" s="5">
        <v>122</v>
      </c>
      <c r="P21" s="5">
        <v>106</v>
      </c>
      <c r="Q21" s="5">
        <v>82</v>
      </c>
      <c r="R21" s="5">
        <v>104</v>
      </c>
      <c r="S21" s="5">
        <v>121</v>
      </c>
      <c r="U21" s="11" t="s">
        <v>33</v>
      </c>
      <c r="V21" s="12">
        <v>336</v>
      </c>
      <c r="W21" s="12">
        <v>269</v>
      </c>
      <c r="X21" s="12">
        <v>274</v>
      </c>
      <c r="Y21" s="12">
        <v>253</v>
      </c>
      <c r="Z21" s="12">
        <v>247</v>
      </c>
      <c r="AA21" s="12">
        <v>251</v>
      </c>
      <c r="AB21" s="12">
        <v>284</v>
      </c>
      <c r="AC21" s="12">
        <v>288</v>
      </c>
      <c r="AD21" s="12">
        <v>291</v>
      </c>
      <c r="AE21" s="12">
        <v>331</v>
      </c>
      <c r="AF21" s="12">
        <v>322</v>
      </c>
      <c r="AG21" s="12">
        <v>307</v>
      </c>
      <c r="AH21" s="12">
        <v>301</v>
      </c>
      <c r="AJ21" s="11" t="s">
        <v>33</v>
      </c>
      <c r="AK21" s="12">
        <v>18</v>
      </c>
      <c r="AL21" s="12">
        <v>27</v>
      </c>
      <c r="AM21" s="12">
        <v>13</v>
      </c>
      <c r="AN21" s="12">
        <v>15</v>
      </c>
      <c r="AO21" s="12">
        <v>14</v>
      </c>
      <c r="AP21" s="12">
        <v>11</v>
      </c>
      <c r="AQ21" s="12">
        <v>33</v>
      </c>
      <c r="AR21" s="12">
        <v>20</v>
      </c>
      <c r="AS21" s="12">
        <v>23</v>
      </c>
      <c r="AT21" s="12">
        <v>14</v>
      </c>
      <c r="AU21" s="12">
        <v>18</v>
      </c>
      <c r="AV21" s="12">
        <v>20</v>
      </c>
      <c r="AW21" s="12">
        <v>25</v>
      </c>
    </row>
    <row r="22" spans="6:49">
      <c r="F22" s="3" t="s">
        <v>34</v>
      </c>
      <c r="G22" s="5">
        <v>154</v>
      </c>
      <c r="H22" s="5">
        <v>293</v>
      </c>
      <c r="I22" s="5">
        <v>280</v>
      </c>
      <c r="J22" s="5">
        <v>298</v>
      </c>
      <c r="K22" s="5">
        <v>292</v>
      </c>
      <c r="L22" s="5">
        <v>287</v>
      </c>
      <c r="M22" s="5">
        <v>291</v>
      </c>
      <c r="N22" s="5">
        <v>236</v>
      </c>
      <c r="O22" s="5">
        <v>240</v>
      </c>
      <c r="P22" s="5">
        <v>202</v>
      </c>
      <c r="Q22" s="5">
        <v>204</v>
      </c>
      <c r="R22" s="5">
        <v>219</v>
      </c>
      <c r="S22" s="5">
        <v>213</v>
      </c>
      <c r="U22" s="11" t="s">
        <v>34</v>
      </c>
      <c r="V22" s="12">
        <v>706</v>
      </c>
      <c r="W22" s="12">
        <v>530</v>
      </c>
      <c r="X22" s="12">
        <v>650</v>
      </c>
      <c r="Y22" s="12">
        <v>648</v>
      </c>
      <c r="Z22" s="12">
        <v>586</v>
      </c>
      <c r="AA22" s="12">
        <v>604</v>
      </c>
      <c r="AB22" s="12">
        <v>594</v>
      </c>
      <c r="AC22" s="12">
        <v>615</v>
      </c>
      <c r="AD22" s="12">
        <v>623</v>
      </c>
      <c r="AE22" s="12">
        <v>676</v>
      </c>
      <c r="AF22" s="12">
        <v>633</v>
      </c>
      <c r="AG22" s="12">
        <v>705</v>
      </c>
      <c r="AH22" s="12">
        <v>650</v>
      </c>
      <c r="AJ22" s="11" t="s">
        <v>34</v>
      </c>
      <c r="AK22" s="12">
        <v>35</v>
      </c>
      <c r="AL22" s="12">
        <v>37</v>
      </c>
      <c r="AM22" s="12">
        <v>37</v>
      </c>
      <c r="AN22" s="12">
        <v>27</v>
      </c>
      <c r="AO22" s="12">
        <v>34</v>
      </c>
      <c r="AP22" s="12">
        <v>38</v>
      </c>
      <c r="AQ22" s="12">
        <v>45</v>
      </c>
      <c r="AR22" s="12">
        <v>57</v>
      </c>
      <c r="AS22" s="12">
        <v>45</v>
      </c>
      <c r="AT22" s="12">
        <v>36</v>
      </c>
      <c r="AU22" s="12">
        <v>54</v>
      </c>
      <c r="AV22" s="12">
        <v>56</v>
      </c>
      <c r="AW22" s="12">
        <v>56</v>
      </c>
    </row>
    <row r="23" spans="6:49">
      <c r="F23" s="3" t="s">
        <v>35</v>
      </c>
      <c r="G23" s="5">
        <v>91</v>
      </c>
      <c r="H23" s="5">
        <v>315</v>
      </c>
      <c r="I23" s="5">
        <v>312</v>
      </c>
      <c r="J23" s="5">
        <v>401</v>
      </c>
      <c r="K23" s="5">
        <v>361</v>
      </c>
      <c r="L23" s="5">
        <v>385</v>
      </c>
      <c r="M23" s="5">
        <v>247</v>
      </c>
      <c r="N23" s="5">
        <v>234</v>
      </c>
      <c r="O23" s="5">
        <v>190</v>
      </c>
      <c r="P23" s="5">
        <v>209</v>
      </c>
      <c r="Q23" s="5">
        <v>187</v>
      </c>
      <c r="R23" s="5">
        <v>203</v>
      </c>
      <c r="S23" s="5">
        <v>162</v>
      </c>
      <c r="U23" s="11" t="s">
        <v>35</v>
      </c>
      <c r="V23" s="12">
        <v>822</v>
      </c>
      <c r="W23" s="12">
        <v>631</v>
      </c>
      <c r="X23" s="12">
        <v>535</v>
      </c>
      <c r="Y23" s="12">
        <v>563</v>
      </c>
      <c r="Z23" s="12">
        <v>538</v>
      </c>
      <c r="AA23" s="12">
        <v>494</v>
      </c>
      <c r="AB23" s="12">
        <v>657</v>
      </c>
      <c r="AC23" s="12">
        <v>732</v>
      </c>
      <c r="AD23" s="12">
        <v>762</v>
      </c>
      <c r="AE23" s="12">
        <v>663</v>
      </c>
      <c r="AF23" s="12">
        <v>742</v>
      </c>
      <c r="AG23" s="12">
        <v>736</v>
      </c>
      <c r="AH23" s="12">
        <v>746</v>
      </c>
      <c r="AJ23" s="11" t="s">
        <v>35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</row>
    <row r="24" spans="6:49">
      <c r="F24" s="3" t="s">
        <v>36</v>
      </c>
      <c r="G24" s="5">
        <v>101</v>
      </c>
      <c r="H24" s="5">
        <v>318</v>
      </c>
      <c r="I24" s="5">
        <v>324</v>
      </c>
      <c r="J24" s="5">
        <v>362</v>
      </c>
      <c r="K24" s="5">
        <v>380</v>
      </c>
      <c r="L24" s="5">
        <v>402</v>
      </c>
      <c r="M24" s="5">
        <v>248</v>
      </c>
      <c r="N24" s="5">
        <v>229</v>
      </c>
      <c r="O24" s="5">
        <v>202</v>
      </c>
      <c r="P24" s="5">
        <v>212</v>
      </c>
      <c r="Q24" s="5">
        <v>195</v>
      </c>
      <c r="R24" s="5">
        <v>209</v>
      </c>
      <c r="S24" s="5">
        <v>180</v>
      </c>
      <c r="U24" s="11" t="s">
        <v>36</v>
      </c>
      <c r="V24" s="12">
        <v>797</v>
      </c>
      <c r="W24" s="12">
        <v>560</v>
      </c>
      <c r="X24" s="12">
        <v>536</v>
      </c>
      <c r="Y24" s="12">
        <v>540</v>
      </c>
      <c r="Z24" s="12">
        <v>529</v>
      </c>
      <c r="AA24" s="12">
        <v>491</v>
      </c>
      <c r="AB24" s="12">
        <v>658</v>
      </c>
      <c r="AC24" s="12">
        <v>660</v>
      </c>
      <c r="AD24" s="12">
        <v>719</v>
      </c>
      <c r="AE24" s="12">
        <v>728</v>
      </c>
      <c r="AF24" s="12">
        <v>713</v>
      </c>
      <c r="AG24" s="12">
        <v>722</v>
      </c>
      <c r="AH24" s="12">
        <v>704</v>
      </c>
      <c r="AJ24" s="11" t="s">
        <v>36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</row>
    <row r="25" spans="6:49">
      <c r="F25" s="3" t="s">
        <v>37</v>
      </c>
      <c r="G25" s="5">
        <v>114</v>
      </c>
      <c r="H25" s="5">
        <v>298</v>
      </c>
      <c r="I25" s="5">
        <v>385</v>
      </c>
      <c r="J25" s="5">
        <v>387</v>
      </c>
      <c r="K25" s="5">
        <v>362</v>
      </c>
      <c r="L25" s="5">
        <v>382</v>
      </c>
      <c r="M25" s="5">
        <v>253</v>
      </c>
      <c r="N25" s="5">
        <v>232</v>
      </c>
      <c r="O25" s="5">
        <v>225</v>
      </c>
      <c r="P25" s="5">
        <v>183</v>
      </c>
      <c r="Q25" s="5">
        <v>169</v>
      </c>
      <c r="R25" s="5">
        <v>211</v>
      </c>
      <c r="S25" s="5">
        <v>195</v>
      </c>
      <c r="U25" s="11" t="s">
        <v>37</v>
      </c>
      <c r="V25" s="12">
        <v>732</v>
      </c>
      <c r="W25" s="12">
        <v>589</v>
      </c>
      <c r="X25" s="12">
        <v>608</v>
      </c>
      <c r="Y25" s="12">
        <v>587</v>
      </c>
      <c r="Z25" s="12">
        <v>503</v>
      </c>
      <c r="AA25" s="12">
        <v>490</v>
      </c>
      <c r="AB25" s="12">
        <v>682</v>
      </c>
      <c r="AC25" s="12">
        <v>693</v>
      </c>
      <c r="AD25" s="12">
        <v>680</v>
      </c>
      <c r="AE25" s="12">
        <v>733</v>
      </c>
      <c r="AF25" s="12">
        <v>707</v>
      </c>
      <c r="AG25" s="12">
        <v>737</v>
      </c>
      <c r="AH25" s="12">
        <v>712</v>
      </c>
      <c r="AJ25" s="11" t="s">
        <v>37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</row>
    <row r="26" spans="6:49">
      <c r="F26" s="3" t="s">
        <v>38</v>
      </c>
      <c r="G26" s="5">
        <v>99</v>
      </c>
      <c r="H26" s="5">
        <v>305</v>
      </c>
      <c r="I26" s="5">
        <v>348</v>
      </c>
      <c r="J26" s="5">
        <v>385</v>
      </c>
      <c r="K26" s="5">
        <v>405</v>
      </c>
      <c r="L26" s="5">
        <v>371</v>
      </c>
      <c r="M26" s="5">
        <v>236</v>
      </c>
      <c r="N26" s="5">
        <v>239</v>
      </c>
      <c r="O26" s="5">
        <v>243</v>
      </c>
      <c r="P26" s="5">
        <v>193</v>
      </c>
      <c r="Q26" s="5">
        <v>206</v>
      </c>
      <c r="R26" s="5">
        <v>176</v>
      </c>
      <c r="S26" s="5">
        <v>189</v>
      </c>
      <c r="U26" s="11" t="s">
        <v>38</v>
      </c>
      <c r="V26" s="12">
        <v>648</v>
      </c>
      <c r="W26" s="12">
        <v>494</v>
      </c>
      <c r="X26" s="12">
        <v>428</v>
      </c>
      <c r="Y26" s="12">
        <v>447</v>
      </c>
      <c r="Z26" s="12">
        <v>383</v>
      </c>
      <c r="AA26" s="12">
        <v>347</v>
      </c>
      <c r="AB26" s="12">
        <v>330</v>
      </c>
      <c r="AC26" s="12">
        <v>596</v>
      </c>
      <c r="AD26" s="12">
        <v>587</v>
      </c>
      <c r="AE26" s="12">
        <v>641</v>
      </c>
      <c r="AF26" s="12">
        <v>609</v>
      </c>
      <c r="AG26" s="12">
        <v>643</v>
      </c>
      <c r="AH26" s="12">
        <v>621</v>
      </c>
      <c r="AJ26" s="11" t="s">
        <v>38</v>
      </c>
      <c r="AK26" s="12">
        <v>129</v>
      </c>
      <c r="AL26" s="12">
        <v>135</v>
      </c>
      <c r="AM26" s="12">
        <v>120</v>
      </c>
      <c r="AN26" s="12">
        <v>118</v>
      </c>
      <c r="AO26" s="12">
        <v>121</v>
      </c>
      <c r="AP26" s="12">
        <v>173</v>
      </c>
      <c r="AQ26" s="12">
        <v>341</v>
      </c>
      <c r="AR26" s="12">
        <v>128</v>
      </c>
      <c r="AS26" s="12">
        <v>106</v>
      </c>
      <c r="AT26" s="12">
        <v>101</v>
      </c>
      <c r="AU26" s="12">
        <v>103</v>
      </c>
      <c r="AV26" s="12">
        <v>118</v>
      </c>
      <c r="AW26" s="12">
        <v>101</v>
      </c>
    </row>
    <row r="27" spans="6:49">
      <c r="F27" s="3" t="s">
        <v>39</v>
      </c>
      <c r="G27" s="5">
        <v>200</v>
      </c>
      <c r="H27" s="5">
        <v>415</v>
      </c>
      <c r="I27" s="5">
        <v>446</v>
      </c>
      <c r="J27" s="5">
        <v>469</v>
      </c>
      <c r="K27" s="5">
        <v>484</v>
      </c>
      <c r="L27" s="5">
        <v>554</v>
      </c>
      <c r="M27" s="5">
        <v>592</v>
      </c>
      <c r="N27" s="5">
        <v>330</v>
      </c>
      <c r="O27" s="5">
        <v>351</v>
      </c>
      <c r="P27" s="5">
        <v>313</v>
      </c>
      <c r="Q27" s="5">
        <v>320</v>
      </c>
      <c r="R27" s="5">
        <v>286</v>
      </c>
      <c r="S27" s="5">
        <v>261</v>
      </c>
      <c r="U27" s="11" t="s">
        <v>39</v>
      </c>
      <c r="V27" s="12">
        <v>556</v>
      </c>
      <c r="W27" s="12">
        <v>331</v>
      </c>
      <c r="X27" s="12">
        <v>319</v>
      </c>
      <c r="Y27" s="12">
        <v>292</v>
      </c>
      <c r="Z27" s="12">
        <v>272</v>
      </c>
      <c r="AA27" s="12">
        <v>298</v>
      </c>
      <c r="AB27" s="12">
        <v>229</v>
      </c>
      <c r="AC27" s="12">
        <v>231</v>
      </c>
      <c r="AD27" s="12">
        <v>511</v>
      </c>
      <c r="AE27" s="12">
        <v>498</v>
      </c>
      <c r="AF27" s="12">
        <v>522</v>
      </c>
      <c r="AG27" s="12">
        <v>501</v>
      </c>
      <c r="AH27" s="12">
        <v>499</v>
      </c>
      <c r="AJ27" s="11" t="s">
        <v>39</v>
      </c>
      <c r="AK27" s="12">
        <v>94</v>
      </c>
      <c r="AL27" s="12">
        <v>135</v>
      </c>
      <c r="AM27" s="12">
        <v>104</v>
      </c>
      <c r="AN27" s="12">
        <v>111</v>
      </c>
      <c r="AO27" s="12">
        <v>111</v>
      </c>
      <c r="AP27" s="12">
        <v>100</v>
      </c>
      <c r="AQ27" s="12">
        <v>121</v>
      </c>
      <c r="AR27" s="12">
        <v>356</v>
      </c>
      <c r="AS27" s="12">
        <v>132</v>
      </c>
      <c r="AT27" s="12">
        <v>109</v>
      </c>
      <c r="AU27" s="12">
        <v>83</v>
      </c>
      <c r="AV27" s="12">
        <v>88</v>
      </c>
      <c r="AW27" s="12">
        <v>108</v>
      </c>
    </row>
    <row r="28" spans="6:49">
      <c r="F28" s="3" t="s">
        <v>40</v>
      </c>
      <c r="G28" s="5">
        <v>353</v>
      </c>
      <c r="H28" s="5">
        <v>595</v>
      </c>
      <c r="I28" s="5">
        <v>587</v>
      </c>
      <c r="J28" s="5">
        <v>641</v>
      </c>
      <c r="K28" s="5">
        <v>644</v>
      </c>
      <c r="L28" s="5">
        <v>625</v>
      </c>
      <c r="M28" s="5">
        <v>739</v>
      </c>
      <c r="N28" s="5">
        <v>620</v>
      </c>
      <c r="O28" s="5">
        <v>444</v>
      </c>
      <c r="P28" s="5">
        <v>384</v>
      </c>
      <c r="Q28" s="5">
        <v>433</v>
      </c>
      <c r="R28" s="5">
        <v>434</v>
      </c>
      <c r="S28" s="5">
        <v>413</v>
      </c>
      <c r="U28" s="11" t="s">
        <v>40</v>
      </c>
      <c r="V28" s="12">
        <v>421</v>
      </c>
      <c r="W28" s="12">
        <v>212</v>
      </c>
      <c r="X28" s="12">
        <v>210</v>
      </c>
      <c r="Y28" s="12">
        <v>209</v>
      </c>
      <c r="Z28" s="12">
        <v>207</v>
      </c>
      <c r="AA28" s="12">
        <v>197</v>
      </c>
      <c r="AB28" s="12">
        <v>132</v>
      </c>
      <c r="AC28" s="12">
        <v>126</v>
      </c>
      <c r="AD28" s="12">
        <v>170</v>
      </c>
      <c r="AE28" s="12">
        <v>393</v>
      </c>
      <c r="AF28" s="12">
        <v>396</v>
      </c>
      <c r="AG28" s="12">
        <v>389</v>
      </c>
      <c r="AH28" s="12">
        <v>409</v>
      </c>
      <c r="AJ28" s="11" t="s">
        <v>40</v>
      </c>
      <c r="AK28" s="12">
        <v>84</v>
      </c>
      <c r="AL28" s="12">
        <v>117</v>
      </c>
      <c r="AM28" s="12">
        <v>125</v>
      </c>
      <c r="AN28" s="12">
        <v>127</v>
      </c>
      <c r="AO28" s="12">
        <v>111</v>
      </c>
      <c r="AP28" s="12">
        <v>94</v>
      </c>
      <c r="AQ28" s="12">
        <v>81</v>
      </c>
      <c r="AR28" s="12">
        <v>109</v>
      </c>
      <c r="AS28" s="12">
        <v>306</v>
      </c>
      <c r="AT28" s="12">
        <v>110</v>
      </c>
      <c r="AU28" s="12">
        <v>97</v>
      </c>
      <c r="AV28" s="12">
        <v>110</v>
      </c>
      <c r="AW28" s="12">
        <v>107</v>
      </c>
    </row>
    <row r="29" spans="6:49">
      <c r="F29" s="3" t="s">
        <v>41</v>
      </c>
      <c r="G29" s="5">
        <v>449</v>
      </c>
      <c r="H29" s="5">
        <v>715</v>
      </c>
      <c r="I29" s="5">
        <v>721</v>
      </c>
      <c r="J29" s="5">
        <v>708</v>
      </c>
      <c r="K29" s="5">
        <v>720</v>
      </c>
      <c r="L29" s="5">
        <v>734</v>
      </c>
      <c r="M29" s="5">
        <v>810</v>
      </c>
      <c r="N29" s="5">
        <v>798</v>
      </c>
      <c r="O29" s="5">
        <v>714</v>
      </c>
      <c r="P29" s="5">
        <v>512</v>
      </c>
      <c r="Q29" s="5">
        <v>537</v>
      </c>
      <c r="R29" s="5">
        <v>534</v>
      </c>
      <c r="S29" s="5">
        <v>502</v>
      </c>
      <c r="U29" s="11" t="s">
        <v>41</v>
      </c>
      <c r="V29" s="12">
        <v>311</v>
      </c>
      <c r="W29" s="12">
        <v>103</v>
      </c>
      <c r="X29" s="12">
        <v>108</v>
      </c>
      <c r="Y29" s="12">
        <v>103</v>
      </c>
      <c r="Z29" s="12">
        <v>95</v>
      </c>
      <c r="AA29" s="12">
        <v>105</v>
      </c>
      <c r="AB29" s="12">
        <v>64</v>
      </c>
      <c r="AC29" s="12">
        <v>65</v>
      </c>
      <c r="AD29" s="12">
        <v>50</v>
      </c>
      <c r="AE29" s="12">
        <v>100</v>
      </c>
      <c r="AF29" s="12">
        <v>115</v>
      </c>
      <c r="AG29" s="12">
        <v>86</v>
      </c>
      <c r="AH29" s="12">
        <v>92</v>
      </c>
      <c r="AJ29" s="11" t="s">
        <v>41</v>
      </c>
      <c r="AK29" s="12">
        <v>106</v>
      </c>
      <c r="AL29" s="12">
        <v>116</v>
      </c>
      <c r="AM29" s="12">
        <v>106</v>
      </c>
      <c r="AN29" s="12">
        <v>110</v>
      </c>
      <c r="AO29" s="12">
        <v>104</v>
      </c>
      <c r="AP29" s="12">
        <v>98</v>
      </c>
      <c r="AQ29" s="12">
        <v>75</v>
      </c>
      <c r="AR29" s="12">
        <v>63</v>
      </c>
      <c r="AS29" s="12">
        <v>109</v>
      </c>
      <c r="AT29" s="12">
        <v>284</v>
      </c>
      <c r="AU29" s="12">
        <v>292</v>
      </c>
      <c r="AV29" s="12">
        <v>319</v>
      </c>
      <c r="AW29" s="12">
        <v>353</v>
      </c>
    </row>
    <row r="30" spans="6:49">
      <c r="F30" s="3" t="s">
        <v>42</v>
      </c>
      <c r="G30" s="5">
        <v>2500</v>
      </c>
      <c r="H30" s="5">
        <v>3659</v>
      </c>
      <c r="I30" s="5">
        <v>3672</v>
      </c>
      <c r="J30" s="5">
        <v>3576</v>
      </c>
      <c r="K30" s="5">
        <v>3755</v>
      </c>
      <c r="L30" s="5">
        <v>3640</v>
      </c>
      <c r="M30" s="5">
        <v>3630</v>
      </c>
      <c r="N30" s="5">
        <v>3697</v>
      </c>
      <c r="O30" s="5">
        <v>3714</v>
      </c>
      <c r="P30" s="5">
        <v>3399</v>
      </c>
      <c r="Q30" s="5">
        <v>3338</v>
      </c>
      <c r="R30" s="5">
        <v>3293</v>
      </c>
      <c r="S30" s="5">
        <v>3425</v>
      </c>
      <c r="U30" s="11" t="s">
        <v>42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J30" s="11" t="s">
        <v>42</v>
      </c>
      <c r="AK30" s="12">
        <v>1103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306</v>
      </c>
      <c r="AU30" s="12">
        <v>276</v>
      </c>
      <c r="AV30" s="12">
        <v>244</v>
      </c>
      <c r="AW30" s="12">
        <v>241</v>
      </c>
    </row>
    <row r="32" spans="6:49">
      <c r="F32" s="1" t="s">
        <v>43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9" t="s">
        <v>44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J32" s="9" t="s">
        <v>45</v>
      </c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6:49">
      <c r="F33" s="3"/>
      <c r="G33" s="4" t="s">
        <v>5</v>
      </c>
      <c r="H33" s="4">
        <v>2</v>
      </c>
      <c r="I33" s="4">
        <v>3</v>
      </c>
      <c r="J33" s="4">
        <v>4</v>
      </c>
      <c r="K33" s="4">
        <v>5</v>
      </c>
      <c r="L33" s="4">
        <v>6</v>
      </c>
      <c r="M33" s="4">
        <v>7</v>
      </c>
      <c r="N33" s="4">
        <v>8</v>
      </c>
      <c r="O33" s="4">
        <v>9</v>
      </c>
      <c r="P33" s="4">
        <v>10</v>
      </c>
      <c r="Q33" s="4" t="s">
        <v>6</v>
      </c>
      <c r="R33" s="4" t="s">
        <v>7</v>
      </c>
      <c r="S33" s="4" t="s">
        <v>8</v>
      </c>
      <c r="U33" s="10"/>
      <c r="V33" s="10" t="s">
        <v>5</v>
      </c>
      <c r="W33" s="10">
        <v>2</v>
      </c>
      <c r="X33" s="10">
        <v>3</v>
      </c>
      <c r="Y33" s="10">
        <v>4</v>
      </c>
      <c r="Z33" s="10">
        <v>5</v>
      </c>
      <c r="AA33" s="10">
        <v>6</v>
      </c>
      <c r="AB33" s="10">
        <v>7</v>
      </c>
      <c r="AC33" s="10">
        <v>8</v>
      </c>
      <c r="AD33" s="10">
        <v>9</v>
      </c>
      <c r="AE33" s="10">
        <v>10</v>
      </c>
      <c r="AF33" s="10" t="s">
        <v>6</v>
      </c>
      <c r="AG33" s="10" t="s">
        <v>7</v>
      </c>
      <c r="AH33" s="10" t="s">
        <v>8</v>
      </c>
      <c r="AJ33" s="10"/>
      <c r="AK33" s="10" t="s">
        <v>5</v>
      </c>
      <c r="AL33" s="10">
        <v>2</v>
      </c>
      <c r="AM33" s="10">
        <v>3</v>
      </c>
      <c r="AN33" s="10">
        <v>4</v>
      </c>
      <c r="AO33" s="10">
        <v>5</v>
      </c>
      <c r="AP33" s="10">
        <v>6</v>
      </c>
      <c r="AQ33" s="10">
        <v>7</v>
      </c>
      <c r="AR33" s="10">
        <v>8</v>
      </c>
      <c r="AS33" s="10">
        <v>9</v>
      </c>
      <c r="AT33" s="10">
        <v>10</v>
      </c>
      <c r="AU33" s="10" t="s">
        <v>6</v>
      </c>
      <c r="AV33" s="10" t="s">
        <v>7</v>
      </c>
      <c r="AW33" s="10" t="s">
        <v>8</v>
      </c>
    </row>
    <row r="34" spans="6:49">
      <c r="F34" s="3" t="s">
        <v>10</v>
      </c>
      <c r="G34" s="13">
        <f>G4/SUM(G4,V4,AK4)</f>
        <v>8.2706766917293228E-2</v>
      </c>
      <c r="H34" s="13">
        <f t="shared" ref="H34:S34" si="1">H4/SUM(H4,W4,AL4)</f>
        <v>0.33774834437086093</v>
      </c>
      <c r="I34" s="13">
        <f t="shared" si="1"/>
        <v>0.35714285714285715</v>
      </c>
      <c r="J34" s="13">
        <f t="shared" si="1"/>
        <v>0.42105263157894735</v>
      </c>
      <c r="K34" s="13">
        <f t="shared" si="1"/>
        <v>0.41379310344827586</v>
      </c>
      <c r="L34" s="13">
        <f t="shared" si="1"/>
        <v>0.45029239766081869</v>
      </c>
      <c r="M34" s="13">
        <f t="shared" si="1"/>
        <v>0.24277456647398843</v>
      </c>
      <c r="N34" s="13">
        <f t="shared" si="1"/>
        <v>0.25786163522012578</v>
      </c>
      <c r="O34" s="13">
        <f t="shared" si="1"/>
        <v>0.22580645161290322</v>
      </c>
      <c r="P34" s="13">
        <f t="shared" si="1"/>
        <v>0.23626373626373626</v>
      </c>
      <c r="Q34" s="13">
        <f t="shared" si="1"/>
        <v>0.20398009950248755</v>
      </c>
      <c r="R34" s="13">
        <f t="shared" si="1"/>
        <v>0.20231213872832371</v>
      </c>
      <c r="S34" s="13">
        <f t="shared" si="1"/>
        <v>0.1761904761904762</v>
      </c>
      <c r="U34" s="11" t="s">
        <v>10</v>
      </c>
      <c r="V34" s="14">
        <f>V4/SUM(G4,V4,AK4)</f>
        <v>0.91729323308270672</v>
      </c>
      <c r="W34" s="14">
        <f t="shared" ref="W34:AH34" si="2">W4/SUM(H4,W4,AL4)</f>
        <v>0.66225165562913912</v>
      </c>
      <c r="X34" s="14">
        <f t="shared" si="2"/>
        <v>0.6428571428571429</v>
      </c>
      <c r="Y34" s="14">
        <f t="shared" si="2"/>
        <v>0.57894736842105265</v>
      </c>
      <c r="Z34" s="14">
        <f t="shared" si="2"/>
        <v>0.58620689655172409</v>
      </c>
      <c r="AA34" s="14">
        <f t="shared" si="2"/>
        <v>0.54970760233918126</v>
      </c>
      <c r="AB34" s="14">
        <f t="shared" si="2"/>
        <v>0.75722543352601157</v>
      </c>
      <c r="AC34" s="14">
        <f t="shared" si="2"/>
        <v>0.74213836477987416</v>
      </c>
      <c r="AD34" s="14">
        <f t="shared" si="2"/>
        <v>0.77419354838709675</v>
      </c>
      <c r="AE34" s="14">
        <f t="shared" si="2"/>
        <v>0.76373626373626369</v>
      </c>
      <c r="AF34" s="14">
        <f t="shared" si="2"/>
        <v>0.79601990049751248</v>
      </c>
      <c r="AG34" s="14">
        <f t="shared" si="2"/>
        <v>0.79768786127167635</v>
      </c>
      <c r="AH34" s="14">
        <f t="shared" si="2"/>
        <v>0.82380952380952377</v>
      </c>
      <c r="AJ34" s="11" t="s">
        <v>10</v>
      </c>
      <c r="AK34" s="14">
        <f>AK4/SUM(G4,V4,AK4)</f>
        <v>0</v>
      </c>
      <c r="AL34" s="14">
        <f t="shared" ref="AL34:AW34" si="3">AL4/SUM(H4,W4,AL4)</f>
        <v>0</v>
      </c>
      <c r="AM34" s="14">
        <f t="shared" si="3"/>
        <v>0</v>
      </c>
      <c r="AN34" s="14">
        <f t="shared" si="3"/>
        <v>0</v>
      </c>
      <c r="AO34" s="14">
        <f t="shared" si="3"/>
        <v>0</v>
      </c>
      <c r="AP34" s="14">
        <f t="shared" si="3"/>
        <v>0</v>
      </c>
      <c r="AQ34" s="14">
        <f t="shared" si="3"/>
        <v>0</v>
      </c>
      <c r="AR34" s="14">
        <f t="shared" si="3"/>
        <v>0</v>
      </c>
      <c r="AS34" s="14">
        <f t="shared" si="3"/>
        <v>0</v>
      </c>
      <c r="AT34" s="14">
        <f t="shared" si="3"/>
        <v>0</v>
      </c>
      <c r="AU34" s="14">
        <f t="shared" si="3"/>
        <v>0</v>
      </c>
      <c r="AV34" s="14">
        <f t="shared" si="3"/>
        <v>0</v>
      </c>
      <c r="AW34" s="14">
        <f t="shared" si="3"/>
        <v>0</v>
      </c>
    </row>
    <row r="35" spans="6:49">
      <c r="F35" s="3" t="s">
        <v>12</v>
      </c>
      <c r="G35" s="13">
        <f t="shared" ref="G35:G60" si="4">G5/SUM(G5,V5,AK5)</f>
        <v>8.9810017271157172E-2</v>
      </c>
      <c r="H35" s="13">
        <f t="shared" ref="H35:H60" si="5">H5/SUM(H5,W5,AL5)</f>
        <v>0.36</v>
      </c>
      <c r="I35" s="13">
        <f t="shared" ref="I35:I60" si="6">I5/SUM(I5,X5,AM5)</f>
        <v>0.40050377833753148</v>
      </c>
      <c r="J35" s="13">
        <f t="shared" ref="J35:J60" si="7">J5/SUM(J5,Y5,AN5)</f>
        <v>0.3728813559322034</v>
      </c>
      <c r="K35" s="13">
        <f t="shared" ref="K35:K60" si="8">K5/SUM(K5,Z5,AO5)</f>
        <v>0.4043956043956044</v>
      </c>
      <c r="L35" s="13">
        <f t="shared" ref="L35:L60" si="9">L5/SUM(L5,AA5,AP5)</f>
        <v>0.41588785046728971</v>
      </c>
      <c r="M35" s="13">
        <f t="shared" ref="M35:M60" si="10">M5/SUM(M5,AB5,AQ5)</f>
        <v>0.24819277108433735</v>
      </c>
      <c r="N35" s="13">
        <f t="shared" ref="N35:N60" si="11">N5/SUM(N5,AC5,AR5)</f>
        <v>0.27469879518072288</v>
      </c>
      <c r="O35" s="13">
        <f t="shared" ref="O35:O60" si="12">O5/SUM(O5,AD5,AS5)</f>
        <v>0.20823798627002288</v>
      </c>
      <c r="P35" s="13">
        <f t="shared" ref="P35:P60" si="13">P5/SUM(P5,AE5,AT5)</f>
        <v>0.19426048565121412</v>
      </c>
      <c r="Q35" s="13">
        <f t="shared" ref="Q35:Q60" si="14">Q5/SUM(Q5,AF5,AU5)</f>
        <v>0.21276595744680851</v>
      </c>
      <c r="R35" s="13">
        <f t="shared" ref="R35:R60" si="15">R5/SUM(R5,AG5,AV5)</f>
        <v>0.19301848049281314</v>
      </c>
      <c r="S35" s="13">
        <f t="shared" ref="S35:S60" si="16">S5/SUM(S5,AH5,AW5)</f>
        <v>0.21616161616161617</v>
      </c>
      <c r="U35" s="11" t="s">
        <v>12</v>
      </c>
      <c r="V35" s="14">
        <f t="shared" ref="V35:V59" si="17">V5/SUM(G5,V5,AK5)</f>
        <v>0.91018998272884288</v>
      </c>
      <c r="W35" s="14">
        <f t="shared" ref="W35:W60" si="18">W5/SUM(H5,W5,AL5)</f>
        <v>0.64</v>
      </c>
      <c r="X35" s="14">
        <f t="shared" ref="X35:X60" si="19">X5/SUM(I5,X5,AM5)</f>
        <v>0.59949622166246852</v>
      </c>
      <c r="Y35" s="14">
        <f t="shared" ref="Y35:Y60" si="20">Y5/SUM(J5,Y5,AN5)</f>
        <v>0.6271186440677966</v>
      </c>
      <c r="Z35" s="14">
        <f t="shared" ref="Z35:Z60" si="21">Z5/SUM(K5,Z5,AO5)</f>
        <v>0.5956043956043956</v>
      </c>
      <c r="AA35" s="14">
        <f t="shared" ref="AA35:AA60" si="22">AA5/SUM(L5,AA5,AP5)</f>
        <v>0.58411214953271029</v>
      </c>
      <c r="AB35" s="14">
        <f t="shared" ref="AB35:AB60" si="23">AB5/SUM(M5,AB5,AQ5)</f>
        <v>0.75180722891566265</v>
      </c>
      <c r="AC35" s="14">
        <f t="shared" ref="AC35:AC60" si="24">AC5/SUM(N5,AC5,AR5)</f>
        <v>0.72530120481927707</v>
      </c>
      <c r="AD35" s="14">
        <f t="shared" ref="AD35:AD60" si="25">AD5/SUM(O5,AD5,AS5)</f>
        <v>0.79176201372997712</v>
      </c>
      <c r="AE35" s="14">
        <f t="shared" ref="AE35:AE60" si="26">AE5/SUM(P5,AE5,AT5)</f>
        <v>0.80573951434878588</v>
      </c>
      <c r="AF35" s="14">
        <f t="shared" ref="AF35:AF60" si="27">AF5/SUM(Q5,AF5,AU5)</f>
        <v>0.78723404255319152</v>
      </c>
      <c r="AG35" s="14">
        <f t="shared" ref="AG35:AG60" si="28">AG5/SUM(R5,AG5,AV5)</f>
        <v>0.80698151950718688</v>
      </c>
      <c r="AH35" s="14">
        <f t="shared" ref="AH35:AH60" si="29">AH5/SUM(S5,AH5,AW5)</f>
        <v>0.78383838383838389</v>
      </c>
      <c r="AJ35" s="11" t="s">
        <v>12</v>
      </c>
      <c r="AK35" s="14">
        <f t="shared" ref="AK35:AK60" si="30">AK5/SUM(G5,V5,AK5)</f>
        <v>0</v>
      </c>
      <c r="AL35" s="14">
        <f t="shared" ref="AL35:AL60" si="31">AL5/SUM(H5,W5,AL5)</f>
        <v>0</v>
      </c>
      <c r="AM35" s="14">
        <f t="shared" ref="AM35:AM60" si="32">AM5/SUM(I5,X5,AM5)</f>
        <v>0</v>
      </c>
      <c r="AN35" s="14">
        <f t="shared" ref="AN35:AN60" si="33">AN5/SUM(J5,Y5,AN5)</f>
        <v>0</v>
      </c>
      <c r="AO35" s="14">
        <f t="shared" ref="AO35:AO60" si="34">AO5/SUM(K5,Z5,AO5)</f>
        <v>0</v>
      </c>
      <c r="AP35" s="14">
        <f t="shared" ref="AP35:AP60" si="35">AP5/SUM(L5,AA5,AP5)</f>
        <v>0</v>
      </c>
      <c r="AQ35" s="14">
        <f t="shared" ref="AQ35:AQ60" si="36">AQ5/SUM(M5,AB5,AQ5)</f>
        <v>0</v>
      </c>
      <c r="AR35" s="14">
        <f t="shared" ref="AR35:AR60" si="37">AR5/SUM(N5,AC5,AR5)</f>
        <v>0</v>
      </c>
      <c r="AS35" s="14">
        <f t="shared" ref="AS35:AS60" si="38">AS5/SUM(O5,AD5,AS5)</f>
        <v>0</v>
      </c>
      <c r="AT35" s="14">
        <f t="shared" ref="AT35:AT60" si="39">AT5/SUM(P5,AE5,AT5)</f>
        <v>0</v>
      </c>
      <c r="AU35" s="14">
        <f t="shared" ref="AU35:AU60" si="40">AU5/SUM(Q5,AF5,AU5)</f>
        <v>0</v>
      </c>
      <c r="AV35" s="14">
        <f t="shared" ref="AV35:AV60" si="41">AV5/SUM(R5,AG5,AV5)</f>
        <v>0</v>
      </c>
      <c r="AW35" s="14">
        <f t="shared" ref="AW35:AW60" si="42">AW5/SUM(S5,AH5,AW5)</f>
        <v>0</v>
      </c>
    </row>
    <row r="36" spans="6:49">
      <c r="F36" s="3" t="s">
        <v>14</v>
      </c>
      <c r="G36" s="13">
        <f t="shared" si="4"/>
        <v>8.8636363636363638E-2</v>
      </c>
      <c r="H36" s="13">
        <f t="shared" si="5"/>
        <v>0.36632200886262922</v>
      </c>
      <c r="I36" s="13">
        <f t="shared" si="6"/>
        <v>0.4053295932678822</v>
      </c>
      <c r="J36" s="13">
        <f t="shared" si="7"/>
        <v>0.41577540106951871</v>
      </c>
      <c r="K36" s="13">
        <f t="shared" si="8"/>
        <v>0.40554156171284633</v>
      </c>
      <c r="L36" s="13">
        <f t="shared" si="9"/>
        <v>0.4448871181938911</v>
      </c>
      <c r="M36" s="13">
        <f t="shared" si="10"/>
        <v>0.23694779116465864</v>
      </c>
      <c r="N36" s="13">
        <f t="shared" si="11"/>
        <v>0.25672043010752688</v>
      </c>
      <c r="O36" s="13">
        <f t="shared" si="12"/>
        <v>0.22620689655172413</v>
      </c>
      <c r="P36" s="13">
        <f t="shared" si="13"/>
        <v>0.20154043645699615</v>
      </c>
      <c r="Q36" s="13">
        <f t="shared" si="14"/>
        <v>0.21919431279620852</v>
      </c>
      <c r="R36" s="13">
        <f t="shared" si="15"/>
        <v>0.18364779874213835</v>
      </c>
      <c r="S36" s="13">
        <f t="shared" si="16"/>
        <v>0.21674876847290642</v>
      </c>
      <c r="U36" s="11" t="s">
        <v>14</v>
      </c>
      <c r="V36" s="14">
        <f t="shared" si="17"/>
        <v>0.89772727272727271</v>
      </c>
      <c r="W36" s="14">
        <f t="shared" si="18"/>
        <v>0.61299852289512557</v>
      </c>
      <c r="X36" s="14">
        <f t="shared" si="19"/>
        <v>0.57643758765778397</v>
      </c>
      <c r="Y36" s="14">
        <f t="shared" si="20"/>
        <v>0.57085561497326198</v>
      </c>
      <c r="Z36" s="14">
        <f t="shared" si="21"/>
        <v>0.57808564231738035</v>
      </c>
      <c r="AA36" s="14">
        <f t="shared" si="22"/>
        <v>0.53386454183266929</v>
      </c>
      <c r="AB36" s="14">
        <f t="shared" si="23"/>
        <v>0.70816599732262386</v>
      </c>
      <c r="AC36" s="14">
        <f t="shared" si="24"/>
        <v>0.72580645161290325</v>
      </c>
      <c r="AD36" s="14">
        <f t="shared" si="25"/>
        <v>0.75724137931034485</v>
      </c>
      <c r="AE36" s="14">
        <f t="shared" si="26"/>
        <v>0.78048780487804881</v>
      </c>
      <c r="AF36" s="14">
        <f t="shared" si="27"/>
        <v>0.76895734597156395</v>
      </c>
      <c r="AG36" s="14">
        <f t="shared" si="28"/>
        <v>0.8025157232704403</v>
      </c>
      <c r="AH36" s="14">
        <f t="shared" si="29"/>
        <v>0.76108374384236455</v>
      </c>
      <c r="AJ36" s="11" t="s">
        <v>14</v>
      </c>
      <c r="AK36" s="14">
        <f t="shared" si="30"/>
        <v>1.3636363636363636E-2</v>
      </c>
      <c r="AL36" s="14">
        <f t="shared" si="31"/>
        <v>2.0679468242245199E-2</v>
      </c>
      <c r="AM36" s="14">
        <f t="shared" si="32"/>
        <v>1.82328190743338E-2</v>
      </c>
      <c r="AN36" s="14">
        <f t="shared" si="33"/>
        <v>1.3368983957219251E-2</v>
      </c>
      <c r="AO36" s="14">
        <f t="shared" si="34"/>
        <v>1.6372795969773299E-2</v>
      </c>
      <c r="AP36" s="14">
        <f t="shared" si="35"/>
        <v>2.1248339973439574E-2</v>
      </c>
      <c r="AQ36" s="14">
        <f t="shared" si="36"/>
        <v>5.4886211512717539E-2</v>
      </c>
      <c r="AR36" s="14">
        <f t="shared" si="37"/>
        <v>1.7473118279569891E-2</v>
      </c>
      <c r="AS36" s="14">
        <f t="shared" si="38"/>
        <v>1.6551724137931035E-2</v>
      </c>
      <c r="AT36" s="14">
        <f t="shared" si="39"/>
        <v>1.7971758664955071E-2</v>
      </c>
      <c r="AU36" s="14">
        <f t="shared" si="40"/>
        <v>1.1848341232227487E-2</v>
      </c>
      <c r="AV36" s="14">
        <f t="shared" si="41"/>
        <v>1.3836477987421384E-2</v>
      </c>
      <c r="AW36" s="14">
        <f t="shared" si="42"/>
        <v>2.2167487684729065E-2</v>
      </c>
    </row>
    <row r="37" spans="6:49">
      <c r="F37" s="3" t="s">
        <v>16</v>
      </c>
      <c r="G37" s="13">
        <f t="shared" si="4"/>
        <v>0.12666200139958012</v>
      </c>
      <c r="H37" s="13">
        <f t="shared" si="5"/>
        <v>0.35953177257525082</v>
      </c>
      <c r="I37" s="13">
        <f t="shared" si="6"/>
        <v>0.39366138448707255</v>
      </c>
      <c r="J37" s="13">
        <f t="shared" si="7"/>
        <v>0.42980935875216636</v>
      </c>
      <c r="K37" s="13">
        <f t="shared" si="8"/>
        <v>0.43966244725738396</v>
      </c>
      <c r="L37" s="13">
        <f t="shared" si="9"/>
        <v>0.45863453815261046</v>
      </c>
      <c r="M37" s="13">
        <f t="shared" si="10"/>
        <v>0.29941126997476869</v>
      </c>
      <c r="N37" s="13">
        <f t="shared" si="11"/>
        <v>0.2504012841091493</v>
      </c>
      <c r="O37" s="13">
        <f t="shared" si="12"/>
        <v>0.23524305555555555</v>
      </c>
      <c r="P37" s="13">
        <f t="shared" si="13"/>
        <v>0.24469820554649266</v>
      </c>
      <c r="Q37" s="13">
        <f t="shared" si="14"/>
        <v>0.22160444797458301</v>
      </c>
      <c r="R37" s="13">
        <f t="shared" si="15"/>
        <v>0.20128824476650564</v>
      </c>
      <c r="S37" s="13">
        <f t="shared" si="16"/>
        <v>0.20016963528413911</v>
      </c>
      <c r="U37" s="11" t="s">
        <v>16</v>
      </c>
      <c r="V37" s="14">
        <f t="shared" si="17"/>
        <v>0.79846046186144159</v>
      </c>
      <c r="W37" s="14">
        <f t="shared" si="18"/>
        <v>0.56521739130434778</v>
      </c>
      <c r="X37" s="14">
        <f t="shared" si="19"/>
        <v>0.52793994995829863</v>
      </c>
      <c r="Y37" s="14">
        <f t="shared" si="20"/>
        <v>0.49220103986135183</v>
      </c>
      <c r="Z37" s="14">
        <f t="shared" si="21"/>
        <v>0.48185654008438816</v>
      </c>
      <c r="AA37" s="14">
        <f t="shared" si="22"/>
        <v>0.45060240963855419</v>
      </c>
      <c r="AB37" s="14">
        <f t="shared" si="23"/>
        <v>0.50294365012615638</v>
      </c>
      <c r="AC37" s="14">
        <f t="shared" si="24"/>
        <v>0.6388443017656501</v>
      </c>
      <c r="AD37" s="14">
        <f t="shared" si="25"/>
        <v>0.69444444444444442</v>
      </c>
      <c r="AE37" s="14">
        <f t="shared" si="26"/>
        <v>0.70228384991843396</v>
      </c>
      <c r="AF37" s="14">
        <f t="shared" si="27"/>
        <v>0.71644162033359804</v>
      </c>
      <c r="AG37" s="14">
        <f t="shared" si="28"/>
        <v>0.72222222222222221</v>
      </c>
      <c r="AH37" s="14">
        <f t="shared" si="29"/>
        <v>0.74045801526717558</v>
      </c>
      <c r="AJ37" s="11" t="s">
        <v>16</v>
      </c>
      <c r="AK37" s="14">
        <f t="shared" si="30"/>
        <v>7.4877536738978304E-2</v>
      </c>
      <c r="AL37" s="14">
        <f t="shared" si="31"/>
        <v>7.5250836120401343E-2</v>
      </c>
      <c r="AM37" s="14">
        <f t="shared" si="32"/>
        <v>7.8398665554628863E-2</v>
      </c>
      <c r="AN37" s="14">
        <f t="shared" si="33"/>
        <v>7.7989601386481797E-2</v>
      </c>
      <c r="AO37" s="14">
        <f t="shared" si="34"/>
        <v>7.848101265822785E-2</v>
      </c>
      <c r="AP37" s="14">
        <f t="shared" si="35"/>
        <v>9.0763052208835335E-2</v>
      </c>
      <c r="AQ37" s="14">
        <f t="shared" si="36"/>
        <v>0.19764507989907484</v>
      </c>
      <c r="AR37" s="14">
        <f t="shared" si="37"/>
        <v>0.11075441412520064</v>
      </c>
      <c r="AS37" s="14">
        <f t="shared" si="38"/>
        <v>7.03125E-2</v>
      </c>
      <c r="AT37" s="14">
        <f t="shared" si="39"/>
        <v>5.3017944535073407E-2</v>
      </c>
      <c r="AU37" s="14">
        <f t="shared" si="40"/>
        <v>6.1953931691818905E-2</v>
      </c>
      <c r="AV37" s="14">
        <f t="shared" si="41"/>
        <v>7.6489533011272148E-2</v>
      </c>
      <c r="AW37" s="14">
        <f t="shared" si="42"/>
        <v>5.937234944868533E-2</v>
      </c>
    </row>
    <row r="38" spans="6:49">
      <c r="F38" s="3" t="s">
        <v>18</v>
      </c>
      <c r="G38" s="13">
        <f t="shared" si="4"/>
        <v>0.19692144373673037</v>
      </c>
      <c r="H38" s="13">
        <f t="shared" si="5"/>
        <v>0.44463667820069203</v>
      </c>
      <c r="I38" s="13">
        <f t="shared" si="6"/>
        <v>0.4716417910447761</v>
      </c>
      <c r="J38" s="13">
        <f t="shared" si="7"/>
        <v>0.47055324211778704</v>
      </c>
      <c r="K38" s="13">
        <f t="shared" si="8"/>
        <v>0.5166197183098592</v>
      </c>
      <c r="L38" s="13">
        <f t="shared" si="9"/>
        <v>0.53662790697674423</v>
      </c>
      <c r="M38" s="13">
        <f t="shared" si="10"/>
        <v>0.49086884338682901</v>
      </c>
      <c r="N38" s="13">
        <f t="shared" si="11"/>
        <v>0.353757225433526</v>
      </c>
      <c r="O38" s="13">
        <f t="shared" si="12"/>
        <v>0.32975551580202744</v>
      </c>
      <c r="P38" s="13">
        <f t="shared" si="13"/>
        <v>0.29741863075196406</v>
      </c>
      <c r="Q38" s="13">
        <f t="shared" si="14"/>
        <v>0.27809307604994327</v>
      </c>
      <c r="R38" s="13">
        <f t="shared" si="15"/>
        <v>0.28007075471698112</v>
      </c>
      <c r="S38" s="13">
        <f t="shared" si="16"/>
        <v>0.2798329355608592</v>
      </c>
      <c r="U38" s="11" t="s">
        <v>18</v>
      </c>
      <c r="V38" s="14">
        <f t="shared" si="17"/>
        <v>0.72876857749469215</v>
      </c>
      <c r="W38" s="14">
        <f t="shared" si="18"/>
        <v>0.46770472895040371</v>
      </c>
      <c r="X38" s="14">
        <f t="shared" si="19"/>
        <v>0.43164179104477612</v>
      </c>
      <c r="Y38" s="14">
        <f t="shared" si="20"/>
        <v>0.45806067816775731</v>
      </c>
      <c r="Z38" s="14">
        <f t="shared" si="21"/>
        <v>0.39830985915492956</v>
      </c>
      <c r="AA38" s="14">
        <f t="shared" si="22"/>
        <v>0.38197674418604649</v>
      </c>
      <c r="AB38" s="14">
        <f t="shared" si="23"/>
        <v>0.39014941892639732</v>
      </c>
      <c r="AC38" s="14">
        <f t="shared" si="24"/>
        <v>0.46416184971098268</v>
      </c>
      <c r="AD38" s="14">
        <f t="shared" si="25"/>
        <v>0.56469886702444838</v>
      </c>
      <c r="AE38" s="14">
        <f t="shared" si="26"/>
        <v>0.63411896745230079</v>
      </c>
      <c r="AF38" s="14">
        <f t="shared" si="27"/>
        <v>0.64926220204313279</v>
      </c>
      <c r="AG38" s="14">
        <f t="shared" si="28"/>
        <v>0.65094339622641506</v>
      </c>
      <c r="AH38" s="14">
        <f t="shared" si="29"/>
        <v>0.65930787589498807</v>
      </c>
      <c r="AJ38" s="11" t="s">
        <v>18</v>
      </c>
      <c r="AK38" s="14">
        <f t="shared" si="30"/>
        <v>7.4309978768577492E-2</v>
      </c>
      <c r="AL38" s="14">
        <f t="shared" si="31"/>
        <v>8.7658592848904274E-2</v>
      </c>
      <c r="AM38" s="14">
        <f t="shared" si="32"/>
        <v>9.6716417910447758E-2</v>
      </c>
      <c r="AN38" s="14">
        <f t="shared" si="33"/>
        <v>7.138607971445568E-2</v>
      </c>
      <c r="AO38" s="14">
        <f t="shared" si="34"/>
        <v>8.5070422535211271E-2</v>
      </c>
      <c r="AP38" s="14">
        <f t="shared" si="35"/>
        <v>8.1395348837209308E-2</v>
      </c>
      <c r="AQ38" s="14">
        <f t="shared" si="36"/>
        <v>0.11898173768677366</v>
      </c>
      <c r="AR38" s="14">
        <f t="shared" si="37"/>
        <v>0.18208092485549132</v>
      </c>
      <c r="AS38" s="14">
        <f t="shared" si="38"/>
        <v>0.10554561717352415</v>
      </c>
      <c r="AT38" s="14">
        <f t="shared" si="39"/>
        <v>6.8462401795735123E-2</v>
      </c>
      <c r="AU38" s="14">
        <f t="shared" si="40"/>
        <v>7.2644721906923948E-2</v>
      </c>
      <c r="AV38" s="14">
        <f t="shared" si="41"/>
        <v>6.8985849056603779E-2</v>
      </c>
      <c r="AW38" s="14">
        <f t="shared" si="42"/>
        <v>6.0859188544152745E-2</v>
      </c>
    </row>
    <row r="39" spans="6:49">
      <c r="F39" s="3" t="s">
        <v>20</v>
      </c>
      <c r="G39" s="13">
        <f t="shared" si="4"/>
        <v>0.26462395543175488</v>
      </c>
      <c r="H39" s="13">
        <f t="shared" si="5"/>
        <v>0.53064651553316544</v>
      </c>
      <c r="I39" s="13">
        <f t="shared" si="6"/>
        <v>0.53727714748784439</v>
      </c>
      <c r="J39" s="13">
        <f t="shared" si="7"/>
        <v>0.54530744336569581</v>
      </c>
      <c r="K39" s="13">
        <f t="shared" si="8"/>
        <v>0.57542129058775171</v>
      </c>
      <c r="L39" s="13">
        <f t="shared" si="9"/>
        <v>0.57828810020876831</v>
      </c>
      <c r="M39" s="13">
        <f t="shared" si="10"/>
        <v>0.56633081444164568</v>
      </c>
      <c r="N39" s="13">
        <f t="shared" si="11"/>
        <v>0.53702920016927636</v>
      </c>
      <c r="O39" s="13">
        <f t="shared" si="12"/>
        <v>0.39991463935125909</v>
      </c>
      <c r="P39" s="13">
        <f t="shared" si="13"/>
        <v>0.33493397358943577</v>
      </c>
      <c r="Q39" s="13">
        <f t="shared" si="14"/>
        <v>0.35270215359609913</v>
      </c>
      <c r="R39" s="13">
        <f t="shared" si="15"/>
        <v>0.34161237785016285</v>
      </c>
      <c r="S39" s="13">
        <f t="shared" si="16"/>
        <v>0.34508816120906799</v>
      </c>
      <c r="U39" s="11" t="s">
        <v>20</v>
      </c>
      <c r="V39" s="14">
        <f t="shared" si="17"/>
        <v>0.64186231595702348</v>
      </c>
      <c r="W39" s="14">
        <f t="shared" si="18"/>
        <v>0.37783375314861462</v>
      </c>
      <c r="X39" s="14">
        <f t="shared" si="19"/>
        <v>0.37398703403565642</v>
      </c>
      <c r="Y39" s="14">
        <f t="shared" si="20"/>
        <v>0.37176375404530743</v>
      </c>
      <c r="Z39" s="14">
        <f t="shared" si="21"/>
        <v>0.3423756678997123</v>
      </c>
      <c r="AA39" s="14">
        <f t="shared" si="22"/>
        <v>0.3444676409185804</v>
      </c>
      <c r="AB39" s="14">
        <f t="shared" si="23"/>
        <v>0.3513853904282116</v>
      </c>
      <c r="AC39" s="14">
        <f t="shared" si="24"/>
        <v>0.35082522217520101</v>
      </c>
      <c r="AD39" s="14">
        <f t="shared" si="25"/>
        <v>0.43021766965428937</v>
      </c>
      <c r="AE39" s="14">
        <f t="shared" si="26"/>
        <v>0.56662665066026408</v>
      </c>
      <c r="AF39" s="14">
        <f t="shared" si="27"/>
        <v>0.54652580251930105</v>
      </c>
      <c r="AG39" s="14">
        <f t="shared" si="28"/>
        <v>0.56107491856677527</v>
      </c>
      <c r="AH39" s="14">
        <f t="shared" si="29"/>
        <v>0.55499580184718722</v>
      </c>
      <c r="AJ39" s="11" t="s">
        <v>20</v>
      </c>
      <c r="AK39" s="14">
        <f t="shared" si="30"/>
        <v>9.3513728611221647E-2</v>
      </c>
      <c r="AL39" s="14">
        <f t="shared" si="31"/>
        <v>9.1519731318219985E-2</v>
      </c>
      <c r="AM39" s="14">
        <f t="shared" si="32"/>
        <v>8.8735818476499195E-2</v>
      </c>
      <c r="AN39" s="14">
        <f t="shared" si="33"/>
        <v>8.2928802588996764E-2</v>
      </c>
      <c r="AO39" s="14">
        <f t="shared" si="34"/>
        <v>8.2203041512535963E-2</v>
      </c>
      <c r="AP39" s="14">
        <f t="shared" si="35"/>
        <v>7.724425887265135E-2</v>
      </c>
      <c r="AQ39" s="14">
        <f t="shared" si="36"/>
        <v>8.2283795130142737E-2</v>
      </c>
      <c r="AR39" s="14">
        <f t="shared" si="37"/>
        <v>0.11214557765552265</v>
      </c>
      <c r="AS39" s="14">
        <f t="shared" si="38"/>
        <v>0.16986769099445156</v>
      </c>
      <c r="AT39" s="14">
        <f t="shared" si="39"/>
        <v>9.8439375750300123E-2</v>
      </c>
      <c r="AU39" s="14">
        <f t="shared" si="40"/>
        <v>0.10077204388459976</v>
      </c>
      <c r="AV39" s="14">
        <f t="shared" si="41"/>
        <v>9.7312703583061891E-2</v>
      </c>
      <c r="AW39" s="14">
        <f t="shared" si="42"/>
        <v>9.9916036943744749E-2</v>
      </c>
    </row>
    <row r="40" spans="6:49">
      <c r="F40" s="3" t="s">
        <v>22</v>
      </c>
      <c r="G40" s="13">
        <f t="shared" si="4"/>
        <v>0.33768656716417911</v>
      </c>
      <c r="H40" s="13">
        <f t="shared" si="5"/>
        <v>0.58307210031347967</v>
      </c>
      <c r="I40" s="13">
        <f t="shared" si="6"/>
        <v>0.61488881727360623</v>
      </c>
      <c r="J40" s="13">
        <f t="shared" si="7"/>
        <v>0.61844598862918509</v>
      </c>
      <c r="K40" s="13">
        <f t="shared" si="8"/>
        <v>0.64109848484848486</v>
      </c>
      <c r="L40" s="13">
        <f t="shared" si="9"/>
        <v>0.65843353916152092</v>
      </c>
      <c r="M40" s="13">
        <f t="shared" si="10"/>
        <v>0.63320463320463316</v>
      </c>
      <c r="N40" s="13">
        <f t="shared" si="11"/>
        <v>0.60501769057574784</v>
      </c>
      <c r="O40" s="13">
        <f t="shared" si="12"/>
        <v>0.53724394785847296</v>
      </c>
      <c r="P40" s="13">
        <f t="shared" si="13"/>
        <v>0.4247612775765558</v>
      </c>
      <c r="Q40" s="13">
        <f t="shared" si="14"/>
        <v>0.42883492161082076</v>
      </c>
      <c r="R40" s="13">
        <f t="shared" si="15"/>
        <v>0.42830540037243947</v>
      </c>
      <c r="S40" s="13">
        <f t="shared" si="16"/>
        <v>0.4333014963387456</v>
      </c>
      <c r="U40" s="11" t="s">
        <v>22</v>
      </c>
      <c r="V40" s="14">
        <f t="shared" si="17"/>
        <v>0.58208955223880599</v>
      </c>
      <c r="W40" s="14">
        <f t="shared" si="18"/>
        <v>0.32884012539184954</v>
      </c>
      <c r="X40" s="14">
        <f t="shared" si="19"/>
        <v>0.29519819529487595</v>
      </c>
      <c r="Y40" s="14">
        <f t="shared" si="20"/>
        <v>0.29879974731522424</v>
      </c>
      <c r="Z40" s="14">
        <f t="shared" si="21"/>
        <v>0.28061868686868685</v>
      </c>
      <c r="AA40" s="14">
        <f t="shared" si="22"/>
        <v>0.271043223919402</v>
      </c>
      <c r="AB40" s="14">
        <f t="shared" si="23"/>
        <v>0.28925353925353925</v>
      </c>
      <c r="AC40" s="14">
        <f t="shared" si="24"/>
        <v>0.32711482791894497</v>
      </c>
      <c r="AD40" s="14">
        <f t="shared" si="25"/>
        <v>0.36002482929857232</v>
      </c>
      <c r="AE40" s="14">
        <f t="shared" si="26"/>
        <v>0.41817583141257819</v>
      </c>
      <c r="AF40" s="14">
        <f t="shared" si="27"/>
        <v>0.42422379342145711</v>
      </c>
      <c r="AG40" s="14">
        <f t="shared" si="28"/>
        <v>0.41682184978274361</v>
      </c>
      <c r="AH40" s="14">
        <f t="shared" si="29"/>
        <v>0.41006049028971664</v>
      </c>
      <c r="AJ40" s="11" t="s">
        <v>22</v>
      </c>
      <c r="AK40" s="14">
        <f t="shared" si="30"/>
        <v>8.0223880597014921E-2</v>
      </c>
      <c r="AL40" s="14">
        <f t="shared" si="31"/>
        <v>8.8087774294670851E-2</v>
      </c>
      <c r="AM40" s="14">
        <f t="shared" si="32"/>
        <v>8.9912987431517891E-2</v>
      </c>
      <c r="AN40" s="14">
        <f t="shared" si="33"/>
        <v>8.2754264055590651E-2</v>
      </c>
      <c r="AO40" s="14">
        <f t="shared" si="34"/>
        <v>7.8282828282828287E-2</v>
      </c>
      <c r="AP40" s="14">
        <f t="shared" si="35"/>
        <v>7.0523236919077026E-2</v>
      </c>
      <c r="AQ40" s="14">
        <f t="shared" si="36"/>
        <v>7.7541827541827535E-2</v>
      </c>
      <c r="AR40" s="14">
        <f t="shared" si="37"/>
        <v>6.7867481505307178E-2</v>
      </c>
      <c r="AS40" s="14">
        <f t="shared" si="38"/>
        <v>0.10273122284295469</v>
      </c>
      <c r="AT40" s="14">
        <f t="shared" si="39"/>
        <v>0.15706289101086598</v>
      </c>
      <c r="AU40" s="14">
        <f t="shared" si="40"/>
        <v>0.1469412849677221</v>
      </c>
      <c r="AV40" s="14">
        <f t="shared" si="41"/>
        <v>0.15487274984481689</v>
      </c>
      <c r="AW40" s="14">
        <f t="shared" si="42"/>
        <v>0.15663801337153774</v>
      </c>
    </row>
    <row r="41" spans="6:49">
      <c r="F41" s="3" t="s">
        <v>23</v>
      </c>
      <c r="G41" s="13">
        <f t="shared" si="4"/>
        <v>0.38057809330628806</v>
      </c>
      <c r="H41" s="13">
        <f t="shared" si="5"/>
        <v>0.60509554140127386</v>
      </c>
      <c r="I41" s="13">
        <f t="shared" si="6"/>
        <v>0.64151416395086491</v>
      </c>
      <c r="J41" s="13">
        <f t="shared" si="7"/>
        <v>0.63218104949017662</v>
      </c>
      <c r="K41" s="13">
        <f t="shared" si="8"/>
        <v>0.63777615926195674</v>
      </c>
      <c r="L41" s="13">
        <f t="shared" si="9"/>
        <v>0.65944348682590492</v>
      </c>
      <c r="M41" s="13">
        <f t="shared" si="10"/>
        <v>0.60821172396735101</v>
      </c>
      <c r="N41" s="13">
        <f t="shared" si="11"/>
        <v>0.58629071463296067</v>
      </c>
      <c r="O41" s="13">
        <f t="shared" si="12"/>
        <v>0.5464762350737532</v>
      </c>
      <c r="P41" s="13">
        <f t="shared" si="13"/>
        <v>0.48306297709923662</v>
      </c>
      <c r="Q41" s="13">
        <f t="shared" si="14"/>
        <v>0.48648648648648651</v>
      </c>
      <c r="R41" s="13">
        <f t="shared" si="15"/>
        <v>0.48934606906686262</v>
      </c>
      <c r="S41" s="13">
        <f t="shared" si="16"/>
        <v>0.50504807692307696</v>
      </c>
      <c r="U41" s="11" t="s">
        <v>23</v>
      </c>
      <c r="V41" s="14">
        <f t="shared" si="17"/>
        <v>0.57479716024340766</v>
      </c>
      <c r="W41" s="14">
        <f t="shared" si="18"/>
        <v>0.35154336109750123</v>
      </c>
      <c r="X41" s="14">
        <f t="shared" si="19"/>
        <v>0.3128603660065179</v>
      </c>
      <c r="Y41" s="14">
        <f t="shared" si="20"/>
        <v>0.33175826908729172</v>
      </c>
      <c r="Z41" s="14">
        <f t="shared" si="21"/>
        <v>0.32507890264627337</v>
      </c>
      <c r="AA41" s="14">
        <f t="shared" si="22"/>
        <v>0.30509726668308296</v>
      </c>
      <c r="AB41" s="14">
        <f t="shared" si="23"/>
        <v>0.33267375711105612</v>
      </c>
      <c r="AC41" s="14">
        <f t="shared" si="24"/>
        <v>0.35901798736023333</v>
      </c>
      <c r="AD41" s="14">
        <f t="shared" si="25"/>
        <v>0.39452118941699837</v>
      </c>
      <c r="AE41" s="14">
        <f t="shared" si="26"/>
        <v>0.46016221374045801</v>
      </c>
      <c r="AF41" s="14">
        <f t="shared" si="27"/>
        <v>0.45670670670670671</v>
      </c>
      <c r="AG41" s="14">
        <f t="shared" si="28"/>
        <v>0.45040411462160174</v>
      </c>
      <c r="AH41" s="14">
        <f t="shared" si="29"/>
        <v>0.43942307692307692</v>
      </c>
      <c r="AJ41" s="11" t="s">
        <v>23</v>
      </c>
      <c r="AK41" s="14">
        <f t="shared" si="30"/>
        <v>4.4624746450304259E-2</v>
      </c>
      <c r="AL41" s="14">
        <f t="shared" si="31"/>
        <v>4.3361097501224889E-2</v>
      </c>
      <c r="AM41" s="14">
        <f t="shared" si="32"/>
        <v>4.5625470042617196E-2</v>
      </c>
      <c r="AN41" s="14">
        <f t="shared" si="33"/>
        <v>3.6060681422531708E-2</v>
      </c>
      <c r="AO41" s="14">
        <f t="shared" si="34"/>
        <v>3.7144938091769844E-2</v>
      </c>
      <c r="AP41" s="14">
        <f t="shared" si="35"/>
        <v>3.5459246491012064E-2</v>
      </c>
      <c r="AQ41" s="14">
        <f t="shared" si="36"/>
        <v>5.9114518921592876E-2</v>
      </c>
      <c r="AR41" s="14">
        <f t="shared" si="37"/>
        <v>5.4691298006806027E-2</v>
      </c>
      <c r="AS41" s="14">
        <f t="shared" si="38"/>
        <v>5.9002575509248423E-2</v>
      </c>
      <c r="AT41" s="14">
        <f t="shared" si="39"/>
        <v>5.6774809160305341E-2</v>
      </c>
      <c r="AU41" s="14">
        <f t="shared" si="40"/>
        <v>5.680680680680681E-2</v>
      </c>
      <c r="AV41" s="14">
        <f t="shared" si="41"/>
        <v>6.0249816311535635E-2</v>
      </c>
      <c r="AW41" s="14">
        <f t="shared" si="42"/>
        <v>5.5528846153846151E-2</v>
      </c>
    </row>
    <row r="42" spans="6:49">
      <c r="F42" s="3" t="s">
        <v>24</v>
      </c>
      <c r="G42" s="13">
        <f t="shared" si="4"/>
        <v>0.18755647347360269</v>
      </c>
      <c r="H42" s="13">
        <f t="shared" si="5"/>
        <v>0.33711156393275599</v>
      </c>
      <c r="I42" s="13">
        <f t="shared" si="6"/>
        <v>0.33206106870229007</v>
      </c>
      <c r="J42" s="13">
        <f t="shared" si="7"/>
        <v>0.34201213346814963</v>
      </c>
      <c r="K42" s="13">
        <f t="shared" si="8"/>
        <v>0.36216971544715448</v>
      </c>
      <c r="L42" s="13">
        <f t="shared" si="9"/>
        <v>0.36036935363114547</v>
      </c>
      <c r="M42" s="13">
        <f t="shared" si="10"/>
        <v>0.34131361243419406</v>
      </c>
      <c r="N42" s="13">
        <f t="shared" si="11"/>
        <v>0.29589928954256511</v>
      </c>
      <c r="O42" s="13">
        <f t="shared" si="12"/>
        <v>0.27632751814593148</v>
      </c>
      <c r="P42" s="13">
        <f t="shared" si="13"/>
        <v>0.24334600760456274</v>
      </c>
      <c r="Q42" s="13">
        <f t="shared" si="14"/>
        <v>0.24180170983794819</v>
      </c>
      <c r="R42" s="13">
        <f t="shared" si="15"/>
        <v>0.23643459650006296</v>
      </c>
      <c r="S42" s="13">
        <f t="shared" si="16"/>
        <v>0.23599493029150823</v>
      </c>
      <c r="U42" s="11" t="s">
        <v>24</v>
      </c>
      <c r="V42" s="14">
        <f t="shared" si="17"/>
        <v>0.77178262553246413</v>
      </c>
      <c r="W42" s="14">
        <f t="shared" si="18"/>
        <v>0.6264645950076414</v>
      </c>
      <c r="X42" s="14">
        <f t="shared" si="19"/>
        <v>0.6301526717557252</v>
      </c>
      <c r="Y42" s="14">
        <f t="shared" si="20"/>
        <v>0.61804853387259862</v>
      </c>
      <c r="Z42" s="14">
        <f t="shared" si="21"/>
        <v>0.60200711382113825</v>
      </c>
      <c r="AA42" s="14">
        <f t="shared" si="22"/>
        <v>0.60419266284002993</v>
      </c>
      <c r="AB42" s="14">
        <f t="shared" si="23"/>
        <v>0.6077964402105791</v>
      </c>
      <c r="AC42" s="14">
        <f t="shared" si="24"/>
        <v>0.65411940670572111</v>
      </c>
      <c r="AD42" s="14">
        <f t="shared" si="25"/>
        <v>0.66573284095250218</v>
      </c>
      <c r="AE42" s="14">
        <f t="shared" si="26"/>
        <v>0.70266159695817487</v>
      </c>
      <c r="AF42" s="14">
        <f t="shared" si="27"/>
        <v>0.70868954957254049</v>
      </c>
      <c r="AG42" s="14">
        <f t="shared" si="28"/>
        <v>0.71031096563011453</v>
      </c>
      <c r="AH42" s="14">
        <f t="shared" si="29"/>
        <v>0.70925221799746518</v>
      </c>
      <c r="AJ42" s="11" t="s">
        <v>24</v>
      </c>
      <c r="AK42" s="14">
        <f t="shared" si="30"/>
        <v>4.0660900993933137E-2</v>
      </c>
      <c r="AL42" s="14">
        <f t="shared" si="31"/>
        <v>3.6423841059602648E-2</v>
      </c>
      <c r="AM42" s="14">
        <f t="shared" si="32"/>
        <v>3.7786259541984731E-2</v>
      </c>
      <c r="AN42" s="14">
        <f t="shared" si="33"/>
        <v>3.9939332659251772E-2</v>
      </c>
      <c r="AO42" s="14">
        <f t="shared" si="34"/>
        <v>3.5823170731707314E-2</v>
      </c>
      <c r="AP42" s="14">
        <f t="shared" si="35"/>
        <v>3.543798352882456E-2</v>
      </c>
      <c r="AQ42" s="14">
        <f t="shared" si="36"/>
        <v>5.0889947355226874E-2</v>
      </c>
      <c r="AR42" s="14">
        <f t="shared" si="37"/>
        <v>4.9981303751713821E-2</v>
      </c>
      <c r="AS42" s="14">
        <f t="shared" si="38"/>
        <v>5.7939640901566281E-2</v>
      </c>
      <c r="AT42" s="14">
        <f t="shared" si="39"/>
        <v>5.3992395437262357E-2</v>
      </c>
      <c r="AU42" s="14">
        <f t="shared" si="40"/>
        <v>4.9508740589511289E-2</v>
      </c>
      <c r="AV42" s="14">
        <f t="shared" si="41"/>
        <v>5.3254437869822487E-2</v>
      </c>
      <c r="AW42" s="14">
        <f t="shared" si="42"/>
        <v>5.4752851711026618E-2</v>
      </c>
    </row>
    <row r="43" spans="6:49">
      <c r="F43" s="3" t="s">
        <v>25</v>
      </c>
      <c r="G43" s="13">
        <f t="shared" si="4"/>
        <v>0.17290096878363831</v>
      </c>
      <c r="H43" s="13">
        <f t="shared" si="5"/>
        <v>0.31480080685829553</v>
      </c>
      <c r="I43" s="13">
        <f t="shared" si="6"/>
        <v>0.30877375683415775</v>
      </c>
      <c r="J43" s="13">
        <f t="shared" si="7"/>
        <v>0.31954169318905157</v>
      </c>
      <c r="K43" s="13">
        <f t="shared" si="8"/>
        <v>0.31480284421460891</v>
      </c>
      <c r="L43" s="13">
        <f t="shared" si="9"/>
        <v>0.33555669574140584</v>
      </c>
      <c r="M43" s="13">
        <f t="shared" si="10"/>
        <v>0.30426406370408426</v>
      </c>
      <c r="N43" s="13">
        <f t="shared" si="11"/>
        <v>0.27991371653343483</v>
      </c>
      <c r="O43" s="13">
        <f t="shared" si="12"/>
        <v>0.26341145833333335</v>
      </c>
      <c r="P43" s="13">
        <f t="shared" si="13"/>
        <v>0.22835058299489061</v>
      </c>
      <c r="Q43" s="13">
        <f t="shared" si="14"/>
        <v>0.22663000785545953</v>
      </c>
      <c r="R43" s="13">
        <f t="shared" si="15"/>
        <v>0.22758353760805058</v>
      </c>
      <c r="S43" s="13">
        <f t="shared" si="16"/>
        <v>0.22294910375506999</v>
      </c>
      <c r="U43" s="11" t="s">
        <v>25</v>
      </c>
      <c r="V43" s="14">
        <f t="shared" si="17"/>
        <v>0.78552206673842839</v>
      </c>
      <c r="W43" s="14">
        <f t="shared" si="18"/>
        <v>0.64599092284417547</v>
      </c>
      <c r="X43" s="14">
        <f t="shared" si="19"/>
        <v>0.65009112210361886</v>
      </c>
      <c r="Y43" s="14">
        <f t="shared" si="20"/>
        <v>0.64264799490770208</v>
      </c>
      <c r="Z43" s="14">
        <f t="shared" si="21"/>
        <v>0.64615384615384619</v>
      </c>
      <c r="AA43" s="14">
        <f t="shared" si="22"/>
        <v>0.62711646998460746</v>
      </c>
      <c r="AB43" s="14">
        <f t="shared" si="23"/>
        <v>0.64731569483688667</v>
      </c>
      <c r="AC43" s="14">
        <f t="shared" si="24"/>
        <v>0.66895064078162669</v>
      </c>
      <c r="AD43" s="14">
        <f t="shared" si="25"/>
        <v>0.68671875000000004</v>
      </c>
      <c r="AE43" s="14">
        <f t="shared" si="26"/>
        <v>0.71937639198218262</v>
      </c>
      <c r="AF43" s="14">
        <f t="shared" si="27"/>
        <v>0.72152395915161038</v>
      </c>
      <c r="AG43" s="14">
        <f t="shared" si="28"/>
        <v>0.71861695265127079</v>
      </c>
      <c r="AH43" s="14">
        <f t="shared" si="29"/>
        <v>0.72236032971346331</v>
      </c>
      <c r="AJ43" s="11" t="s">
        <v>25</v>
      </c>
      <c r="AK43" s="14">
        <f t="shared" si="30"/>
        <v>4.1576964477933263E-2</v>
      </c>
      <c r="AL43" s="14">
        <f t="shared" si="31"/>
        <v>3.9208270297528998E-2</v>
      </c>
      <c r="AM43" s="14">
        <f t="shared" si="32"/>
        <v>4.1135121062223376E-2</v>
      </c>
      <c r="AN43" s="14">
        <f t="shared" si="33"/>
        <v>3.7810311903246338E-2</v>
      </c>
      <c r="AO43" s="14">
        <f t="shared" si="34"/>
        <v>3.9043309631544926E-2</v>
      </c>
      <c r="AP43" s="14">
        <f t="shared" si="35"/>
        <v>3.7326834273986663E-2</v>
      </c>
      <c r="AQ43" s="14">
        <f t="shared" si="36"/>
        <v>4.8420241459029026E-2</v>
      </c>
      <c r="AR43" s="14">
        <f t="shared" si="37"/>
        <v>5.1135642684938462E-2</v>
      </c>
      <c r="AS43" s="14">
        <f t="shared" si="38"/>
        <v>4.986979166666667E-2</v>
      </c>
      <c r="AT43" s="14">
        <f t="shared" si="39"/>
        <v>5.2273025022926765E-2</v>
      </c>
      <c r="AU43" s="14">
        <f t="shared" si="40"/>
        <v>5.1846032992930086E-2</v>
      </c>
      <c r="AV43" s="14">
        <f t="shared" si="41"/>
        <v>5.3799509740678625E-2</v>
      </c>
      <c r="AW43" s="14">
        <f t="shared" si="42"/>
        <v>5.46905665314667E-2</v>
      </c>
    </row>
    <row r="44" spans="6:49">
      <c r="F44" s="3" t="s">
        <v>26</v>
      </c>
      <c r="G44" s="13">
        <f t="shared" si="4"/>
        <v>0.11012199142762941</v>
      </c>
      <c r="H44" s="13">
        <f t="shared" si="5"/>
        <v>0.36105544422177688</v>
      </c>
      <c r="I44" s="13">
        <f t="shared" si="6"/>
        <v>0.3715</v>
      </c>
      <c r="J44" s="13">
        <f t="shared" si="7"/>
        <v>0.39685225926552714</v>
      </c>
      <c r="K44" s="13">
        <f t="shared" si="8"/>
        <v>0.41894353369763204</v>
      </c>
      <c r="L44" s="13">
        <f t="shared" si="9"/>
        <v>0.42391857506361325</v>
      </c>
      <c r="M44" s="13">
        <f t="shared" si="10"/>
        <v>0.27464195450716089</v>
      </c>
      <c r="N44" s="13">
        <f t="shared" si="11"/>
        <v>0.24894957983193278</v>
      </c>
      <c r="O44" s="13">
        <f t="shared" si="12"/>
        <v>0.2303020077610933</v>
      </c>
      <c r="P44" s="13">
        <f t="shared" si="13"/>
        <v>0.20953683131088702</v>
      </c>
      <c r="Q44" s="13">
        <f t="shared" si="14"/>
        <v>0.20749915167967425</v>
      </c>
      <c r="R44" s="13">
        <f t="shared" si="15"/>
        <v>0.21881729335762795</v>
      </c>
      <c r="S44" s="13">
        <f t="shared" si="16"/>
        <v>0.21971878705742842</v>
      </c>
      <c r="U44" s="11" t="s">
        <v>26</v>
      </c>
      <c r="V44" s="14">
        <f t="shared" si="17"/>
        <v>0.88987800857237054</v>
      </c>
      <c r="W44" s="14">
        <f t="shared" si="18"/>
        <v>0.63894455577822307</v>
      </c>
      <c r="X44" s="14">
        <f t="shared" si="19"/>
        <v>0.62849999999999995</v>
      </c>
      <c r="Y44" s="14">
        <f t="shared" si="20"/>
        <v>0.60314774073447286</v>
      </c>
      <c r="Z44" s="14">
        <f t="shared" si="21"/>
        <v>0.58105646630236796</v>
      </c>
      <c r="AA44" s="14">
        <f t="shared" si="22"/>
        <v>0.57608142493638681</v>
      </c>
      <c r="AB44" s="14">
        <f t="shared" si="23"/>
        <v>0.72535804549283911</v>
      </c>
      <c r="AC44" s="14">
        <f t="shared" si="24"/>
        <v>0.75105042016806722</v>
      </c>
      <c r="AD44" s="14">
        <f t="shared" si="25"/>
        <v>0.76969799223890667</v>
      </c>
      <c r="AE44" s="14">
        <f t="shared" si="26"/>
        <v>0.79046316868911293</v>
      </c>
      <c r="AF44" s="14">
        <f t="shared" si="27"/>
        <v>0.79250084832032575</v>
      </c>
      <c r="AG44" s="14">
        <f t="shared" si="28"/>
        <v>0.78118270664237199</v>
      </c>
      <c r="AH44" s="14">
        <f t="shared" si="29"/>
        <v>0.78028121294257158</v>
      </c>
      <c r="AJ44" s="11" t="s">
        <v>26</v>
      </c>
      <c r="AK44" s="14">
        <f t="shared" si="30"/>
        <v>0</v>
      </c>
      <c r="AL44" s="14">
        <f t="shared" si="31"/>
        <v>0</v>
      </c>
      <c r="AM44" s="14">
        <f t="shared" si="32"/>
        <v>0</v>
      </c>
      <c r="AN44" s="14">
        <f t="shared" si="33"/>
        <v>0</v>
      </c>
      <c r="AO44" s="14">
        <f t="shared" si="34"/>
        <v>0</v>
      </c>
      <c r="AP44" s="14">
        <f t="shared" si="35"/>
        <v>0</v>
      </c>
      <c r="AQ44" s="14">
        <f t="shared" si="36"/>
        <v>0</v>
      </c>
      <c r="AR44" s="14">
        <f t="shared" si="37"/>
        <v>0</v>
      </c>
      <c r="AS44" s="14">
        <f t="shared" si="38"/>
        <v>0</v>
      </c>
      <c r="AT44" s="14">
        <f t="shared" si="39"/>
        <v>0</v>
      </c>
      <c r="AU44" s="14">
        <f t="shared" si="40"/>
        <v>0</v>
      </c>
      <c r="AV44" s="14">
        <f t="shared" si="41"/>
        <v>0</v>
      </c>
      <c r="AW44" s="14">
        <f t="shared" si="42"/>
        <v>0</v>
      </c>
    </row>
    <row r="45" spans="6:49">
      <c r="F45" s="3" t="s">
        <v>27</v>
      </c>
      <c r="G45" s="13">
        <f t="shared" si="4"/>
        <v>0.123052122514777</v>
      </c>
      <c r="H45" s="13">
        <f t="shared" si="5"/>
        <v>0.354756253423407</v>
      </c>
      <c r="I45" s="13">
        <f t="shared" si="6"/>
        <v>0.3749542961608775</v>
      </c>
      <c r="J45" s="13">
        <f t="shared" si="7"/>
        <v>0.40341012153092692</v>
      </c>
      <c r="K45" s="13">
        <f t="shared" si="8"/>
        <v>0.41677712554440449</v>
      </c>
      <c r="L45" s="13">
        <f t="shared" si="9"/>
        <v>0.40674857876398313</v>
      </c>
      <c r="M45" s="13">
        <f t="shared" si="10"/>
        <v>0.25490196078431371</v>
      </c>
      <c r="N45" s="13">
        <f t="shared" si="11"/>
        <v>0.25250318587292919</v>
      </c>
      <c r="O45" s="13">
        <f t="shared" si="12"/>
        <v>0.22994056463595838</v>
      </c>
      <c r="P45" s="13">
        <f t="shared" si="13"/>
        <v>0.20639911226188273</v>
      </c>
      <c r="Q45" s="13">
        <f t="shared" si="14"/>
        <v>0.20959735245449532</v>
      </c>
      <c r="R45" s="13">
        <f t="shared" si="15"/>
        <v>0.20756088695019992</v>
      </c>
      <c r="S45" s="13">
        <f t="shared" si="16"/>
        <v>0.20645278230922604</v>
      </c>
      <c r="U45" s="11" t="s">
        <v>27</v>
      </c>
      <c r="V45" s="14">
        <f t="shared" si="17"/>
        <v>0.87694787748522296</v>
      </c>
      <c r="W45" s="14">
        <f t="shared" si="18"/>
        <v>0.645243746576593</v>
      </c>
      <c r="X45" s="14">
        <f t="shared" si="19"/>
        <v>0.6250457038391225</v>
      </c>
      <c r="Y45" s="14">
        <f t="shared" si="20"/>
        <v>0.59658987846907308</v>
      </c>
      <c r="Z45" s="14">
        <f t="shared" si="21"/>
        <v>0.58322287445559551</v>
      </c>
      <c r="AA45" s="14">
        <f t="shared" si="22"/>
        <v>0.59325142123601682</v>
      </c>
      <c r="AB45" s="14">
        <f t="shared" si="23"/>
        <v>0.74509803921568629</v>
      </c>
      <c r="AC45" s="14">
        <f t="shared" si="24"/>
        <v>0.74749681412707081</v>
      </c>
      <c r="AD45" s="14">
        <f t="shared" si="25"/>
        <v>0.77005943536404164</v>
      </c>
      <c r="AE45" s="14">
        <f t="shared" si="26"/>
        <v>0.79360088773811721</v>
      </c>
      <c r="AF45" s="14">
        <f t="shared" si="27"/>
        <v>0.79040264754550471</v>
      </c>
      <c r="AG45" s="14">
        <f t="shared" si="28"/>
        <v>0.79243911304980008</v>
      </c>
      <c r="AH45" s="14">
        <f t="shared" si="29"/>
        <v>0.79354721769077396</v>
      </c>
      <c r="AJ45" s="11" t="s">
        <v>27</v>
      </c>
      <c r="AK45" s="14">
        <f t="shared" si="30"/>
        <v>0</v>
      </c>
      <c r="AL45" s="14">
        <f t="shared" si="31"/>
        <v>0</v>
      </c>
      <c r="AM45" s="14">
        <f t="shared" si="32"/>
        <v>0</v>
      </c>
      <c r="AN45" s="14">
        <f t="shared" si="33"/>
        <v>0</v>
      </c>
      <c r="AO45" s="14">
        <f t="shared" si="34"/>
        <v>0</v>
      </c>
      <c r="AP45" s="14">
        <f t="shared" si="35"/>
        <v>0</v>
      </c>
      <c r="AQ45" s="14">
        <f t="shared" si="36"/>
        <v>0</v>
      </c>
      <c r="AR45" s="14">
        <f t="shared" si="37"/>
        <v>0</v>
      </c>
      <c r="AS45" s="14">
        <f t="shared" si="38"/>
        <v>0</v>
      </c>
      <c r="AT45" s="14">
        <f t="shared" si="39"/>
        <v>0</v>
      </c>
      <c r="AU45" s="14">
        <f t="shared" si="40"/>
        <v>0</v>
      </c>
      <c r="AV45" s="14">
        <f t="shared" si="41"/>
        <v>0</v>
      </c>
      <c r="AW45" s="14">
        <f t="shared" si="42"/>
        <v>0</v>
      </c>
    </row>
    <row r="46" spans="6:49">
      <c r="F46" s="3" t="s">
        <v>28</v>
      </c>
      <c r="G46" s="13">
        <f t="shared" si="4"/>
        <v>0.11446957878315132</v>
      </c>
      <c r="H46" s="13">
        <f t="shared" si="5"/>
        <v>0.36171874999999998</v>
      </c>
      <c r="I46" s="13">
        <f t="shared" si="6"/>
        <v>0.36971134835903519</v>
      </c>
      <c r="J46" s="13">
        <f t="shared" si="7"/>
        <v>0.38765383088527194</v>
      </c>
      <c r="K46" s="13">
        <f t="shared" si="8"/>
        <v>0.4289415985648794</v>
      </c>
      <c r="L46" s="13">
        <f t="shared" si="9"/>
        <v>0.42052980132450329</v>
      </c>
      <c r="M46" s="13">
        <f t="shared" si="10"/>
        <v>0.26308539944903581</v>
      </c>
      <c r="N46" s="13">
        <f t="shared" si="11"/>
        <v>0.23851517637407713</v>
      </c>
      <c r="O46" s="13">
        <f t="shared" si="12"/>
        <v>0.225643103099048</v>
      </c>
      <c r="P46" s="13">
        <f t="shared" si="13"/>
        <v>0.20947284978200556</v>
      </c>
      <c r="Q46" s="13">
        <f t="shared" si="14"/>
        <v>0.20444533440128154</v>
      </c>
      <c r="R46" s="13">
        <f t="shared" si="15"/>
        <v>0.21308826499697031</v>
      </c>
      <c r="S46" s="13">
        <f t="shared" si="16"/>
        <v>0.21924162968939087</v>
      </c>
      <c r="U46" s="11" t="s">
        <v>28</v>
      </c>
      <c r="V46" s="14">
        <f t="shared" si="17"/>
        <v>0.88553042121684866</v>
      </c>
      <c r="W46" s="14">
        <f t="shared" si="18"/>
        <v>0.63828125000000002</v>
      </c>
      <c r="X46" s="14">
        <f t="shared" si="19"/>
        <v>0.63028865164096481</v>
      </c>
      <c r="Y46" s="14">
        <f t="shared" si="20"/>
        <v>0.61234616911472806</v>
      </c>
      <c r="Z46" s="14">
        <f t="shared" si="21"/>
        <v>0.57105840143512054</v>
      </c>
      <c r="AA46" s="14">
        <f t="shared" si="22"/>
        <v>0.57947019867549665</v>
      </c>
      <c r="AB46" s="14">
        <f t="shared" si="23"/>
        <v>0.73691460055096414</v>
      </c>
      <c r="AC46" s="14">
        <f t="shared" si="24"/>
        <v>0.76148482362592285</v>
      </c>
      <c r="AD46" s="14">
        <f t="shared" si="25"/>
        <v>0.774356896900952</v>
      </c>
      <c r="AE46" s="14">
        <f t="shared" si="26"/>
        <v>0.79052715021799447</v>
      </c>
      <c r="AF46" s="14">
        <f t="shared" si="27"/>
        <v>0.79555466559871846</v>
      </c>
      <c r="AG46" s="14">
        <f t="shared" si="28"/>
        <v>0.78691173500302969</v>
      </c>
      <c r="AH46" s="14">
        <f t="shared" si="29"/>
        <v>0.78075837031060913</v>
      </c>
      <c r="AJ46" s="11" t="s">
        <v>28</v>
      </c>
      <c r="AK46" s="14">
        <f t="shared" si="30"/>
        <v>0</v>
      </c>
      <c r="AL46" s="14">
        <f t="shared" si="31"/>
        <v>0</v>
      </c>
      <c r="AM46" s="14">
        <f t="shared" si="32"/>
        <v>0</v>
      </c>
      <c r="AN46" s="14">
        <f t="shared" si="33"/>
        <v>0</v>
      </c>
      <c r="AO46" s="14">
        <f t="shared" si="34"/>
        <v>0</v>
      </c>
      <c r="AP46" s="14">
        <f t="shared" si="35"/>
        <v>0</v>
      </c>
      <c r="AQ46" s="14">
        <f t="shared" si="36"/>
        <v>0</v>
      </c>
      <c r="AR46" s="14">
        <f t="shared" si="37"/>
        <v>0</v>
      </c>
      <c r="AS46" s="14">
        <f t="shared" si="38"/>
        <v>0</v>
      </c>
      <c r="AT46" s="14">
        <f t="shared" si="39"/>
        <v>0</v>
      </c>
      <c r="AU46" s="14">
        <f t="shared" si="40"/>
        <v>0</v>
      </c>
      <c r="AV46" s="14">
        <f t="shared" si="41"/>
        <v>0</v>
      </c>
      <c r="AW46" s="14">
        <f t="shared" si="42"/>
        <v>0</v>
      </c>
    </row>
    <row r="47" spans="6:49">
      <c r="F47" s="3" t="s">
        <v>29</v>
      </c>
      <c r="G47" s="13">
        <f t="shared" si="4"/>
        <v>0.11960132890365449</v>
      </c>
      <c r="H47" s="13">
        <f t="shared" si="5"/>
        <v>0.3488320846187748</v>
      </c>
      <c r="I47" s="13">
        <f t="shared" si="6"/>
        <v>0.36977351916376305</v>
      </c>
      <c r="J47" s="13">
        <f t="shared" si="7"/>
        <v>0.40398354622212601</v>
      </c>
      <c r="K47" s="13">
        <f t="shared" si="8"/>
        <v>0.43574210298572047</v>
      </c>
      <c r="L47" s="13">
        <f t="shared" si="9"/>
        <v>0.43171806167400884</v>
      </c>
      <c r="M47" s="13">
        <f t="shared" si="10"/>
        <v>0.26373127553336362</v>
      </c>
      <c r="N47" s="13">
        <f t="shared" si="11"/>
        <v>0.24340369393139841</v>
      </c>
      <c r="O47" s="13">
        <f t="shared" si="12"/>
        <v>0.22289291303375811</v>
      </c>
      <c r="P47" s="13">
        <f t="shared" si="13"/>
        <v>0.22378854625550662</v>
      </c>
      <c r="Q47" s="13">
        <f t="shared" si="14"/>
        <v>0.20263923059718184</v>
      </c>
      <c r="R47" s="13">
        <f t="shared" si="15"/>
        <v>0.20490905106289722</v>
      </c>
      <c r="S47" s="13">
        <f t="shared" si="16"/>
        <v>0.20836040719081655</v>
      </c>
      <c r="U47" s="11" t="s">
        <v>29</v>
      </c>
      <c r="V47" s="14">
        <f t="shared" si="17"/>
        <v>0.74219269102990038</v>
      </c>
      <c r="W47" s="14">
        <f t="shared" si="18"/>
        <v>0.50947553988541205</v>
      </c>
      <c r="X47" s="14">
        <f t="shared" si="19"/>
        <v>0.50021777003484325</v>
      </c>
      <c r="Y47" s="14">
        <f t="shared" si="20"/>
        <v>0.47218012556830485</v>
      </c>
      <c r="Z47" s="14">
        <f t="shared" si="21"/>
        <v>0.44028559065339679</v>
      </c>
      <c r="AA47" s="14">
        <f t="shared" si="22"/>
        <v>0.40881057268722465</v>
      </c>
      <c r="AB47" s="14">
        <f t="shared" si="23"/>
        <v>0.36654561960962323</v>
      </c>
      <c r="AC47" s="14">
        <f t="shared" si="24"/>
        <v>0.6391820580474934</v>
      </c>
      <c r="AD47" s="14">
        <f t="shared" si="25"/>
        <v>0.65302928683210371</v>
      </c>
      <c r="AE47" s="14">
        <f t="shared" si="26"/>
        <v>0.66960352422907488</v>
      </c>
      <c r="AF47" s="14">
        <f t="shared" si="27"/>
        <v>0.6929098635651979</v>
      </c>
      <c r="AG47" s="14">
        <f t="shared" si="28"/>
        <v>0.68288406749945207</v>
      </c>
      <c r="AH47" s="14">
        <f t="shared" si="29"/>
        <v>0.67727961880008669</v>
      </c>
      <c r="AJ47" s="11" t="s">
        <v>29</v>
      </c>
      <c r="AK47" s="14">
        <f t="shared" si="30"/>
        <v>0.13820598006644519</v>
      </c>
      <c r="AL47" s="14">
        <f t="shared" si="31"/>
        <v>0.14169237549581312</v>
      </c>
      <c r="AM47" s="14">
        <f t="shared" si="32"/>
        <v>0.13000871080139373</v>
      </c>
      <c r="AN47" s="14">
        <f t="shared" si="33"/>
        <v>0.12383632820956918</v>
      </c>
      <c r="AO47" s="14">
        <f t="shared" si="34"/>
        <v>0.12397230636088273</v>
      </c>
      <c r="AP47" s="14">
        <f t="shared" si="35"/>
        <v>0.15947136563876652</v>
      </c>
      <c r="AQ47" s="14">
        <f t="shared" si="36"/>
        <v>0.36972310485701315</v>
      </c>
      <c r="AR47" s="14">
        <f t="shared" si="37"/>
        <v>0.11741424802110818</v>
      </c>
      <c r="AS47" s="14">
        <f t="shared" si="38"/>
        <v>0.12407780013413816</v>
      </c>
      <c r="AT47" s="14">
        <f t="shared" si="39"/>
        <v>0.1066079295154185</v>
      </c>
      <c r="AU47" s="14">
        <f t="shared" si="40"/>
        <v>0.10445090583762022</v>
      </c>
      <c r="AV47" s="14">
        <f t="shared" si="41"/>
        <v>0.11220688143765067</v>
      </c>
      <c r="AW47" s="14">
        <f t="shared" si="42"/>
        <v>0.11435997400909681</v>
      </c>
    </row>
    <row r="48" spans="6:49">
      <c r="F48" s="3" t="s">
        <v>30</v>
      </c>
      <c r="G48" s="13">
        <f t="shared" si="4"/>
        <v>0.24355231143552311</v>
      </c>
      <c r="H48" s="13">
        <f t="shared" si="5"/>
        <v>0.48010674429888406</v>
      </c>
      <c r="I48" s="13">
        <f t="shared" si="6"/>
        <v>0.50640560792845057</v>
      </c>
      <c r="J48" s="13">
        <f t="shared" si="7"/>
        <v>0.52458617332035051</v>
      </c>
      <c r="K48" s="13">
        <f t="shared" si="8"/>
        <v>0.55596107055961075</v>
      </c>
      <c r="L48" s="13">
        <f t="shared" si="9"/>
        <v>0.58978102189781023</v>
      </c>
      <c r="M48" s="13">
        <f t="shared" si="10"/>
        <v>0.63504706734250538</v>
      </c>
      <c r="N48" s="13">
        <f t="shared" si="11"/>
        <v>0.38506036217303824</v>
      </c>
      <c r="O48" s="13">
        <f t="shared" si="12"/>
        <v>0.35657370517928288</v>
      </c>
      <c r="P48" s="13">
        <f t="shared" si="13"/>
        <v>0.31367226061204345</v>
      </c>
      <c r="Q48" s="13">
        <f t="shared" si="14"/>
        <v>0.30895303326810175</v>
      </c>
      <c r="R48" s="13">
        <f t="shared" si="15"/>
        <v>0.32160804020100503</v>
      </c>
      <c r="S48" s="13">
        <f t="shared" si="16"/>
        <v>0.31210346510492926</v>
      </c>
      <c r="U48" s="11" t="s">
        <v>30</v>
      </c>
      <c r="V48" s="14">
        <f t="shared" si="17"/>
        <v>0.63187347931873483</v>
      </c>
      <c r="W48" s="14">
        <f t="shared" si="18"/>
        <v>0.38500727802037843</v>
      </c>
      <c r="X48" s="14">
        <f t="shared" si="19"/>
        <v>0.35702199661590522</v>
      </c>
      <c r="Y48" s="14">
        <f t="shared" si="20"/>
        <v>0.3432327166504382</v>
      </c>
      <c r="Z48" s="14">
        <f t="shared" si="21"/>
        <v>0.32579075425790754</v>
      </c>
      <c r="AA48" s="14">
        <f t="shared" si="22"/>
        <v>0.30486618004866178</v>
      </c>
      <c r="AB48" s="14">
        <f t="shared" si="23"/>
        <v>0.22230267921795799</v>
      </c>
      <c r="AC48" s="14">
        <f t="shared" si="24"/>
        <v>0.25150905432595572</v>
      </c>
      <c r="AD48" s="14">
        <f t="shared" si="25"/>
        <v>0.5333665338645418</v>
      </c>
      <c r="AE48" s="14">
        <f t="shared" si="26"/>
        <v>0.58020730503455087</v>
      </c>
      <c r="AF48" s="14">
        <f t="shared" si="27"/>
        <v>0.58390410958904104</v>
      </c>
      <c r="AG48" s="14">
        <f t="shared" si="28"/>
        <v>0.56984924623115574</v>
      </c>
      <c r="AH48" s="14">
        <f t="shared" si="29"/>
        <v>0.56979014153245489</v>
      </c>
      <c r="AJ48" s="11" t="s">
        <v>30</v>
      </c>
      <c r="AK48" s="14">
        <f t="shared" si="30"/>
        <v>0.1245742092457421</v>
      </c>
      <c r="AL48" s="14">
        <f t="shared" si="31"/>
        <v>0.13488597768073751</v>
      </c>
      <c r="AM48" s="14">
        <f t="shared" si="32"/>
        <v>0.13657239545564417</v>
      </c>
      <c r="AN48" s="14">
        <f t="shared" si="33"/>
        <v>0.13218111002921129</v>
      </c>
      <c r="AO48" s="14">
        <f t="shared" si="34"/>
        <v>0.11824817518248175</v>
      </c>
      <c r="AP48" s="14">
        <f t="shared" si="35"/>
        <v>0.10535279805352799</v>
      </c>
      <c r="AQ48" s="14">
        <f t="shared" si="36"/>
        <v>0.14265025343953658</v>
      </c>
      <c r="AR48" s="14">
        <f t="shared" si="37"/>
        <v>0.36343058350100604</v>
      </c>
      <c r="AS48" s="14">
        <f t="shared" si="38"/>
        <v>0.1100597609561753</v>
      </c>
      <c r="AT48" s="14">
        <f t="shared" si="39"/>
        <v>0.10612043435340572</v>
      </c>
      <c r="AU48" s="14">
        <f t="shared" si="40"/>
        <v>0.10714285714285714</v>
      </c>
      <c r="AV48" s="14">
        <f t="shared" si="41"/>
        <v>0.10854271356783919</v>
      </c>
      <c r="AW48" s="14">
        <f t="shared" si="42"/>
        <v>0.11810639336261591</v>
      </c>
    </row>
    <row r="49" spans="6:49">
      <c r="F49" s="3" t="s">
        <v>31</v>
      </c>
      <c r="G49" s="13">
        <f t="shared" si="4"/>
        <v>0.37754038561750913</v>
      </c>
      <c r="H49" s="13">
        <f t="shared" si="5"/>
        <v>0.62786152987158017</v>
      </c>
      <c r="I49" s="13">
        <f t="shared" si="6"/>
        <v>0.61980474198047419</v>
      </c>
      <c r="J49" s="13">
        <f t="shared" si="7"/>
        <v>0.66266070430408053</v>
      </c>
      <c r="K49" s="13">
        <f t="shared" si="8"/>
        <v>0.67288693743139405</v>
      </c>
      <c r="L49" s="13">
        <f t="shared" si="9"/>
        <v>0.69299191374663072</v>
      </c>
      <c r="M49" s="13">
        <f t="shared" si="10"/>
        <v>0.77582356225572302</v>
      </c>
      <c r="N49" s="13">
        <f t="shared" si="11"/>
        <v>0.71611322808927602</v>
      </c>
      <c r="O49" s="13">
        <f t="shared" si="12"/>
        <v>0.46421207658321062</v>
      </c>
      <c r="P49" s="13">
        <f t="shared" si="13"/>
        <v>0.43475906876015158</v>
      </c>
      <c r="Q49" s="13">
        <f t="shared" si="14"/>
        <v>0.45303867403314918</v>
      </c>
      <c r="R49" s="13">
        <f t="shared" si="15"/>
        <v>0.44123367602111696</v>
      </c>
      <c r="S49" s="13">
        <f t="shared" si="16"/>
        <v>0.44269418794133625</v>
      </c>
      <c r="U49" s="11" t="s">
        <v>31</v>
      </c>
      <c r="V49" s="14">
        <f t="shared" si="17"/>
        <v>0.47993746743095361</v>
      </c>
      <c r="W49" s="14">
        <f t="shared" si="18"/>
        <v>0.24232272473478503</v>
      </c>
      <c r="X49" s="14">
        <f t="shared" si="19"/>
        <v>0.25411436541143656</v>
      </c>
      <c r="Y49" s="14">
        <f t="shared" si="20"/>
        <v>0.2252655114589156</v>
      </c>
      <c r="Z49" s="14">
        <f t="shared" si="21"/>
        <v>0.22283205268935236</v>
      </c>
      <c r="AA49" s="14">
        <f t="shared" si="22"/>
        <v>0.2032345013477089</v>
      </c>
      <c r="AB49" s="14">
        <f t="shared" si="23"/>
        <v>0.14796203238414293</v>
      </c>
      <c r="AC49" s="14">
        <f t="shared" si="24"/>
        <v>0.15242242787152968</v>
      </c>
      <c r="AD49" s="14">
        <f t="shared" si="25"/>
        <v>0.19617083946980854</v>
      </c>
      <c r="AE49" s="14">
        <f t="shared" si="26"/>
        <v>0.45695722793719545</v>
      </c>
      <c r="AF49" s="14">
        <f t="shared" si="27"/>
        <v>0.44116022099447516</v>
      </c>
      <c r="AG49" s="14">
        <f t="shared" si="28"/>
        <v>0.4512364545707141</v>
      </c>
      <c r="AH49" s="14">
        <f t="shared" si="29"/>
        <v>0.44296577946768062</v>
      </c>
      <c r="AJ49" s="11" t="s">
        <v>31</v>
      </c>
      <c r="AK49" s="14">
        <f t="shared" si="30"/>
        <v>0.14252214695153725</v>
      </c>
      <c r="AL49" s="14">
        <f t="shared" si="31"/>
        <v>0.12981574539363483</v>
      </c>
      <c r="AM49" s="14">
        <f t="shared" si="32"/>
        <v>0.12608089260808927</v>
      </c>
      <c r="AN49" s="14">
        <f t="shared" si="33"/>
        <v>0.11207378423700391</v>
      </c>
      <c r="AO49" s="14">
        <f t="shared" si="34"/>
        <v>0.10428100987925357</v>
      </c>
      <c r="AP49" s="14">
        <f t="shared" si="35"/>
        <v>0.10377358490566038</v>
      </c>
      <c r="AQ49" s="14">
        <f t="shared" si="36"/>
        <v>7.6214405360134005E-2</v>
      </c>
      <c r="AR49" s="14">
        <f t="shared" si="37"/>
        <v>0.13146434403919433</v>
      </c>
      <c r="AS49" s="14">
        <f t="shared" si="38"/>
        <v>0.33961708394698087</v>
      </c>
      <c r="AT49" s="14">
        <f t="shared" si="39"/>
        <v>0.10828370330265295</v>
      </c>
      <c r="AU49" s="14">
        <f t="shared" si="40"/>
        <v>0.10580110497237569</v>
      </c>
      <c r="AV49" s="14">
        <f t="shared" si="41"/>
        <v>0.10752986940816893</v>
      </c>
      <c r="AW49" s="14">
        <f t="shared" si="42"/>
        <v>0.11434003259098316</v>
      </c>
    </row>
    <row r="50" spans="6:49">
      <c r="F50" s="3" t="s">
        <v>32</v>
      </c>
      <c r="G50" s="13">
        <f t="shared" si="4"/>
        <v>0.51778271742150594</v>
      </c>
      <c r="H50" s="13">
        <f t="shared" si="5"/>
        <v>0.74864225038295507</v>
      </c>
      <c r="I50" s="13">
        <f t="shared" si="6"/>
        <v>0.76812000560773863</v>
      </c>
      <c r="J50" s="13">
        <f t="shared" si="7"/>
        <v>0.76847224098338507</v>
      </c>
      <c r="K50" s="13">
        <f t="shared" si="8"/>
        <v>0.77672868647597892</v>
      </c>
      <c r="L50" s="13">
        <f t="shared" si="9"/>
        <v>0.79686198278256037</v>
      </c>
      <c r="M50" s="13">
        <f t="shared" si="10"/>
        <v>0.85080645161290325</v>
      </c>
      <c r="N50" s="13">
        <f t="shared" si="11"/>
        <v>0.86433528371206969</v>
      </c>
      <c r="O50" s="13">
        <f t="shared" si="12"/>
        <v>0.81775636613902269</v>
      </c>
      <c r="P50" s="13">
        <f t="shared" si="13"/>
        <v>0.53762987924740246</v>
      </c>
      <c r="Q50" s="13">
        <f t="shared" si="14"/>
        <v>0.54564725833804406</v>
      </c>
      <c r="R50" s="13">
        <f t="shared" si="15"/>
        <v>0.55024187975120942</v>
      </c>
      <c r="S50" s="13">
        <f t="shared" si="16"/>
        <v>0.5473482252980677</v>
      </c>
      <c r="U50" s="11" t="s">
        <v>32</v>
      </c>
      <c r="V50" s="14">
        <f t="shared" si="17"/>
        <v>0.34898582939705475</v>
      </c>
      <c r="W50" s="14">
        <f t="shared" si="18"/>
        <v>0.12184932460660075</v>
      </c>
      <c r="X50" s="14">
        <f t="shared" si="19"/>
        <v>0.11453806252628627</v>
      </c>
      <c r="Y50" s="14">
        <f t="shared" si="20"/>
        <v>0.11144130757800892</v>
      </c>
      <c r="Z50" s="14">
        <f t="shared" si="21"/>
        <v>0.11357956123299083</v>
      </c>
      <c r="AA50" s="14">
        <f t="shared" si="22"/>
        <v>9.7611774507081361E-2</v>
      </c>
      <c r="AB50" s="14">
        <f t="shared" si="23"/>
        <v>7.0773081201334812E-2</v>
      </c>
      <c r="AC50" s="14">
        <f t="shared" si="24"/>
        <v>7.0349707443189552E-2</v>
      </c>
      <c r="AD50" s="14">
        <f t="shared" si="25"/>
        <v>5.9050240880935995E-2</v>
      </c>
      <c r="AE50" s="14">
        <f t="shared" si="26"/>
        <v>0.11373209772535804</v>
      </c>
      <c r="AF50" s="14">
        <f t="shared" si="27"/>
        <v>0.10938383267382702</v>
      </c>
      <c r="AG50" s="14">
        <f t="shared" si="28"/>
        <v>0.10988251554941257</v>
      </c>
      <c r="AH50" s="14">
        <f t="shared" si="29"/>
        <v>0.11018226668493901</v>
      </c>
      <c r="AJ50" s="11" t="s">
        <v>32</v>
      </c>
      <c r="AK50" s="14">
        <f t="shared" si="30"/>
        <v>0.13323145318143928</v>
      </c>
      <c r="AL50" s="14">
        <f t="shared" si="31"/>
        <v>0.12950842501044424</v>
      </c>
      <c r="AM50" s="14">
        <f t="shared" si="32"/>
        <v>0.11734193186597505</v>
      </c>
      <c r="AN50" s="14">
        <f t="shared" si="33"/>
        <v>0.12008645143860597</v>
      </c>
      <c r="AO50" s="14">
        <f t="shared" si="34"/>
        <v>0.10969175229103027</v>
      </c>
      <c r="AP50" s="14">
        <f t="shared" si="35"/>
        <v>0.10552624271035824</v>
      </c>
      <c r="AQ50" s="14">
        <f t="shared" si="36"/>
        <v>7.8420467185761955E-2</v>
      </c>
      <c r="AR50" s="14">
        <f t="shared" si="37"/>
        <v>6.5315008844740785E-2</v>
      </c>
      <c r="AS50" s="14">
        <f t="shared" si="38"/>
        <v>0.1231933929800413</v>
      </c>
      <c r="AT50" s="14">
        <f t="shared" si="39"/>
        <v>0.34863802302723956</v>
      </c>
      <c r="AU50" s="14">
        <f t="shared" si="40"/>
        <v>0.34496890898812888</v>
      </c>
      <c r="AV50" s="14">
        <f t="shared" si="41"/>
        <v>0.339875604699378</v>
      </c>
      <c r="AW50" s="14">
        <f t="shared" si="42"/>
        <v>0.34246950801699327</v>
      </c>
    </row>
    <row r="51" spans="6:49">
      <c r="F51" s="3" t="s">
        <v>33</v>
      </c>
      <c r="G51" s="13">
        <f t="shared" si="4"/>
        <v>0.13022113022113022</v>
      </c>
      <c r="H51" s="13">
        <f t="shared" si="5"/>
        <v>0.35652173913043478</v>
      </c>
      <c r="I51" s="13">
        <f t="shared" si="6"/>
        <v>0.35650224215246634</v>
      </c>
      <c r="J51" s="13">
        <f t="shared" si="7"/>
        <v>0.3619047619047619</v>
      </c>
      <c r="K51" s="13">
        <f t="shared" si="8"/>
        <v>0.36496350364963503</v>
      </c>
      <c r="L51" s="13">
        <f t="shared" si="9"/>
        <v>0.39908256880733944</v>
      </c>
      <c r="M51" s="13">
        <f t="shared" si="10"/>
        <v>0.31533477321814257</v>
      </c>
      <c r="N51" s="13">
        <f t="shared" si="11"/>
        <v>0.28205128205128205</v>
      </c>
      <c r="O51" s="13">
        <f t="shared" si="12"/>
        <v>0.27981651376146788</v>
      </c>
      <c r="P51" s="13">
        <f t="shared" si="13"/>
        <v>0.23503325942350334</v>
      </c>
      <c r="Q51" s="13">
        <f t="shared" si="14"/>
        <v>0.19431279620853081</v>
      </c>
      <c r="R51" s="13">
        <f t="shared" si="15"/>
        <v>0.24129930394431554</v>
      </c>
      <c r="S51" s="13">
        <f t="shared" si="16"/>
        <v>0.27069351230425054</v>
      </c>
      <c r="U51" s="11" t="s">
        <v>33</v>
      </c>
      <c r="V51" s="14">
        <f t="shared" si="17"/>
        <v>0.8255528255528255</v>
      </c>
      <c r="W51" s="14">
        <f t="shared" si="18"/>
        <v>0.58478260869565213</v>
      </c>
      <c r="X51" s="14">
        <f t="shared" si="19"/>
        <v>0.61434977578475336</v>
      </c>
      <c r="Y51" s="14">
        <f t="shared" si="20"/>
        <v>0.60238095238095235</v>
      </c>
      <c r="Z51" s="14">
        <f t="shared" si="21"/>
        <v>0.6009732360097324</v>
      </c>
      <c r="AA51" s="14">
        <f t="shared" si="22"/>
        <v>0.57568807339449546</v>
      </c>
      <c r="AB51" s="14">
        <f t="shared" si="23"/>
        <v>0.61339092872570189</v>
      </c>
      <c r="AC51" s="14">
        <f t="shared" si="24"/>
        <v>0.67132867132867136</v>
      </c>
      <c r="AD51" s="14">
        <f t="shared" si="25"/>
        <v>0.66743119266055051</v>
      </c>
      <c r="AE51" s="14">
        <f t="shared" si="26"/>
        <v>0.73392461197339243</v>
      </c>
      <c r="AF51" s="14">
        <f t="shared" si="27"/>
        <v>0.76303317535545023</v>
      </c>
      <c r="AG51" s="14">
        <f t="shared" si="28"/>
        <v>0.71229698375870065</v>
      </c>
      <c r="AH51" s="14">
        <f t="shared" si="29"/>
        <v>0.67337807606263977</v>
      </c>
      <c r="AJ51" s="11" t="s">
        <v>33</v>
      </c>
      <c r="AK51" s="14">
        <f t="shared" si="30"/>
        <v>4.4226044226044224E-2</v>
      </c>
      <c r="AL51" s="14">
        <f t="shared" si="31"/>
        <v>5.8695652173913045E-2</v>
      </c>
      <c r="AM51" s="14">
        <f t="shared" si="32"/>
        <v>2.914798206278027E-2</v>
      </c>
      <c r="AN51" s="14">
        <f t="shared" si="33"/>
        <v>3.5714285714285712E-2</v>
      </c>
      <c r="AO51" s="14">
        <f t="shared" si="34"/>
        <v>3.4063260340632603E-2</v>
      </c>
      <c r="AP51" s="14">
        <f t="shared" si="35"/>
        <v>2.5229357798165139E-2</v>
      </c>
      <c r="AQ51" s="14">
        <f t="shared" si="36"/>
        <v>7.1274298056155511E-2</v>
      </c>
      <c r="AR51" s="14">
        <f t="shared" si="37"/>
        <v>4.6620046620046623E-2</v>
      </c>
      <c r="AS51" s="14">
        <f t="shared" si="38"/>
        <v>5.2752293577981654E-2</v>
      </c>
      <c r="AT51" s="14">
        <f t="shared" si="39"/>
        <v>3.1042128603104215E-2</v>
      </c>
      <c r="AU51" s="14">
        <f t="shared" si="40"/>
        <v>4.2654028436018961E-2</v>
      </c>
      <c r="AV51" s="14">
        <f t="shared" si="41"/>
        <v>4.6403712296983757E-2</v>
      </c>
      <c r="AW51" s="14">
        <f t="shared" si="42"/>
        <v>5.5928411633109618E-2</v>
      </c>
    </row>
    <row r="52" spans="6:49">
      <c r="F52" s="3" t="s">
        <v>34</v>
      </c>
      <c r="G52" s="13">
        <f t="shared" si="4"/>
        <v>0.17206703910614526</v>
      </c>
      <c r="H52" s="13">
        <f t="shared" si="5"/>
        <v>0.34069767441860466</v>
      </c>
      <c r="I52" s="13">
        <f t="shared" si="6"/>
        <v>0.28955532574974147</v>
      </c>
      <c r="J52" s="13">
        <f t="shared" si="7"/>
        <v>0.30626927029804729</v>
      </c>
      <c r="K52" s="13">
        <f t="shared" si="8"/>
        <v>0.32017543859649122</v>
      </c>
      <c r="L52" s="13">
        <f t="shared" si="9"/>
        <v>0.30893433799784714</v>
      </c>
      <c r="M52" s="13">
        <f t="shared" si="10"/>
        <v>0.31290322580645163</v>
      </c>
      <c r="N52" s="13">
        <f t="shared" si="11"/>
        <v>0.25991189427312777</v>
      </c>
      <c r="O52" s="13">
        <f t="shared" si="12"/>
        <v>0.26431718061674009</v>
      </c>
      <c r="P52" s="13">
        <f t="shared" si="13"/>
        <v>0.22100656455142231</v>
      </c>
      <c r="Q52" s="13">
        <f t="shared" si="14"/>
        <v>0.22895622895622897</v>
      </c>
      <c r="R52" s="13">
        <f t="shared" si="15"/>
        <v>0.22346938775510203</v>
      </c>
      <c r="S52" s="13">
        <f t="shared" si="16"/>
        <v>0.23177366702937977</v>
      </c>
      <c r="U52" s="11" t="s">
        <v>34</v>
      </c>
      <c r="V52" s="14">
        <f t="shared" si="17"/>
        <v>0.78882681564245805</v>
      </c>
      <c r="W52" s="14">
        <f t="shared" si="18"/>
        <v>0.61627906976744184</v>
      </c>
      <c r="X52" s="14">
        <f t="shared" si="19"/>
        <v>0.67218200620475699</v>
      </c>
      <c r="Y52" s="14">
        <f t="shared" si="20"/>
        <v>0.66598150051387461</v>
      </c>
      <c r="Z52" s="14">
        <f t="shared" si="21"/>
        <v>0.64254385964912286</v>
      </c>
      <c r="AA52" s="14">
        <f t="shared" si="22"/>
        <v>0.65016146393972007</v>
      </c>
      <c r="AB52" s="14">
        <f t="shared" si="23"/>
        <v>0.6387096774193548</v>
      </c>
      <c r="AC52" s="14">
        <f t="shared" si="24"/>
        <v>0.67731277533039647</v>
      </c>
      <c r="AD52" s="14">
        <f t="shared" si="25"/>
        <v>0.68612334801762109</v>
      </c>
      <c r="AE52" s="14">
        <f t="shared" si="26"/>
        <v>0.73960612691466088</v>
      </c>
      <c r="AF52" s="14">
        <f t="shared" si="27"/>
        <v>0.71043771043771042</v>
      </c>
      <c r="AG52" s="14">
        <f t="shared" si="28"/>
        <v>0.71938775510204078</v>
      </c>
      <c r="AH52" s="14">
        <f t="shared" si="29"/>
        <v>0.70729053318824808</v>
      </c>
      <c r="AJ52" s="11" t="s">
        <v>34</v>
      </c>
      <c r="AK52" s="14">
        <f t="shared" si="30"/>
        <v>3.9106145251396648E-2</v>
      </c>
      <c r="AL52" s="14">
        <f t="shared" si="31"/>
        <v>4.3023255813953491E-2</v>
      </c>
      <c r="AM52" s="14">
        <f t="shared" si="32"/>
        <v>3.8262668045501554E-2</v>
      </c>
      <c r="AN52" s="14">
        <f t="shared" si="33"/>
        <v>2.7749229188078109E-2</v>
      </c>
      <c r="AO52" s="14">
        <f t="shared" si="34"/>
        <v>3.7280701754385963E-2</v>
      </c>
      <c r="AP52" s="14">
        <f t="shared" si="35"/>
        <v>4.0904198062432721E-2</v>
      </c>
      <c r="AQ52" s="14">
        <f t="shared" si="36"/>
        <v>4.8387096774193547E-2</v>
      </c>
      <c r="AR52" s="14">
        <f t="shared" si="37"/>
        <v>6.2775330396475773E-2</v>
      </c>
      <c r="AS52" s="14">
        <f t="shared" si="38"/>
        <v>4.9559471365638763E-2</v>
      </c>
      <c r="AT52" s="14">
        <f t="shared" si="39"/>
        <v>3.9387308533916851E-2</v>
      </c>
      <c r="AU52" s="14">
        <f t="shared" si="40"/>
        <v>6.0606060606060608E-2</v>
      </c>
      <c r="AV52" s="14">
        <f t="shared" si="41"/>
        <v>5.7142857142857141E-2</v>
      </c>
      <c r="AW52" s="14">
        <f t="shared" si="42"/>
        <v>6.0935799782372145E-2</v>
      </c>
    </row>
    <row r="53" spans="6:49">
      <c r="F53" s="3" t="s">
        <v>35</v>
      </c>
      <c r="G53" s="13">
        <f t="shared" si="4"/>
        <v>9.9671412924424968E-2</v>
      </c>
      <c r="H53" s="13">
        <f t="shared" si="5"/>
        <v>0.33298097251585623</v>
      </c>
      <c r="I53" s="13">
        <f t="shared" si="6"/>
        <v>0.36835891381345925</v>
      </c>
      <c r="J53" s="13">
        <f t="shared" si="7"/>
        <v>0.41597510373443985</v>
      </c>
      <c r="K53" s="13">
        <f t="shared" si="8"/>
        <v>0.40155728587319245</v>
      </c>
      <c r="L53" s="13">
        <f t="shared" si="9"/>
        <v>0.43799772468714449</v>
      </c>
      <c r="M53" s="13">
        <f t="shared" si="10"/>
        <v>0.27323008849557523</v>
      </c>
      <c r="N53" s="13">
        <f t="shared" si="11"/>
        <v>0.24223602484472051</v>
      </c>
      <c r="O53" s="13">
        <f t="shared" si="12"/>
        <v>0.19957983193277312</v>
      </c>
      <c r="P53" s="13">
        <f t="shared" si="13"/>
        <v>0.23967889908256881</v>
      </c>
      <c r="Q53" s="13">
        <f t="shared" si="14"/>
        <v>0.20129171151776104</v>
      </c>
      <c r="R53" s="13">
        <f t="shared" si="15"/>
        <v>0.2161874334398296</v>
      </c>
      <c r="S53" s="13">
        <f t="shared" si="16"/>
        <v>0.17841409691629956</v>
      </c>
      <c r="U53" s="11" t="s">
        <v>35</v>
      </c>
      <c r="V53" s="14">
        <f t="shared" si="17"/>
        <v>0.90032858707557506</v>
      </c>
      <c r="W53" s="14">
        <f t="shared" si="18"/>
        <v>0.66701902748414377</v>
      </c>
      <c r="X53" s="14">
        <f t="shared" si="19"/>
        <v>0.63164108618654069</v>
      </c>
      <c r="Y53" s="14">
        <f t="shared" si="20"/>
        <v>0.5840248962655602</v>
      </c>
      <c r="Z53" s="14">
        <f t="shared" si="21"/>
        <v>0.59844271412680761</v>
      </c>
      <c r="AA53" s="14">
        <f t="shared" si="22"/>
        <v>0.56200227531285551</v>
      </c>
      <c r="AB53" s="14">
        <f t="shared" si="23"/>
        <v>0.72676991150442483</v>
      </c>
      <c r="AC53" s="14">
        <f t="shared" si="24"/>
        <v>0.75776397515527949</v>
      </c>
      <c r="AD53" s="14">
        <f t="shared" si="25"/>
        <v>0.80042016806722693</v>
      </c>
      <c r="AE53" s="14">
        <f t="shared" si="26"/>
        <v>0.76032110091743121</v>
      </c>
      <c r="AF53" s="14">
        <f t="shared" si="27"/>
        <v>0.79870828848223896</v>
      </c>
      <c r="AG53" s="14">
        <f t="shared" si="28"/>
        <v>0.7838125665601704</v>
      </c>
      <c r="AH53" s="14">
        <f t="shared" si="29"/>
        <v>0.82158590308370039</v>
      </c>
      <c r="AJ53" s="11" t="s">
        <v>35</v>
      </c>
      <c r="AK53" s="14">
        <f t="shared" si="30"/>
        <v>0</v>
      </c>
      <c r="AL53" s="14">
        <f t="shared" si="31"/>
        <v>0</v>
      </c>
      <c r="AM53" s="14">
        <f t="shared" si="32"/>
        <v>0</v>
      </c>
      <c r="AN53" s="14">
        <f t="shared" si="33"/>
        <v>0</v>
      </c>
      <c r="AO53" s="14">
        <f t="shared" si="34"/>
        <v>0</v>
      </c>
      <c r="AP53" s="14">
        <f t="shared" si="35"/>
        <v>0</v>
      </c>
      <c r="AQ53" s="14">
        <f t="shared" si="36"/>
        <v>0</v>
      </c>
      <c r="AR53" s="14">
        <f t="shared" si="37"/>
        <v>0</v>
      </c>
      <c r="AS53" s="14">
        <f t="shared" si="38"/>
        <v>0</v>
      </c>
      <c r="AT53" s="14">
        <f t="shared" si="39"/>
        <v>0</v>
      </c>
      <c r="AU53" s="14">
        <f t="shared" si="40"/>
        <v>0</v>
      </c>
      <c r="AV53" s="14">
        <f t="shared" si="41"/>
        <v>0</v>
      </c>
      <c r="AW53" s="14">
        <f t="shared" si="42"/>
        <v>0</v>
      </c>
    </row>
    <row r="54" spans="6:49">
      <c r="F54" s="3" t="s">
        <v>36</v>
      </c>
      <c r="G54" s="13">
        <f t="shared" si="4"/>
        <v>0.11247216035634744</v>
      </c>
      <c r="H54" s="13">
        <f t="shared" si="5"/>
        <v>0.36218678815489752</v>
      </c>
      <c r="I54" s="13">
        <f t="shared" si="6"/>
        <v>0.37674418604651161</v>
      </c>
      <c r="J54" s="13">
        <f t="shared" si="7"/>
        <v>0.40133037694013302</v>
      </c>
      <c r="K54" s="13">
        <f t="shared" si="8"/>
        <v>0.41804180418041803</v>
      </c>
      <c r="L54" s="13">
        <f t="shared" si="9"/>
        <v>0.45016797312430012</v>
      </c>
      <c r="M54" s="13">
        <f t="shared" si="10"/>
        <v>0.27373068432671083</v>
      </c>
      <c r="N54" s="13">
        <f t="shared" si="11"/>
        <v>0.25759280089988751</v>
      </c>
      <c r="O54" s="13">
        <f t="shared" si="12"/>
        <v>0.21932681867535286</v>
      </c>
      <c r="P54" s="13">
        <f t="shared" si="13"/>
        <v>0.22553191489361701</v>
      </c>
      <c r="Q54" s="13">
        <f t="shared" si="14"/>
        <v>0.21475770925110133</v>
      </c>
      <c r="R54" s="13">
        <f t="shared" si="15"/>
        <v>0.22448979591836735</v>
      </c>
      <c r="S54" s="13">
        <f t="shared" si="16"/>
        <v>0.20361990950226244</v>
      </c>
      <c r="U54" s="11" t="s">
        <v>36</v>
      </c>
      <c r="V54" s="14">
        <f t="shared" si="17"/>
        <v>0.88752783964365256</v>
      </c>
      <c r="W54" s="14">
        <f t="shared" si="18"/>
        <v>0.63781321184510253</v>
      </c>
      <c r="X54" s="14">
        <f t="shared" si="19"/>
        <v>0.62325581395348839</v>
      </c>
      <c r="Y54" s="14">
        <f t="shared" si="20"/>
        <v>0.59866962305986693</v>
      </c>
      <c r="Z54" s="14">
        <f t="shared" si="21"/>
        <v>0.58195819581958197</v>
      </c>
      <c r="AA54" s="14">
        <f t="shared" si="22"/>
        <v>0.54983202687569988</v>
      </c>
      <c r="AB54" s="14">
        <f t="shared" si="23"/>
        <v>0.72626931567328923</v>
      </c>
      <c r="AC54" s="14">
        <f t="shared" si="24"/>
        <v>0.74240719910011244</v>
      </c>
      <c r="AD54" s="14">
        <f t="shared" si="25"/>
        <v>0.78067318132464714</v>
      </c>
      <c r="AE54" s="14">
        <f t="shared" si="26"/>
        <v>0.77446808510638299</v>
      </c>
      <c r="AF54" s="14">
        <f t="shared" si="27"/>
        <v>0.78524229074889873</v>
      </c>
      <c r="AG54" s="14">
        <f t="shared" si="28"/>
        <v>0.77551020408163263</v>
      </c>
      <c r="AH54" s="14">
        <f t="shared" si="29"/>
        <v>0.7963800904977375</v>
      </c>
      <c r="AJ54" s="11" t="s">
        <v>36</v>
      </c>
      <c r="AK54" s="14">
        <f t="shared" si="30"/>
        <v>0</v>
      </c>
      <c r="AL54" s="14">
        <f t="shared" si="31"/>
        <v>0</v>
      </c>
      <c r="AM54" s="14">
        <f t="shared" si="32"/>
        <v>0</v>
      </c>
      <c r="AN54" s="14">
        <f t="shared" si="33"/>
        <v>0</v>
      </c>
      <c r="AO54" s="14">
        <f t="shared" si="34"/>
        <v>0</v>
      </c>
      <c r="AP54" s="14">
        <f t="shared" si="35"/>
        <v>0</v>
      </c>
      <c r="AQ54" s="14">
        <f t="shared" si="36"/>
        <v>0</v>
      </c>
      <c r="AR54" s="14">
        <f t="shared" si="37"/>
        <v>0</v>
      </c>
      <c r="AS54" s="14">
        <f t="shared" si="38"/>
        <v>0</v>
      </c>
      <c r="AT54" s="14">
        <f t="shared" si="39"/>
        <v>0</v>
      </c>
      <c r="AU54" s="14">
        <f t="shared" si="40"/>
        <v>0</v>
      </c>
      <c r="AV54" s="14">
        <f t="shared" si="41"/>
        <v>0</v>
      </c>
      <c r="AW54" s="14">
        <f t="shared" si="42"/>
        <v>0</v>
      </c>
    </row>
    <row r="55" spans="6:49">
      <c r="F55" s="3" t="s">
        <v>37</v>
      </c>
      <c r="G55" s="13">
        <f t="shared" si="4"/>
        <v>0.13475177304964539</v>
      </c>
      <c r="H55" s="13">
        <f t="shared" si="5"/>
        <v>0.3359639233370913</v>
      </c>
      <c r="I55" s="13">
        <f t="shared" si="6"/>
        <v>0.38771399798590128</v>
      </c>
      <c r="J55" s="13">
        <f t="shared" si="7"/>
        <v>0.39733059548254618</v>
      </c>
      <c r="K55" s="13">
        <f t="shared" si="8"/>
        <v>0.41849710982658961</v>
      </c>
      <c r="L55" s="13">
        <f t="shared" si="9"/>
        <v>0.43807339449541283</v>
      </c>
      <c r="M55" s="13">
        <f t="shared" si="10"/>
        <v>0.27058823529411763</v>
      </c>
      <c r="N55" s="13">
        <f t="shared" si="11"/>
        <v>0.2508108108108108</v>
      </c>
      <c r="O55" s="13">
        <f t="shared" si="12"/>
        <v>0.24861878453038674</v>
      </c>
      <c r="P55" s="13">
        <f t="shared" si="13"/>
        <v>0.19978165938864628</v>
      </c>
      <c r="Q55" s="13">
        <f t="shared" si="14"/>
        <v>0.19292237442922375</v>
      </c>
      <c r="R55" s="13">
        <f t="shared" si="15"/>
        <v>0.22257383966244726</v>
      </c>
      <c r="S55" s="13">
        <f t="shared" si="16"/>
        <v>0.21499448732083792</v>
      </c>
      <c r="U55" s="11" t="s">
        <v>37</v>
      </c>
      <c r="V55" s="14">
        <f t="shared" si="17"/>
        <v>0.86524822695035464</v>
      </c>
      <c r="W55" s="14">
        <f t="shared" si="18"/>
        <v>0.66403607666290865</v>
      </c>
      <c r="X55" s="14">
        <f t="shared" si="19"/>
        <v>0.61228600201409866</v>
      </c>
      <c r="Y55" s="14">
        <f t="shared" si="20"/>
        <v>0.60266940451745377</v>
      </c>
      <c r="Z55" s="14">
        <f t="shared" si="21"/>
        <v>0.58150289017341039</v>
      </c>
      <c r="AA55" s="14">
        <f t="shared" si="22"/>
        <v>0.56192660550458717</v>
      </c>
      <c r="AB55" s="14">
        <f t="shared" si="23"/>
        <v>0.72941176470588232</v>
      </c>
      <c r="AC55" s="14">
        <f t="shared" si="24"/>
        <v>0.7491891891891892</v>
      </c>
      <c r="AD55" s="14">
        <f t="shared" si="25"/>
        <v>0.75138121546961323</v>
      </c>
      <c r="AE55" s="14">
        <f t="shared" si="26"/>
        <v>0.80021834061135366</v>
      </c>
      <c r="AF55" s="14">
        <f t="shared" si="27"/>
        <v>0.80707762557077622</v>
      </c>
      <c r="AG55" s="14">
        <f t="shared" si="28"/>
        <v>0.77742616033755274</v>
      </c>
      <c r="AH55" s="14">
        <f t="shared" si="29"/>
        <v>0.78500551267916208</v>
      </c>
      <c r="AJ55" s="11" t="s">
        <v>37</v>
      </c>
      <c r="AK55" s="14">
        <f t="shared" si="30"/>
        <v>0</v>
      </c>
      <c r="AL55" s="14">
        <f t="shared" si="31"/>
        <v>0</v>
      </c>
      <c r="AM55" s="14">
        <f t="shared" si="32"/>
        <v>0</v>
      </c>
      <c r="AN55" s="14">
        <f t="shared" si="33"/>
        <v>0</v>
      </c>
      <c r="AO55" s="14">
        <f t="shared" si="34"/>
        <v>0</v>
      </c>
      <c r="AP55" s="14">
        <f t="shared" si="35"/>
        <v>0</v>
      </c>
      <c r="AQ55" s="14">
        <f t="shared" si="36"/>
        <v>0</v>
      </c>
      <c r="AR55" s="14">
        <f t="shared" si="37"/>
        <v>0</v>
      </c>
      <c r="AS55" s="14">
        <f t="shared" si="38"/>
        <v>0</v>
      </c>
      <c r="AT55" s="14">
        <f t="shared" si="39"/>
        <v>0</v>
      </c>
      <c r="AU55" s="14">
        <f t="shared" si="40"/>
        <v>0</v>
      </c>
      <c r="AV55" s="14">
        <f t="shared" si="41"/>
        <v>0</v>
      </c>
      <c r="AW55" s="14">
        <f t="shared" si="42"/>
        <v>0</v>
      </c>
    </row>
    <row r="56" spans="6:49">
      <c r="F56" s="3" t="s">
        <v>38</v>
      </c>
      <c r="G56" s="13">
        <f t="shared" si="4"/>
        <v>0.11301369863013698</v>
      </c>
      <c r="H56" s="13">
        <f t="shared" si="5"/>
        <v>0.32655246252676662</v>
      </c>
      <c r="I56" s="13">
        <f t="shared" si="6"/>
        <v>0.38839285714285715</v>
      </c>
      <c r="J56" s="13">
        <f t="shared" si="7"/>
        <v>0.40526315789473683</v>
      </c>
      <c r="K56" s="13">
        <f t="shared" si="8"/>
        <v>0.44554455445544555</v>
      </c>
      <c r="L56" s="13">
        <f t="shared" si="9"/>
        <v>0.41638608305274971</v>
      </c>
      <c r="M56" s="13">
        <f t="shared" si="10"/>
        <v>0.26019845644983464</v>
      </c>
      <c r="N56" s="13">
        <f t="shared" si="11"/>
        <v>0.2481827622014538</v>
      </c>
      <c r="O56" s="13">
        <f t="shared" si="12"/>
        <v>0.25961538461538464</v>
      </c>
      <c r="P56" s="13">
        <f t="shared" si="13"/>
        <v>0.20641711229946524</v>
      </c>
      <c r="Q56" s="13">
        <f t="shared" si="14"/>
        <v>0.22440087145969498</v>
      </c>
      <c r="R56" s="13">
        <f t="shared" si="15"/>
        <v>0.18783351120597652</v>
      </c>
      <c r="S56" s="13">
        <f t="shared" si="16"/>
        <v>0.20746432491767289</v>
      </c>
      <c r="U56" s="11" t="s">
        <v>38</v>
      </c>
      <c r="V56" s="14">
        <f t="shared" si="17"/>
        <v>0.73972602739726023</v>
      </c>
      <c r="W56" s="14">
        <f t="shared" si="18"/>
        <v>0.52890792291220556</v>
      </c>
      <c r="X56" s="14">
        <f t="shared" si="19"/>
        <v>0.47767857142857145</v>
      </c>
      <c r="Y56" s="14">
        <f t="shared" si="20"/>
        <v>0.47052631578947368</v>
      </c>
      <c r="Z56" s="14">
        <f t="shared" si="21"/>
        <v>0.42134213421342132</v>
      </c>
      <c r="AA56" s="14">
        <f t="shared" si="22"/>
        <v>0.38945005611672279</v>
      </c>
      <c r="AB56" s="14">
        <f t="shared" si="23"/>
        <v>0.36383682469680262</v>
      </c>
      <c r="AC56" s="14">
        <f t="shared" si="24"/>
        <v>0.61889927310488058</v>
      </c>
      <c r="AD56" s="14">
        <f t="shared" si="25"/>
        <v>0.62713675213675213</v>
      </c>
      <c r="AE56" s="14">
        <f t="shared" si="26"/>
        <v>0.6855614973262032</v>
      </c>
      <c r="AF56" s="14">
        <f t="shared" si="27"/>
        <v>0.66339869281045749</v>
      </c>
      <c r="AG56" s="14">
        <f t="shared" si="28"/>
        <v>0.68623265741728923</v>
      </c>
      <c r="AH56" s="14">
        <f t="shared" si="29"/>
        <v>0.68166849615806802</v>
      </c>
      <c r="AJ56" s="11" t="s">
        <v>38</v>
      </c>
      <c r="AK56" s="14">
        <f t="shared" si="30"/>
        <v>0.14726027397260275</v>
      </c>
      <c r="AL56" s="14">
        <f t="shared" si="31"/>
        <v>0.14453961456102785</v>
      </c>
      <c r="AM56" s="14">
        <f t="shared" si="32"/>
        <v>0.13392857142857142</v>
      </c>
      <c r="AN56" s="14">
        <f t="shared" si="33"/>
        <v>0.12421052631578948</v>
      </c>
      <c r="AO56" s="14">
        <f t="shared" si="34"/>
        <v>0.13311331133113311</v>
      </c>
      <c r="AP56" s="14">
        <f t="shared" si="35"/>
        <v>0.1941638608305275</v>
      </c>
      <c r="AQ56" s="14">
        <f t="shared" si="36"/>
        <v>0.37596471885336274</v>
      </c>
      <c r="AR56" s="14">
        <f t="shared" si="37"/>
        <v>0.13291796469366562</v>
      </c>
      <c r="AS56" s="14">
        <f t="shared" si="38"/>
        <v>0.11324786324786325</v>
      </c>
      <c r="AT56" s="14">
        <f t="shared" si="39"/>
        <v>0.10802139037433155</v>
      </c>
      <c r="AU56" s="14">
        <f t="shared" si="40"/>
        <v>0.11220043572984749</v>
      </c>
      <c r="AV56" s="14">
        <f t="shared" si="41"/>
        <v>0.12593383137673425</v>
      </c>
      <c r="AW56" s="14">
        <f t="shared" si="42"/>
        <v>0.11086717892425905</v>
      </c>
    </row>
    <row r="57" spans="6:49">
      <c r="F57" s="3" t="s">
        <v>39</v>
      </c>
      <c r="G57" s="13">
        <f t="shared" si="4"/>
        <v>0.23529411764705882</v>
      </c>
      <c r="H57" s="13">
        <f t="shared" si="5"/>
        <v>0.47105561861521</v>
      </c>
      <c r="I57" s="13">
        <f t="shared" si="6"/>
        <v>0.51323360184119682</v>
      </c>
      <c r="J57" s="13">
        <f t="shared" si="7"/>
        <v>0.53784403669724767</v>
      </c>
      <c r="K57" s="13">
        <f t="shared" si="8"/>
        <v>0.55824682814302196</v>
      </c>
      <c r="L57" s="13">
        <f t="shared" si="9"/>
        <v>0.58193277310924374</v>
      </c>
      <c r="M57" s="13">
        <f t="shared" si="10"/>
        <v>0.6284501061571125</v>
      </c>
      <c r="N57" s="13">
        <f t="shared" si="11"/>
        <v>0.35986913849509267</v>
      </c>
      <c r="O57" s="13">
        <f t="shared" si="12"/>
        <v>0.35311871227364183</v>
      </c>
      <c r="P57" s="13">
        <f t="shared" si="13"/>
        <v>0.3402173913043478</v>
      </c>
      <c r="Q57" s="13">
        <f t="shared" si="14"/>
        <v>0.34594594594594597</v>
      </c>
      <c r="R57" s="13">
        <f t="shared" si="15"/>
        <v>0.32685714285714285</v>
      </c>
      <c r="S57" s="13">
        <f t="shared" si="16"/>
        <v>0.30069124423963134</v>
      </c>
      <c r="U57" s="11" t="s">
        <v>39</v>
      </c>
      <c r="V57" s="14">
        <f t="shared" si="17"/>
        <v>0.65411764705882358</v>
      </c>
      <c r="W57" s="14">
        <f t="shared" si="18"/>
        <v>0.37570942111237232</v>
      </c>
      <c r="X57" s="14">
        <f t="shared" si="19"/>
        <v>0.36708860759493672</v>
      </c>
      <c r="Y57" s="14">
        <f t="shared" si="20"/>
        <v>0.33486238532110091</v>
      </c>
      <c r="Z57" s="14">
        <f t="shared" si="21"/>
        <v>0.31372549019607843</v>
      </c>
      <c r="AA57" s="14">
        <f t="shared" si="22"/>
        <v>0.31302521008403361</v>
      </c>
      <c r="AB57" s="14">
        <f t="shared" si="23"/>
        <v>0.24309978768577495</v>
      </c>
      <c r="AC57" s="14">
        <f t="shared" si="24"/>
        <v>0.25190839694656486</v>
      </c>
      <c r="AD57" s="14">
        <f t="shared" si="25"/>
        <v>0.5140845070422535</v>
      </c>
      <c r="AE57" s="14">
        <f t="shared" si="26"/>
        <v>0.54130434782608694</v>
      </c>
      <c r="AF57" s="14">
        <f t="shared" si="27"/>
        <v>0.56432432432432433</v>
      </c>
      <c r="AG57" s="14">
        <f t="shared" si="28"/>
        <v>0.57257142857142862</v>
      </c>
      <c r="AH57" s="14">
        <f t="shared" si="29"/>
        <v>0.57488479262672809</v>
      </c>
      <c r="AJ57" s="11" t="s">
        <v>39</v>
      </c>
      <c r="AK57" s="14">
        <f t="shared" si="30"/>
        <v>0.11058823529411765</v>
      </c>
      <c r="AL57" s="14">
        <f t="shared" si="31"/>
        <v>0.1532349602724177</v>
      </c>
      <c r="AM57" s="14">
        <f t="shared" si="32"/>
        <v>0.11967779056386652</v>
      </c>
      <c r="AN57" s="14">
        <f t="shared" si="33"/>
        <v>0.12729357798165136</v>
      </c>
      <c r="AO57" s="14">
        <f t="shared" si="34"/>
        <v>0.12802768166089964</v>
      </c>
      <c r="AP57" s="14">
        <f t="shared" si="35"/>
        <v>0.10504201680672269</v>
      </c>
      <c r="AQ57" s="14">
        <f t="shared" si="36"/>
        <v>0.12845010615711253</v>
      </c>
      <c r="AR57" s="14">
        <f t="shared" si="37"/>
        <v>0.38822246455834242</v>
      </c>
      <c r="AS57" s="14">
        <f t="shared" si="38"/>
        <v>0.13279678068410464</v>
      </c>
      <c r="AT57" s="14">
        <f t="shared" si="39"/>
        <v>0.11847826086956521</v>
      </c>
      <c r="AU57" s="14">
        <f t="shared" si="40"/>
        <v>8.9729729729729729E-2</v>
      </c>
      <c r="AV57" s="14">
        <f t="shared" si="41"/>
        <v>0.10057142857142858</v>
      </c>
      <c r="AW57" s="14">
        <f t="shared" si="42"/>
        <v>0.12442396313364056</v>
      </c>
    </row>
    <row r="58" spans="6:49">
      <c r="F58" s="3" t="s">
        <v>40</v>
      </c>
      <c r="G58" s="13">
        <f t="shared" si="4"/>
        <v>0.41142191142191142</v>
      </c>
      <c r="H58" s="13">
        <f t="shared" si="5"/>
        <v>0.64393939393939392</v>
      </c>
      <c r="I58" s="13">
        <f t="shared" si="6"/>
        <v>0.6366594360086768</v>
      </c>
      <c r="J58" s="13">
        <f t="shared" si="7"/>
        <v>0.65609007164790178</v>
      </c>
      <c r="K58" s="13">
        <f t="shared" si="8"/>
        <v>0.66943866943866948</v>
      </c>
      <c r="L58" s="13">
        <f t="shared" si="9"/>
        <v>0.68231441048034935</v>
      </c>
      <c r="M58" s="13">
        <f t="shared" si="10"/>
        <v>0.77626050420168069</v>
      </c>
      <c r="N58" s="13">
        <f t="shared" si="11"/>
        <v>0.72514619883040932</v>
      </c>
      <c r="O58" s="13">
        <f t="shared" si="12"/>
        <v>0.4826086956521739</v>
      </c>
      <c r="P58" s="13">
        <f t="shared" si="13"/>
        <v>0.43291995490417134</v>
      </c>
      <c r="Q58" s="13">
        <f t="shared" si="14"/>
        <v>0.46760259179265656</v>
      </c>
      <c r="R58" s="13">
        <f t="shared" si="15"/>
        <v>0.46516613076098606</v>
      </c>
      <c r="S58" s="13">
        <f t="shared" si="16"/>
        <v>0.44456404736275568</v>
      </c>
      <c r="U58" s="11" t="s">
        <v>40</v>
      </c>
      <c r="V58" s="14">
        <f t="shared" si="17"/>
        <v>0.49067599067599066</v>
      </c>
      <c r="W58" s="14">
        <f t="shared" si="18"/>
        <v>0.22943722943722944</v>
      </c>
      <c r="X58" s="14">
        <f t="shared" si="19"/>
        <v>0.22776572668112799</v>
      </c>
      <c r="Y58" s="14">
        <f t="shared" si="20"/>
        <v>0.21392016376663256</v>
      </c>
      <c r="Z58" s="14">
        <f t="shared" si="21"/>
        <v>0.21517671517671519</v>
      </c>
      <c r="AA58" s="14">
        <f t="shared" si="22"/>
        <v>0.21506550218340612</v>
      </c>
      <c r="AB58" s="14">
        <f t="shared" si="23"/>
        <v>0.13865546218487396</v>
      </c>
      <c r="AC58" s="14">
        <f t="shared" si="24"/>
        <v>0.14736842105263157</v>
      </c>
      <c r="AD58" s="14">
        <f t="shared" si="25"/>
        <v>0.18478260869565216</v>
      </c>
      <c r="AE58" s="14">
        <f t="shared" si="26"/>
        <v>0.44306651634723787</v>
      </c>
      <c r="AF58" s="14">
        <f t="shared" si="27"/>
        <v>0.42764578833693306</v>
      </c>
      <c r="AG58" s="14">
        <f t="shared" si="28"/>
        <v>0.41693461950696675</v>
      </c>
      <c r="AH58" s="14">
        <f t="shared" si="29"/>
        <v>0.44025834230355221</v>
      </c>
      <c r="AJ58" s="11" t="s">
        <v>40</v>
      </c>
      <c r="AK58" s="14">
        <f t="shared" si="30"/>
        <v>9.7902097902097904E-2</v>
      </c>
      <c r="AL58" s="14">
        <f t="shared" si="31"/>
        <v>0.12662337662337661</v>
      </c>
      <c r="AM58" s="14">
        <f t="shared" si="32"/>
        <v>0.13557483731019523</v>
      </c>
      <c r="AN58" s="14">
        <f t="shared" si="33"/>
        <v>0.12998976458546571</v>
      </c>
      <c r="AO58" s="14">
        <f t="shared" si="34"/>
        <v>0.11538461538461539</v>
      </c>
      <c r="AP58" s="14">
        <f t="shared" si="35"/>
        <v>0.10262008733624454</v>
      </c>
      <c r="AQ58" s="14">
        <f t="shared" si="36"/>
        <v>8.5084033613445381E-2</v>
      </c>
      <c r="AR58" s="14">
        <f t="shared" si="37"/>
        <v>0.12748538011695906</v>
      </c>
      <c r="AS58" s="14">
        <f t="shared" si="38"/>
        <v>0.33260869565217394</v>
      </c>
      <c r="AT58" s="14">
        <f t="shared" si="39"/>
        <v>0.12401352874859076</v>
      </c>
      <c r="AU58" s="14">
        <f t="shared" si="40"/>
        <v>0.10475161987041037</v>
      </c>
      <c r="AV58" s="14">
        <f t="shared" si="41"/>
        <v>0.11789924973204716</v>
      </c>
      <c r="AW58" s="14">
        <f t="shared" si="42"/>
        <v>0.11517761033369214</v>
      </c>
    </row>
    <row r="59" spans="6:49">
      <c r="F59" s="3" t="s">
        <v>41</v>
      </c>
      <c r="G59" s="13">
        <f t="shared" si="4"/>
        <v>0.51847575057736717</v>
      </c>
      <c r="H59" s="13">
        <f t="shared" si="5"/>
        <v>0.76552462526766596</v>
      </c>
      <c r="I59" s="13">
        <f t="shared" si="6"/>
        <v>0.77112299465240641</v>
      </c>
      <c r="J59" s="13">
        <f t="shared" si="7"/>
        <v>0.76872964169381108</v>
      </c>
      <c r="K59" s="13">
        <f t="shared" si="8"/>
        <v>0.78346028291621328</v>
      </c>
      <c r="L59" s="13">
        <f t="shared" si="9"/>
        <v>0.78335112059765211</v>
      </c>
      <c r="M59" s="13">
        <f t="shared" si="10"/>
        <v>0.85353003161222341</v>
      </c>
      <c r="N59" s="13">
        <f t="shared" si="11"/>
        <v>0.86177105831533474</v>
      </c>
      <c r="O59" s="13">
        <f t="shared" si="12"/>
        <v>0.81786941580756012</v>
      </c>
      <c r="P59" s="13">
        <f t="shared" si="13"/>
        <v>0.5714285714285714</v>
      </c>
      <c r="Q59" s="13">
        <f t="shared" si="14"/>
        <v>0.56885593220338981</v>
      </c>
      <c r="R59" s="13">
        <f t="shared" si="15"/>
        <v>0.56869009584664532</v>
      </c>
      <c r="S59" s="13">
        <f t="shared" si="16"/>
        <v>0.53009503695881732</v>
      </c>
      <c r="U59" s="11" t="s">
        <v>41</v>
      </c>
      <c r="V59" s="14">
        <f t="shared" si="17"/>
        <v>0.35912240184757505</v>
      </c>
      <c r="W59" s="14">
        <f t="shared" si="18"/>
        <v>0.11027837259100642</v>
      </c>
      <c r="X59" s="14">
        <f t="shared" si="19"/>
        <v>0.11550802139037433</v>
      </c>
      <c r="Y59" s="14">
        <f t="shared" si="20"/>
        <v>0.11183496199782844</v>
      </c>
      <c r="Z59" s="14">
        <f t="shared" si="21"/>
        <v>0.10337323177366703</v>
      </c>
      <c r="AA59" s="14">
        <f t="shared" si="22"/>
        <v>0.11205976520811099</v>
      </c>
      <c r="AB59" s="14">
        <f t="shared" si="23"/>
        <v>6.7439409905163325E-2</v>
      </c>
      <c r="AC59" s="14">
        <f t="shared" si="24"/>
        <v>7.0194384449244057E-2</v>
      </c>
      <c r="AD59" s="14">
        <f t="shared" si="25"/>
        <v>5.7273768613974797E-2</v>
      </c>
      <c r="AE59" s="14">
        <f t="shared" si="26"/>
        <v>0.11160714285714286</v>
      </c>
      <c r="AF59" s="14">
        <f t="shared" si="27"/>
        <v>0.12182203389830508</v>
      </c>
      <c r="AG59" s="14">
        <f t="shared" si="28"/>
        <v>9.1586794462193824E-2</v>
      </c>
      <c r="AH59" s="14">
        <f t="shared" si="29"/>
        <v>9.714889123548047E-2</v>
      </c>
      <c r="AJ59" s="11" t="s">
        <v>41</v>
      </c>
      <c r="AK59" s="14">
        <f t="shared" si="30"/>
        <v>0.12240184757505773</v>
      </c>
      <c r="AL59" s="14">
        <f t="shared" si="31"/>
        <v>0.12419700214132762</v>
      </c>
      <c r="AM59" s="14">
        <f t="shared" si="32"/>
        <v>0.11336898395721925</v>
      </c>
      <c r="AN59" s="14">
        <f t="shared" si="33"/>
        <v>0.11943539630836048</v>
      </c>
      <c r="AO59" s="14">
        <f t="shared" si="34"/>
        <v>0.11316648531011969</v>
      </c>
      <c r="AP59" s="14">
        <f t="shared" si="35"/>
        <v>0.10458911419423693</v>
      </c>
      <c r="AQ59" s="14">
        <f t="shared" si="36"/>
        <v>7.9030558482613283E-2</v>
      </c>
      <c r="AR59" s="14">
        <f t="shared" si="37"/>
        <v>6.8034557235421164E-2</v>
      </c>
      <c r="AS59" s="14">
        <f t="shared" si="38"/>
        <v>0.12485681557846506</v>
      </c>
      <c r="AT59" s="14">
        <f t="shared" si="39"/>
        <v>0.3169642857142857</v>
      </c>
      <c r="AU59" s="14">
        <f t="shared" si="40"/>
        <v>0.30932203389830509</v>
      </c>
      <c r="AV59" s="14">
        <f t="shared" si="41"/>
        <v>0.33972310969116082</v>
      </c>
      <c r="AW59" s="14">
        <f t="shared" si="42"/>
        <v>0.37275607180570219</v>
      </c>
    </row>
    <row r="60" spans="6:49">
      <c r="F60" s="3" t="s">
        <v>42</v>
      </c>
      <c r="G60" s="13">
        <f t="shared" si="4"/>
        <v>0.69386622259228425</v>
      </c>
      <c r="H60" s="13">
        <f t="shared" si="5"/>
        <v>1</v>
      </c>
      <c r="I60" s="13">
        <f t="shared" si="6"/>
        <v>1</v>
      </c>
      <c r="J60" s="13">
        <f t="shared" si="7"/>
        <v>1</v>
      </c>
      <c r="K60" s="13">
        <f t="shared" si="8"/>
        <v>1</v>
      </c>
      <c r="L60" s="13">
        <f t="shared" si="9"/>
        <v>1</v>
      </c>
      <c r="M60" s="13">
        <f t="shared" si="10"/>
        <v>1</v>
      </c>
      <c r="N60" s="13">
        <f t="shared" si="11"/>
        <v>1</v>
      </c>
      <c r="O60" s="13">
        <f t="shared" si="12"/>
        <v>1</v>
      </c>
      <c r="P60" s="13">
        <f t="shared" si="13"/>
        <v>0.91740890688259114</v>
      </c>
      <c r="Q60" s="13">
        <f t="shared" si="14"/>
        <v>0.92363032650802435</v>
      </c>
      <c r="R60" s="13">
        <f t="shared" si="15"/>
        <v>0.931014984450099</v>
      </c>
      <c r="S60" s="13">
        <f t="shared" si="16"/>
        <v>0.93426077468630664</v>
      </c>
      <c r="U60" s="11" t="s">
        <v>42</v>
      </c>
      <c r="V60" s="14">
        <f>V30/SUM(G30,V30,AK30)</f>
        <v>0</v>
      </c>
      <c r="W60" s="14">
        <f t="shared" si="18"/>
        <v>0</v>
      </c>
      <c r="X60" s="14">
        <f t="shared" si="19"/>
        <v>0</v>
      </c>
      <c r="Y60" s="14">
        <f t="shared" si="20"/>
        <v>0</v>
      </c>
      <c r="Z60" s="14">
        <f t="shared" si="21"/>
        <v>0</v>
      </c>
      <c r="AA60" s="14">
        <f t="shared" si="22"/>
        <v>0</v>
      </c>
      <c r="AB60" s="14">
        <f t="shared" si="23"/>
        <v>0</v>
      </c>
      <c r="AC60" s="14">
        <f t="shared" si="24"/>
        <v>0</v>
      </c>
      <c r="AD60" s="14">
        <f t="shared" si="25"/>
        <v>0</v>
      </c>
      <c r="AE60" s="14">
        <f t="shared" si="26"/>
        <v>0</v>
      </c>
      <c r="AF60" s="14">
        <f t="shared" si="27"/>
        <v>0</v>
      </c>
      <c r="AG60" s="14">
        <f t="shared" si="28"/>
        <v>0</v>
      </c>
      <c r="AH60" s="14">
        <f t="shared" si="29"/>
        <v>0</v>
      </c>
      <c r="AJ60" s="11" t="s">
        <v>42</v>
      </c>
      <c r="AK60" s="14">
        <f t="shared" si="30"/>
        <v>0.3061337774077158</v>
      </c>
      <c r="AL60" s="14">
        <f t="shared" si="31"/>
        <v>0</v>
      </c>
      <c r="AM60" s="14">
        <f t="shared" si="32"/>
        <v>0</v>
      </c>
      <c r="AN60" s="14">
        <f t="shared" si="33"/>
        <v>0</v>
      </c>
      <c r="AO60" s="14">
        <f t="shared" si="34"/>
        <v>0</v>
      </c>
      <c r="AP60" s="14">
        <f t="shared" si="35"/>
        <v>0</v>
      </c>
      <c r="AQ60" s="14">
        <f t="shared" si="36"/>
        <v>0</v>
      </c>
      <c r="AR60" s="14">
        <f t="shared" si="37"/>
        <v>0</v>
      </c>
      <c r="AS60" s="14">
        <f t="shared" si="38"/>
        <v>0</v>
      </c>
      <c r="AT60" s="14">
        <f t="shared" si="39"/>
        <v>8.2591093117408906E-2</v>
      </c>
      <c r="AU60" s="14">
        <f t="shared" si="40"/>
        <v>7.6369673491975654E-2</v>
      </c>
      <c r="AV60" s="14">
        <f t="shared" si="41"/>
        <v>6.8985015549901052E-2</v>
      </c>
      <c r="AW60" s="14">
        <f t="shared" si="42"/>
        <v>6.5739225313693403E-2</v>
      </c>
    </row>
  </sheetData>
  <mergeCells count="16">
    <mergeCell ref="AJ2:AW2"/>
    <mergeCell ref="F32:S32"/>
    <mergeCell ref="U32:AH32"/>
    <mergeCell ref="AJ32:AW32"/>
    <mergeCell ref="A8:B8"/>
    <mergeCell ref="A9:B9"/>
    <mergeCell ref="A10:B10"/>
    <mergeCell ref="C10:D10"/>
    <mergeCell ref="A2:D2"/>
    <mergeCell ref="U2:AH2"/>
    <mergeCell ref="F2:S2"/>
    <mergeCell ref="A3:B3"/>
    <mergeCell ref="A4:B4"/>
    <mergeCell ref="A5:B5"/>
    <mergeCell ref="A6:B6"/>
    <mergeCell ref="A7:B7"/>
  </mergeCells>
  <conditionalFormatting sqref="G34:S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:AH6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4:AW60">
    <cfRule type="colorScale" priority="5">
      <colorScale>
        <cfvo type="min"/>
        <cfvo type="max"/>
        <color rgb="FFFCFCFF"/>
        <color rgb="FF63BE7B"/>
      </colorScale>
    </cfRule>
  </conditionalFormatting>
  <conditionalFormatting sqref="G4:S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:AH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0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2025-12-01T23:12:32Z</dcterms:created>
  <dcterms:modified xsi:type="dcterms:W3CDTF">2025-12-01T23:31:37Z</dcterms:modified>
  <cp:category/>
  <cp:contentStatus/>
</cp:coreProperties>
</file>